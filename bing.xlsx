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Y/6Y2HEfeviPaCMbMjNKXgl/XrA=="/>
    </ext>
  </extLst>
</workbook>
</file>

<file path=xl/sharedStrings.xml><?xml version="1.0" encoding="utf-8"?>
<sst xmlns="http://schemas.openxmlformats.org/spreadsheetml/2006/main" count="13574" uniqueCount="6785">
  <si>
    <t>word</t>
  </si>
  <si>
    <t>sentiment</t>
  </si>
  <si>
    <t>2-faces</t>
  </si>
  <si>
    <t>negative</t>
  </si>
  <si>
    <t>abnormal</t>
  </si>
  <si>
    <t>abolish</t>
  </si>
  <si>
    <t>abominable</t>
  </si>
  <si>
    <t>abominably</t>
  </si>
  <si>
    <t>abominate</t>
  </si>
  <si>
    <t>abomination</t>
  </si>
  <si>
    <t>abort</t>
  </si>
  <si>
    <t>aborted</t>
  </si>
  <si>
    <t>aborts</t>
  </si>
  <si>
    <t>abound</t>
  </si>
  <si>
    <t>positive</t>
  </si>
  <si>
    <t>abounds</t>
  </si>
  <si>
    <t>abrade</t>
  </si>
  <si>
    <t>abrasive</t>
  </si>
  <si>
    <t>abrupt</t>
  </si>
  <si>
    <t>abruptly</t>
  </si>
  <si>
    <t>abscond</t>
  </si>
  <si>
    <t>absence</t>
  </si>
  <si>
    <t>absent-minded</t>
  </si>
  <si>
    <t>absentee</t>
  </si>
  <si>
    <t>absurd</t>
  </si>
  <si>
    <t>absurdity</t>
  </si>
  <si>
    <t>absurdly</t>
  </si>
  <si>
    <t>absurdness</t>
  </si>
  <si>
    <t>abundance</t>
  </si>
  <si>
    <t>abundant</t>
  </si>
  <si>
    <t>abuse</t>
  </si>
  <si>
    <t>abused</t>
  </si>
  <si>
    <t>abuses</t>
  </si>
  <si>
    <t>abusive</t>
  </si>
  <si>
    <t>abysmal</t>
  </si>
  <si>
    <t>abysmally</t>
  </si>
  <si>
    <t>abyss</t>
  </si>
  <si>
    <t>accessable</t>
  </si>
  <si>
    <t>accessible</t>
  </si>
  <si>
    <t>accidental</t>
  </si>
  <si>
    <t>acclaim</t>
  </si>
  <si>
    <t>acclaimed</t>
  </si>
  <si>
    <t>acclamation</t>
  </si>
  <si>
    <t>accolade</t>
  </si>
  <si>
    <t>accolades</t>
  </si>
  <si>
    <t>accommodative</t>
  </si>
  <si>
    <t>accomodative</t>
  </si>
  <si>
    <t>accomplish</t>
  </si>
  <si>
    <t>accomplished</t>
  </si>
  <si>
    <t>accomplishment</t>
  </si>
  <si>
    <t>accomplishments</t>
  </si>
  <si>
    <t>accost</t>
  </si>
  <si>
    <t>accurate</t>
  </si>
  <si>
    <t>accurately</t>
  </si>
  <si>
    <t>accursed</t>
  </si>
  <si>
    <t>accusation</t>
  </si>
  <si>
    <t>accusations</t>
  </si>
  <si>
    <t>accuse</t>
  </si>
  <si>
    <t>accuses</t>
  </si>
  <si>
    <t>accusing</t>
  </si>
  <si>
    <t>accusingly</t>
  </si>
  <si>
    <t>acerbate</t>
  </si>
  <si>
    <t>acerbic</t>
  </si>
  <si>
    <t>acerbically</t>
  </si>
  <si>
    <t>ache</t>
  </si>
  <si>
    <t>ached</t>
  </si>
  <si>
    <t>aches</t>
  </si>
  <si>
    <t>achey</t>
  </si>
  <si>
    <t>achievable</t>
  </si>
  <si>
    <t>achievement</t>
  </si>
  <si>
    <t>achievements</t>
  </si>
  <si>
    <t>achievible</t>
  </si>
  <si>
    <t>aching</t>
  </si>
  <si>
    <t>acrid</t>
  </si>
  <si>
    <t>acridly</t>
  </si>
  <si>
    <t>acridness</t>
  </si>
  <si>
    <t>acrimonious</t>
  </si>
  <si>
    <t>acrimoniously</t>
  </si>
  <si>
    <t>acrimony</t>
  </si>
  <si>
    <t>acumen</t>
  </si>
  <si>
    <t>adamant</t>
  </si>
  <si>
    <t>adamantly</t>
  </si>
  <si>
    <t>adaptable</t>
  </si>
  <si>
    <t>adaptive</t>
  </si>
  <si>
    <t>addict</t>
  </si>
  <si>
    <t>addicted</t>
  </si>
  <si>
    <t>addicting</t>
  </si>
  <si>
    <t>addicts</t>
  </si>
  <si>
    <t>adequate</t>
  </si>
  <si>
    <t>adjustable</t>
  </si>
  <si>
    <t>admirable</t>
  </si>
  <si>
    <t>admirably</t>
  </si>
  <si>
    <t>admiration</t>
  </si>
  <si>
    <t>admire</t>
  </si>
  <si>
    <t>admirer</t>
  </si>
  <si>
    <t>admiring</t>
  </si>
  <si>
    <t>admiringly</t>
  </si>
  <si>
    <t>admonish</t>
  </si>
  <si>
    <t>admonisher</t>
  </si>
  <si>
    <t>admonishingly</t>
  </si>
  <si>
    <t>admonishment</t>
  </si>
  <si>
    <t>admonition</t>
  </si>
  <si>
    <t>adorable</t>
  </si>
  <si>
    <t>adore</t>
  </si>
  <si>
    <t>adored</t>
  </si>
  <si>
    <t>adorer</t>
  </si>
  <si>
    <t>adoring</t>
  </si>
  <si>
    <t>adoringly</t>
  </si>
  <si>
    <t>adroit</t>
  </si>
  <si>
    <t>adroitly</t>
  </si>
  <si>
    <t>adulate</t>
  </si>
  <si>
    <t>adulation</t>
  </si>
  <si>
    <t>adulatory</t>
  </si>
  <si>
    <t>adulterate</t>
  </si>
  <si>
    <t>adulterated</t>
  </si>
  <si>
    <t>adulteration</t>
  </si>
  <si>
    <t>adulterier</t>
  </si>
  <si>
    <t>advanced</t>
  </si>
  <si>
    <t>advantage</t>
  </si>
  <si>
    <t>advantageous</t>
  </si>
  <si>
    <t>advantageously</t>
  </si>
  <si>
    <t>advantages</t>
  </si>
  <si>
    <t>adventuresome</t>
  </si>
  <si>
    <t>adventurous</t>
  </si>
  <si>
    <t>adversarial</t>
  </si>
  <si>
    <t>adversary</t>
  </si>
  <si>
    <t>adverse</t>
  </si>
  <si>
    <t>adversity</t>
  </si>
  <si>
    <t>advocate</t>
  </si>
  <si>
    <t>advocated</t>
  </si>
  <si>
    <t>advocates</t>
  </si>
  <si>
    <t>affability</t>
  </si>
  <si>
    <t>affable</t>
  </si>
  <si>
    <t>affably</t>
  </si>
  <si>
    <t>affectation</t>
  </si>
  <si>
    <t>affection</t>
  </si>
  <si>
    <t>affectionate</t>
  </si>
  <si>
    <t>affinity</t>
  </si>
  <si>
    <t>affirm</t>
  </si>
  <si>
    <t>affirmation</t>
  </si>
  <si>
    <t>affirmative</t>
  </si>
  <si>
    <t>afflict</t>
  </si>
  <si>
    <t>affliction</t>
  </si>
  <si>
    <t>afflictive</t>
  </si>
  <si>
    <t>affluence</t>
  </si>
  <si>
    <t>affluent</t>
  </si>
  <si>
    <t>afford</t>
  </si>
  <si>
    <t>affordable</t>
  </si>
  <si>
    <t>affordably</t>
  </si>
  <si>
    <t>affront</t>
  </si>
  <si>
    <t>afordable</t>
  </si>
  <si>
    <t>afraid</t>
  </si>
  <si>
    <t>aggravate</t>
  </si>
  <si>
    <t>aggravating</t>
  </si>
  <si>
    <t>aggravation</t>
  </si>
  <si>
    <t>aggression</t>
  </si>
  <si>
    <t>aggressive</t>
  </si>
  <si>
    <t>aggressiveness</t>
  </si>
  <si>
    <t>aggressor</t>
  </si>
  <si>
    <t>aggrieve</t>
  </si>
  <si>
    <t>aggrieved</t>
  </si>
  <si>
    <t>aggrivation</t>
  </si>
  <si>
    <t>aghast</t>
  </si>
  <si>
    <t>agile</t>
  </si>
  <si>
    <t>agilely</t>
  </si>
  <si>
    <t>agility</t>
  </si>
  <si>
    <t>agonies</t>
  </si>
  <si>
    <t>agonize</t>
  </si>
  <si>
    <t>agonizing</t>
  </si>
  <si>
    <t>agonizingly</t>
  </si>
  <si>
    <t>agony</t>
  </si>
  <si>
    <t>agreeable</t>
  </si>
  <si>
    <t>agreeableness</t>
  </si>
  <si>
    <t>agreeably</t>
  </si>
  <si>
    <t>aground</t>
  </si>
  <si>
    <t>ail</t>
  </si>
  <si>
    <t>ailing</t>
  </si>
  <si>
    <t>ailment</t>
  </si>
  <si>
    <t>aimless</t>
  </si>
  <si>
    <t>alarm</t>
  </si>
  <si>
    <t>alarmed</t>
  </si>
  <si>
    <t>alarming</t>
  </si>
  <si>
    <t>alarmingly</t>
  </si>
  <si>
    <t>alienate</t>
  </si>
  <si>
    <t>alienated</t>
  </si>
  <si>
    <t>alienation</t>
  </si>
  <si>
    <t>all-around</t>
  </si>
  <si>
    <t>allegation</t>
  </si>
  <si>
    <t>allegations</t>
  </si>
  <si>
    <t>allege</t>
  </si>
  <si>
    <t>allergic</t>
  </si>
  <si>
    <t>allergies</t>
  </si>
  <si>
    <t>allergy</t>
  </si>
  <si>
    <t>alluring</t>
  </si>
  <si>
    <t>alluringly</t>
  </si>
  <si>
    <t>aloof</t>
  </si>
  <si>
    <t>altercation</t>
  </si>
  <si>
    <t>altruistic</t>
  </si>
  <si>
    <t>altruistically</t>
  </si>
  <si>
    <t>amaze</t>
  </si>
  <si>
    <t>amazed</t>
  </si>
  <si>
    <t>amazement</t>
  </si>
  <si>
    <t>amazes</t>
  </si>
  <si>
    <t>amazing</t>
  </si>
  <si>
    <t>amazingly</t>
  </si>
  <si>
    <t>ambiguity</t>
  </si>
  <si>
    <t>ambiguous</t>
  </si>
  <si>
    <t>ambitious</t>
  </si>
  <si>
    <t>ambitiously</t>
  </si>
  <si>
    <t>ambivalence</t>
  </si>
  <si>
    <t>ambivalent</t>
  </si>
  <si>
    <t>ambush</t>
  </si>
  <si>
    <t>ameliorate</t>
  </si>
  <si>
    <t>amenable</t>
  </si>
  <si>
    <t>amenity</t>
  </si>
  <si>
    <t>amiability</t>
  </si>
  <si>
    <t>amiabily</t>
  </si>
  <si>
    <t>amiable</t>
  </si>
  <si>
    <t>amicability</t>
  </si>
  <si>
    <t>amicable</t>
  </si>
  <si>
    <t>amicably</t>
  </si>
  <si>
    <t>amiss</t>
  </si>
  <si>
    <t>amity</t>
  </si>
  <si>
    <t>ample</t>
  </si>
  <si>
    <t>amply</t>
  </si>
  <si>
    <t>amputate</t>
  </si>
  <si>
    <t>amuse</t>
  </si>
  <si>
    <t>amusing</t>
  </si>
  <si>
    <t>amusingly</t>
  </si>
  <si>
    <t>anarchism</t>
  </si>
  <si>
    <t>anarchist</t>
  </si>
  <si>
    <t>anarchistic</t>
  </si>
  <si>
    <t>anarchy</t>
  </si>
  <si>
    <t>anemic</t>
  </si>
  <si>
    <t>angel</t>
  </si>
  <si>
    <t>angelic</t>
  </si>
  <si>
    <t>anger</t>
  </si>
  <si>
    <t>angrily</t>
  </si>
  <si>
    <t>angriness</t>
  </si>
  <si>
    <t>angry</t>
  </si>
  <si>
    <t>anguish</t>
  </si>
  <si>
    <t>animosity</t>
  </si>
  <si>
    <t>annihilate</t>
  </si>
  <si>
    <t>annihilation</t>
  </si>
  <si>
    <t>annoy</t>
  </si>
  <si>
    <t>annoyance</t>
  </si>
  <si>
    <t>annoyances</t>
  </si>
  <si>
    <t>annoyed</t>
  </si>
  <si>
    <t>annoying</t>
  </si>
  <si>
    <t>annoyingly</t>
  </si>
  <si>
    <t>annoys</t>
  </si>
  <si>
    <t>anomalous</t>
  </si>
  <si>
    <t>anomaly</t>
  </si>
  <si>
    <t>antagonism</t>
  </si>
  <si>
    <t>antagonist</t>
  </si>
  <si>
    <t>antagonistic</t>
  </si>
  <si>
    <t>antagonize</t>
  </si>
  <si>
    <t>anti-</t>
  </si>
  <si>
    <t>anti-american</t>
  </si>
  <si>
    <t>anti-israeli</t>
  </si>
  <si>
    <t>anti-occupation</t>
  </si>
  <si>
    <t>anti-proliferation</t>
  </si>
  <si>
    <t>anti-semites</t>
  </si>
  <si>
    <t>anti-social</t>
  </si>
  <si>
    <t>anti-us</t>
  </si>
  <si>
    <t>anti-white</t>
  </si>
  <si>
    <t>antipathy</t>
  </si>
  <si>
    <t>antiquated</t>
  </si>
  <si>
    <t>antithetical</t>
  </si>
  <si>
    <t>anxieties</t>
  </si>
  <si>
    <t>anxiety</t>
  </si>
  <si>
    <t>anxious</t>
  </si>
  <si>
    <t>anxiously</t>
  </si>
  <si>
    <t>anxiousness</t>
  </si>
  <si>
    <t>apathetic</t>
  </si>
  <si>
    <t>apathetically</t>
  </si>
  <si>
    <t>apathy</t>
  </si>
  <si>
    <t>apocalypse</t>
  </si>
  <si>
    <t>apocalyptic</t>
  </si>
  <si>
    <t>apologist</t>
  </si>
  <si>
    <t>apologists</t>
  </si>
  <si>
    <t>apotheosis</t>
  </si>
  <si>
    <t>appal</t>
  </si>
  <si>
    <t>appall</t>
  </si>
  <si>
    <t>appalled</t>
  </si>
  <si>
    <t>appalling</t>
  </si>
  <si>
    <t>appallingly</t>
  </si>
  <si>
    <t>appeal</t>
  </si>
  <si>
    <t>appealing</t>
  </si>
  <si>
    <t>applaud</t>
  </si>
  <si>
    <t>appreciable</t>
  </si>
  <si>
    <t>appreciate</t>
  </si>
  <si>
    <t>appreciated</t>
  </si>
  <si>
    <t>appreciates</t>
  </si>
  <si>
    <t>appreciative</t>
  </si>
  <si>
    <t>appreciatively</t>
  </si>
  <si>
    <t>apprehension</t>
  </si>
  <si>
    <t>apprehensions</t>
  </si>
  <si>
    <t>apprehensive</t>
  </si>
  <si>
    <t>apprehensively</t>
  </si>
  <si>
    <t>appropriate</t>
  </si>
  <si>
    <t>approval</t>
  </si>
  <si>
    <t>approve</t>
  </si>
  <si>
    <t>arbitrary</t>
  </si>
  <si>
    <t>arcane</t>
  </si>
  <si>
    <t>archaic</t>
  </si>
  <si>
    <t>ardent</t>
  </si>
  <si>
    <t>ardently</t>
  </si>
  <si>
    <t>ardor</t>
  </si>
  <si>
    <t>arduous</t>
  </si>
  <si>
    <t>arduously</t>
  </si>
  <si>
    <t>argumentative</t>
  </si>
  <si>
    <t>arrogance</t>
  </si>
  <si>
    <t>arrogant</t>
  </si>
  <si>
    <t>arrogantly</t>
  </si>
  <si>
    <t>articulate</t>
  </si>
  <si>
    <t>ashamed</t>
  </si>
  <si>
    <t>asinine</t>
  </si>
  <si>
    <t>asininely</t>
  </si>
  <si>
    <t>asinininity</t>
  </si>
  <si>
    <t>askance</t>
  </si>
  <si>
    <t>asperse</t>
  </si>
  <si>
    <t>aspersion</t>
  </si>
  <si>
    <t>aspersions</t>
  </si>
  <si>
    <t>aspiration</t>
  </si>
  <si>
    <t>aspirations</t>
  </si>
  <si>
    <t>aspire</t>
  </si>
  <si>
    <t>assail</t>
  </si>
  <si>
    <t>assassin</t>
  </si>
  <si>
    <t>assassinate</t>
  </si>
  <si>
    <t>assault</t>
  </si>
  <si>
    <t>assult</t>
  </si>
  <si>
    <t>assurance</t>
  </si>
  <si>
    <t>assurances</t>
  </si>
  <si>
    <t>assure</t>
  </si>
  <si>
    <t>assuredly</t>
  </si>
  <si>
    <t>assuring</t>
  </si>
  <si>
    <t>astonish</t>
  </si>
  <si>
    <t>astonished</t>
  </si>
  <si>
    <t>astonishing</t>
  </si>
  <si>
    <t>astonishingly</t>
  </si>
  <si>
    <t>astonishment</t>
  </si>
  <si>
    <t>astound</t>
  </si>
  <si>
    <t>astounded</t>
  </si>
  <si>
    <t>astounding</t>
  </si>
  <si>
    <t>astoundingly</t>
  </si>
  <si>
    <t>astray</t>
  </si>
  <si>
    <t>astutely</t>
  </si>
  <si>
    <t>asunder</t>
  </si>
  <si>
    <t>atrocious</t>
  </si>
  <si>
    <t>atrocities</t>
  </si>
  <si>
    <t>atrocity</t>
  </si>
  <si>
    <t>atrophy</t>
  </si>
  <si>
    <t>attack</t>
  </si>
  <si>
    <t>attacks</t>
  </si>
  <si>
    <t>attentive</t>
  </si>
  <si>
    <t>attraction</t>
  </si>
  <si>
    <t>attractive</t>
  </si>
  <si>
    <t>attractively</t>
  </si>
  <si>
    <t>attune</t>
  </si>
  <si>
    <t>audacious</t>
  </si>
  <si>
    <t>audaciously</t>
  </si>
  <si>
    <t>audaciousness</t>
  </si>
  <si>
    <t>audacity</t>
  </si>
  <si>
    <t>audible</t>
  </si>
  <si>
    <t>audibly</t>
  </si>
  <si>
    <t>audiciously</t>
  </si>
  <si>
    <t>auspicious</t>
  </si>
  <si>
    <t>austere</t>
  </si>
  <si>
    <t>authentic</t>
  </si>
  <si>
    <t>authoritarian</t>
  </si>
  <si>
    <t>authoritative</t>
  </si>
  <si>
    <t>autocrat</t>
  </si>
  <si>
    <t>autocratic</t>
  </si>
  <si>
    <t>autonomous</t>
  </si>
  <si>
    <t>available</t>
  </si>
  <si>
    <t>avalanche</t>
  </si>
  <si>
    <t>avarice</t>
  </si>
  <si>
    <t>avaricious</t>
  </si>
  <si>
    <t>avariciously</t>
  </si>
  <si>
    <t>avenge</t>
  </si>
  <si>
    <t>aver</t>
  </si>
  <si>
    <t>averse</t>
  </si>
  <si>
    <t>aversion</t>
  </si>
  <si>
    <t>avid</t>
  </si>
  <si>
    <t>avidly</t>
  </si>
  <si>
    <t>award</t>
  </si>
  <si>
    <t>awarded</t>
  </si>
  <si>
    <t>awards</t>
  </si>
  <si>
    <t>awe</t>
  </si>
  <si>
    <t>awed</t>
  </si>
  <si>
    <t>aweful</t>
  </si>
  <si>
    <t>awesome</t>
  </si>
  <si>
    <t>awesomely</t>
  </si>
  <si>
    <t>awesomeness</t>
  </si>
  <si>
    <t>awestruck</t>
  </si>
  <si>
    <t>awful</t>
  </si>
  <si>
    <t>awfully</t>
  </si>
  <si>
    <t>awfulness</t>
  </si>
  <si>
    <t>awkward</t>
  </si>
  <si>
    <t>awkwardness</t>
  </si>
  <si>
    <t>awsome</t>
  </si>
  <si>
    <t>ax</t>
  </si>
  <si>
    <t>babble</t>
  </si>
  <si>
    <t>back-logged</t>
  </si>
  <si>
    <t>back-wood</t>
  </si>
  <si>
    <t>back-woods</t>
  </si>
  <si>
    <t>backache</t>
  </si>
  <si>
    <t>backaches</t>
  </si>
  <si>
    <t>backaching</t>
  </si>
  <si>
    <t>backbite</t>
  </si>
  <si>
    <t>backbiting</t>
  </si>
  <si>
    <t>backbone</t>
  </si>
  <si>
    <t>backward</t>
  </si>
  <si>
    <t>backwardness</t>
  </si>
  <si>
    <t>backwood</t>
  </si>
  <si>
    <t>backwoods</t>
  </si>
  <si>
    <t>bad</t>
  </si>
  <si>
    <t>badly</t>
  </si>
  <si>
    <t>baffle</t>
  </si>
  <si>
    <t>baffled</t>
  </si>
  <si>
    <t>bafflement</t>
  </si>
  <si>
    <t>baffling</t>
  </si>
  <si>
    <t>bait</t>
  </si>
  <si>
    <t>balanced</t>
  </si>
  <si>
    <t>balk</t>
  </si>
  <si>
    <t>banal</t>
  </si>
  <si>
    <t>banalize</t>
  </si>
  <si>
    <t>bane</t>
  </si>
  <si>
    <t>banish</t>
  </si>
  <si>
    <t>banishment</t>
  </si>
  <si>
    <t>bankrupt</t>
  </si>
  <si>
    <t>barbarian</t>
  </si>
  <si>
    <t>barbaric</t>
  </si>
  <si>
    <t>barbarically</t>
  </si>
  <si>
    <t>barbarity</t>
  </si>
  <si>
    <t>barbarous</t>
  </si>
  <si>
    <t>barbarously</t>
  </si>
  <si>
    <t>bargain</t>
  </si>
  <si>
    <t>barren</t>
  </si>
  <si>
    <t>baseless</t>
  </si>
  <si>
    <t>bash</t>
  </si>
  <si>
    <t>bashed</t>
  </si>
  <si>
    <t>bashful</t>
  </si>
  <si>
    <t>bashing</t>
  </si>
  <si>
    <t>bastard</t>
  </si>
  <si>
    <t>bastards</t>
  </si>
  <si>
    <t>battered</t>
  </si>
  <si>
    <t>battering</t>
  </si>
  <si>
    <t>batty</t>
  </si>
  <si>
    <t>bearish</t>
  </si>
  <si>
    <t>beastly</t>
  </si>
  <si>
    <t>beauteous</t>
  </si>
  <si>
    <t>beautiful</t>
  </si>
  <si>
    <t>beautifullly</t>
  </si>
  <si>
    <t>beautifully</t>
  </si>
  <si>
    <t>beautify</t>
  </si>
  <si>
    <t>beauty</t>
  </si>
  <si>
    <t>beckon</t>
  </si>
  <si>
    <t>beckoned</t>
  </si>
  <si>
    <t>beckoning</t>
  </si>
  <si>
    <t>beckons</t>
  </si>
  <si>
    <t>bedlam</t>
  </si>
  <si>
    <t>bedlamite</t>
  </si>
  <si>
    <t>befoul</t>
  </si>
  <si>
    <t>beg</t>
  </si>
  <si>
    <t>beggar</t>
  </si>
  <si>
    <t>beggarly</t>
  </si>
  <si>
    <t>begging</t>
  </si>
  <si>
    <t>beguile</t>
  </si>
  <si>
    <t>belabor</t>
  </si>
  <si>
    <t>belated</t>
  </si>
  <si>
    <t>beleaguer</t>
  </si>
  <si>
    <t>belie</t>
  </si>
  <si>
    <t>believable</t>
  </si>
  <si>
    <t>believeable</t>
  </si>
  <si>
    <t>belittle</t>
  </si>
  <si>
    <t>belittled</t>
  </si>
  <si>
    <t>belittling</t>
  </si>
  <si>
    <t>bellicose</t>
  </si>
  <si>
    <t>belligerence</t>
  </si>
  <si>
    <t>belligerent</t>
  </si>
  <si>
    <t>belligerently</t>
  </si>
  <si>
    <t>beloved</t>
  </si>
  <si>
    <t>bemoan</t>
  </si>
  <si>
    <t>bemoaning</t>
  </si>
  <si>
    <t>bemused</t>
  </si>
  <si>
    <t>benefactor</t>
  </si>
  <si>
    <t>beneficent</t>
  </si>
  <si>
    <t>beneficial</t>
  </si>
  <si>
    <t>beneficially</t>
  </si>
  <si>
    <t>beneficiary</t>
  </si>
  <si>
    <t>benefit</t>
  </si>
  <si>
    <t>benefits</t>
  </si>
  <si>
    <t>benevolence</t>
  </si>
  <si>
    <t>benevolent</t>
  </si>
  <si>
    <t>benifits</t>
  </si>
  <si>
    <t>bent</t>
  </si>
  <si>
    <t>berate</t>
  </si>
  <si>
    <t>bereave</t>
  </si>
  <si>
    <t>bereavement</t>
  </si>
  <si>
    <t>bereft</t>
  </si>
  <si>
    <t>berserk</t>
  </si>
  <si>
    <t>beseech</t>
  </si>
  <si>
    <t>beset</t>
  </si>
  <si>
    <t>besiege</t>
  </si>
  <si>
    <t>besmirch</t>
  </si>
  <si>
    <t>best</t>
  </si>
  <si>
    <t>best-known</t>
  </si>
  <si>
    <t>best-performing</t>
  </si>
  <si>
    <t>best-selling</t>
  </si>
  <si>
    <t>bestial</t>
  </si>
  <si>
    <t>betray</t>
  </si>
  <si>
    <t>betrayal</t>
  </si>
  <si>
    <t>betrayals</t>
  </si>
  <si>
    <t>betrayer</t>
  </si>
  <si>
    <t>betraying</t>
  </si>
  <si>
    <t>betrays</t>
  </si>
  <si>
    <t>better</t>
  </si>
  <si>
    <t>better-known</t>
  </si>
  <si>
    <t>better-than-expected</t>
  </si>
  <si>
    <t>beutifully</t>
  </si>
  <si>
    <t>bewail</t>
  </si>
  <si>
    <t>beware</t>
  </si>
  <si>
    <t>bewilder</t>
  </si>
  <si>
    <t>bewildered</t>
  </si>
  <si>
    <t>bewildering</t>
  </si>
  <si>
    <t>bewilderingly</t>
  </si>
  <si>
    <t>bewilderment</t>
  </si>
  <si>
    <t>bewitch</t>
  </si>
  <si>
    <t>bias</t>
  </si>
  <si>
    <t>biased</t>
  </si>
  <si>
    <t>biases</t>
  </si>
  <si>
    <t>bicker</t>
  </si>
  <si>
    <t>bickering</t>
  </si>
  <si>
    <t>bid-rigging</t>
  </si>
  <si>
    <t>bigotries</t>
  </si>
  <si>
    <t>bigotry</t>
  </si>
  <si>
    <t>bitch</t>
  </si>
  <si>
    <t>bitchy</t>
  </si>
  <si>
    <t>biting</t>
  </si>
  <si>
    <t>bitingly</t>
  </si>
  <si>
    <t>bitter</t>
  </si>
  <si>
    <t>bitterly</t>
  </si>
  <si>
    <t>bitterness</t>
  </si>
  <si>
    <t>bizarre</t>
  </si>
  <si>
    <t>blab</t>
  </si>
  <si>
    <t>blabber</t>
  </si>
  <si>
    <t>blackmail</t>
  </si>
  <si>
    <t>blah</t>
  </si>
  <si>
    <t>blame</t>
  </si>
  <si>
    <t>blameless</t>
  </si>
  <si>
    <t>blameworthy</t>
  </si>
  <si>
    <t>bland</t>
  </si>
  <si>
    <t>blandish</t>
  </si>
  <si>
    <t>blaspheme</t>
  </si>
  <si>
    <t>blasphemous</t>
  </si>
  <si>
    <t>blasphemy</t>
  </si>
  <si>
    <t>blasted</t>
  </si>
  <si>
    <t>blatant</t>
  </si>
  <si>
    <t>blatantly</t>
  </si>
  <si>
    <t>blather</t>
  </si>
  <si>
    <t>bleak</t>
  </si>
  <si>
    <t>bleakly</t>
  </si>
  <si>
    <t>bleakness</t>
  </si>
  <si>
    <t>bleed</t>
  </si>
  <si>
    <t>bleeding</t>
  </si>
  <si>
    <t>bleeds</t>
  </si>
  <si>
    <t>blemish</t>
  </si>
  <si>
    <t>bless</t>
  </si>
  <si>
    <t>blessing</t>
  </si>
  <si>
    <t>blind</t>
  </si>
  <si>
    <t>blinding</t>
  </si>
  <si>
    <t>blindingly</t>
  </si>
  <si>
    <t>blindside</t>
  </si>
  <si>
    <t>bliss</t>
  </si>
  <si>
    <t>blissful</t>
  </si>
  <si>
    <t>blissfully</t>
  </si>
  <si>
    <t>blister</t>
  </si>
  <si>
    <t>blistering</t>
  </si>
  <si>
    <t>blithe</t>
  </si>
  <si>
    <t>bloated</t>
  </si>
  <si>
    <t>blockage</t>
  </si>
  <si>
    <t>blockbuster</t>
  </si>
  <si>
    <t>blockhead</t>
  </si>
  <si>
    <t>bloodshed</t>
  </si>
  <si>
    <t>bloodthirsty</t>
  </si>
  <si>
    <t>bloody</t>
  </si>
  <si>
    <t>bloom</t>
  </si>
  <si>
    <t>blossom</t>
  </si>
  <si>
    <t>blotchy</t>
  </si>
  <si>
    <t>blow</t>
  </si>
  <si>
    <t>blunder</t>
  </si>
  <si>
    <t>blundering</t>
  </si>
  <si>
    <t>blunders</t>
  </si>
  <si>
    <t>blunt</t>
  </si>
  <si>
    <t>blur</t>
  </si>
  <si>
    <t>bluring</t>
  </si>
  <si>
    <t>blurred</t>
  </si>
  <si>
    <t>blurring</t>
  </si>
  <si>
    <t>blurry</t>
  </si>
  <si>
    <t>blurs</t>
  </si>
  <si>
    <t>blurt</t>
  </si>
  <si>
    <t>boastful</t>
  </si>
  <si>
    <t>boggle</t>
  </si>
  <si>
    <t>bogus</t>
  </si>
  <si>
    <t>boil</t>
  </si>
  <si>
    <t>boiling</t>
  </si>
  <si>
    <t>boisterous</t>
  </si>
  <si>
    <t>bolster</t>
  </si>
  <si>
    <t>bomb</t>
  </si>
  <si>
    <t>bombard</t>
  </si>
  <si>
    <t>bombardment</t>
  </si>
  <si>
    <t>bombastic</t>
  </si>
  <si>
    <t>bondage</t>
  </si>
  <si>
    <t>bonkers</t>
  </si>
  <si>
    <t>bonny</t>
  </si>
  <si>
    <t>bonus</t>
  </si>
  <si>
    <t>bonuses</t>
  </si>
  <si>
    <t>boom</t>
  </si>
  <si>
    <t>booming</t>
  </si>
  <si>
    <t>boost</t>
  </si>
  <si>
    <t>bore</t>
  </si>
  <si>
    <t>bored</t>
  </si>
  <si>
    <t>boredom</t>
  </si>
  <si>
    <t>bores</t>
  </si>
  <si>
    <t>boring</t>
  </si>
  <si>
    <t>botch</t>
  </si>
  <si>
    <t>bother</t>
  </si>
  <si>
    <t>bothered</t>
  </si>
  <si>
    <t>bothering</t>
  </si>
  <si>
    <t>bothers</t>
  </si>
  <si>
    <t>bothersome</t>
  </si>
  <si>
    <t>boundless</t>
  </si>
  <si>
    <t>bountiful</t>
  </si>
  <si>
    <t>bowdlerize</t>
  </si>
  <si>
    <t>boycott</t>
  </si>
  <si>
    <t>braggart</t>
  </si>
  <si>
    <t>bragger</t>
  </si>
  <si>
    <t>brainiest</t>
  </si>
  <si>
    <t>brainless</t>
  </si>
  <si>
    <t>brainwash</t>
  </si>
  <si>
    <t>brainy</t>
  </si>
  <si>
    <t>brand-new</t>
  </si>
  <si>
    <t>brash</t>
  </si>
  <si>
    <t>brashly</t>
  </si>
  <si>
    <t>brashness</t>
  </si>
  <si>
    <t>brat</t>
  </si>
  <si>
    <t>bravado</t>
  </si>
  <si>
    <t>brave</t>
  </si>
  <si>
    <t>bravery</t>
  </si>
  <si>
    <t>bravo</t>
  </si>
  <si>
    <t>brazen</t>
  </si>
  <si>
    <t>brazenly</t>
  </si>
  <si>
    <t>brazenness</t>
  </si>
  <si>
    <t>breach</t>
  </si>
  <si>
    <t>break</t>
  </si>
  <si>
    <t>break-up</t>
  </si>
  <si>
    <t>break-ups</t>
  </si>
  <si>
    <t>breakdown</t>
  </si>
  <si>
    <t>breaking</t>
  </si>
  <si>
    <t>breaks</t>
  </si>
  <si>
    <t>breakthrough</t>
  </si>
  <si>
    <t>breakthroughs</t>
  </si>
  <si>
    <t>breakup</t>
  </si>
  <si>
    <t>breakups</t>
  </si>
  <si>
    <t>breathlessness</t>
  </si>
  <si>
    <t>breathtaking</t>
  </si>
  <si>
    <t>breathtakingly</t>
  </si>
  <si>
    <t>breeze</t>
  </si>
  <si>
    <t>bribery</t>
  </si>
  <si>
    <t>bright</t>
  </si>
  <si>
    <t>brighten</t>
  </si>
  <si>
    <t>brighter</t>
  </si>
  <si>
    <t>brightest</t>
  </si>
  <si>
    <t>brilliance</t>
  </si>
  <si>
    <t>brilliances</t>
  </si>
  <si>
    <t>brilliant</t>
  </si>
  <si>
    <t>brilliantly</t>
  </si>
  <si>
    <t>brimstone</t>
  </si>
  <si>
    <t>brisk</t>
  </si>
  <si>
    <t>bristle</t>
  </si>
  <si>
    <t>brittle</t>
  </si>
  <si>
    <t>broke</t>
  </si>
  <si>
    <t>broken</t>
  </si>
  <si>
    <t>broken-hearted</t>
  </si>
  <si>
    <t>brood</t>
  </si>
  <si>
    <t>brotherly</t>
  </si>
  <si>
    <t>browbeat</t>
  </si>
  <si>
    <t>bruise</t>
  </si>
  <si>
    <t>bruised</t>
  </si>
  <si>
    <t>bruises</t>
  </si>
  <si>
    <t>bruising</t>
  </si>
  <si>
    <t>brusque</t>
  </si>
  <si>
    <t>brutal</t>
  </si>
  <si>
    <t>brutalising</t>
  </si>
  <si>
    <t>brutalities</t>
  </si>
  <si>
    <t>brutality</t>
  </si>
  <si>
    <t>brutalize</t>
  </si>
  <si>
    <t>brutalizing</t>
  </si>
  <si>
    <t>brutally</t>
  </si>
  <si>
    <t>brute</t>
  </si>
  <si>
    <t>brutish</t>
  </si>
  <si>
    <t>bs</t>
  </si>
  <si>
    <t>buckle</t>
  </si>
  <si>
    <t>bug</t>
  </si>
  <si>
    <t>bugging</t>
  </si>
  <si>
    <t>buggy</t>
  </si>
  <si>
    <t>bugs</t>
  </si>
  <si>
    <t>bulkier</t>
  </si>
  <si>
    <t>bulkiness</t>
  </si>
  <si>
    <t>bulky</t>
  </si>
  <si>
    <t>bulkyness</t>
  </si>
  <si>
    <t>bull----</t>
  </si>
  <si>
    <t>bull****</t>
  </si>
  <si>
    <t>bullies</t>
  </si>
  <si>
    <t>bullish</t>
  </si>
  <si>
    <t>bullshit</t>
  </si>
  <si>
    <t>bullshyt</t>
  </si>
  <si>
    <t>bully</t>
  </si>
  <si>
    <t>bullying</t>
  </si>
  <si>
    <t>bullyingly</t>
  </si>
  <si>
    <t>bum</t>
  </si>
  <si>
    <t>bump</t>
  </si>
  <si>
    <t>bumped</t>
  </si>
  <si>
    <t>bumping</t>
  </si>
  <si>
    <t>bumpping</t>
  </si>
  <si>
    <t>bumps</t>
  </si>
  <si>
    <t>bumpy</t>
  </si>
  <si>
    <t>bungle</t>
  </si>
  <si>
    <t>bungler</t>
  </si>
  <si>
    <t>bungling</t>
  </si>
  <si>
    <t>bunk</t>
  </si>
  <si>
    <t>buoyant</t>
  </si>
  <si>
    <t>burden</t>
  </si>
  <si>
    <t>burdensome</t>
  </si>
  <si>
    <t>burdensomely</t>
  </si>
  <si>
    <t>burn</t>
  </si>
  <si>
    <t>burned</t>
  </si>
  <si>
    <t>burning</t>
  </si>
  <si>
    <t>burns</t>
  </si>
  <si>
    <t>bust</t>
  </si>
  <si>
    <t>busts</t>
  </si>
  <si>
    <t>busybody</t>
  </si>
  <si>
    <t>butcher</t>
  </si>
  <si>
    <t>butchery</t>
  </si>
  <si>
    <t>buzzing</t>
  </si>
  <si>
    <t>byzantine</t>
  </si>
  <si>
    <t>cackle</t>
  </si>
  <si>
    <t>cajole</t>
  </si>
  <si>
    <t>calamities</t>
  </si>
  <si>
    <t>calamitous</t>
  </si>
  <si>
    <t>calamitously</t>
  </si>
  <si>
    <t>calamity</t>
  </si>
  <si>
    <t>callous</t>
  </si>
  <si>
    <t>calm</t>
  </si>
  <si>
    <t>calming</t>
  </si>
  <si>
    <t>calmness</t>
  </si>
  <si>
    <t>calumniate</t>
  </si>
  <si>
    <t>calumniation</t>
  </si>
  <si>
    <t>calumnies</t>
  </si>
  <si>
    <t>calumnious</t>
  </si>
  <si>
    <t>calumniously</t>
  </si>
  <si>
    <t>calumny</t>
  </si>
  <si>
    <t>cancer</t>
  </si>
  <si>
    <t>cancerous</t>
  </si>
  <si>
    <t>cannibal</t>
  </si>
  <si>
    <t>cannibalize</t>
  </si>
  <si>
    <t>capability</t>
  </si>
  <si>
    <t>capable</t>
  </si>
  <si>
    <t>capably</t>
  </si>
  <si>
    <t>capitulate</t>
  </si>
  <si>
    <t>capricious</t>
  </si>
  <si>
    <t>capriciously</t>
  </si>
  <si>
    <t>capriciousness</t>
  </si>
  <si>
    <t>capsize</t>
  </si>
  <si>
    <t>captivate</t>
  </si>
  <si>
    <t>captivating</t>
  </si>
  <si>
    <t>carefree</t>
  </si>
  <si>
    <t>careless</t>
  </si>
  <si>
    <t>carelessness</t>
  </si>
  <si>
    <t>caricature</t>
  </si>
  <si>
    <t>carnage</t>
  </si>
  <si>
    <t>carp</t>
  </si>
  <si>
    <t>cartoonish</t>
  </si>
  <si>
    <t>cash-strapped</t>
  </si>
  <si>
    <t>cashback</t>
  </si>
  <si>
    <t>cashbacks</t>
  </si>
  <si>
    <t>castigate</t>
  </si>
  <si>
    <t>castrated</t>
  </si>
  <si>
    <t>casualty</t>
  </si>
  <si>
    <t>cataclysm</t>
  </si>
  <si>
    <t>cataclysmal</t>
  </si>
  <si>
    <t>cataclysmic</t>
  </si>
  <si>
    <t>cataclysmically</t>
  </si>
  <si>
    <t>catastrophe</t>
  </si>
  <si>
    <t>catastrophes</t>
  </si>
  <si>
    <t>catastrophic</t>
  </si>
  <si>
    <t>catastrophically</t>
  </si>
  <si>
    <t>catastrophies</t>
  </si>
  <si>
    <t>catchy</t>
  </si>
  <si>
    <t>caustic</t>
  </si>
  <si>
    <t>caustically</t>
  </si>
  <si>
    <t>cautionary</t>
  </si>
  <si>
    <t>cave</t>
  </si>
  <si>
    <t>celebrate</t>
  </si>
  <si>
    <t>celebrated</t>
  </si>
  <si>
    <t>celebration</t>
  </si>
  <si>
    <t>celebratory</t>
  </si>
  <si>
    <t>censure</t>
  </si>
  <si>
    <t>chafe</t>
  </si>
  <si>
    <t>chaff</t>
  </si>
  <si>
    <t>chagrin</t>
  </si>
  <si>
    <t>challenging</t>
  </si>
  <si>
    <t>champ</t>
  </si>
  <si>
    <t>champion</t>
  </si>
  <si>
    <t>chaos</t>
  </si>
  <si>
    <t>chaotic</t>
  </si>
  <si>
    <t>charisma</t>
  </si>
  <si>
    <t>charismatic</t>
  </si>
  <si>
    <t>charitable</t>
  </si>
  <si>
    <t>charm</t>
  </si>
  <si>
    <t>charming</t>
  </si>
  <si>
    <t>charmingly</t>
  </si>
  <si>
    <t>chaste</t>
  </si>
  <si>
    <t>chasten</t>
  </si>
  <si>
    <t>chastise</t>
  </si>
  <si>
    <t>chastisement</t>
  </si>
  <si>
    <t>chatter</t>
  </si>
  <si>
    <t>chatterbox</t>
  </si>
  <si>
    <t>cheap</t>
  </si>
  <si>
    <t>cheapen</t>
  </si>
  <si>
    <t>cheaper</t>
  </si>
  <si>
    <t>cheapest</t>
  </si>
  <si>
    <t>cheaply</t>
  </si>
  <si>
    <t>cheat</t>
  </si>
  <si>
    <t>cheated</t>
  </si>
  <si>
    <t>cheater</t>
  </si>
  <si>
    <t>cheating</t>
  </si>
  <si>
    <t>cheats</t>
  </si>
  <si>
    <t>checkered</t>
  </si>
  <si>
    <t>cheer</t>
  </si>
  <si>
    <t>cheerful</t>
  </si>
  <si>
    <t>cheerless</t>
  </si>
  <si>
    <t>cheery</t>
  </si>
  <si>
    <t>cheesy</t>
  </si>
  <si>
    <t>cherish</t>
  </si>
  <si>
    <t>cherished</t>
  </si>
  <si>
    <t>cherub</t>
  </si>
  <si>
    <t>chic</t>
  </si>
  <si>
    <t>chide</t>
  </si>
  <si>
    <t>childish</t>
  </si>
  <si>
    <t>chill</t>
  </si>
  <si>
    <t>chilly</t>
  </si>
  <si>
    <t>chintzy</t>
  </si>
  <si>
    <t>chivalrous</t>
  </si>
  <si>
    <t>chivalry</t>
  </si>
  <si>
    <t>choke</t>
  </si>
  <si>
    <t>choleric</t>
  </si>
  <si>
    <t>choppy</t>
  </si>
  <si>
    <t>chore</t>
  </si>
  <si>
    <t>chronic</t>
  </si>
  <si>
    <t>chunky</t>
  </si>
  <si>
    <t>civility</t>
  </si>
  <si>
    <t>civilize</t>
  </si>
  <si>
    <t>clamor</t>
  </si>
  <si>
    <t>clamorous</t>
  </si>
  <si>
    <t>clarity</t>
  </si>
  <si>
    <t>clash</t>
  </si>
  <si>
    <t>classic</t>
  </si>
  <si>
    <t>classy</t>
  </si>
  <si>
    <t>clean</t>
  </si>
  <si>
    <t>cleaner</t>
  </si>
  <si>
    <t>cleanest</t>
  </si>
  <si>
    <t>cleanliness</t>
  </si>
  <si>
    <t>cleanly</t>
  </si>
  <si>
    <t>clear</t>
  </si>
  <si>
    <t>clear-cut</t>
  </si>
  <si>
    <t>cleared</t>
  </si>
  <si>
    <t>clearer</t>
  </si>
  <si>
    <t>clearly</t>
  </si>
  <si>
    <t>clears</t>
  </si>
  <si>
    <t>clever</t>
  </si>
  <si>
    <t>cleverly</t>
  </si>
  <si>
    <t>cliche</t>
  </si>
  <si>
    <t>cliched</t>
  </si>
  <si>
    <t>clique</t>
  </si>
  <si>
    <t>clog</t>
  </si>
  <si>
    <t>clogged</t>
  </si>
  <si>
    <t>clogs</t>
  </si>
  <si>
    <t>cloud</t>
  </si>
  <si>
    <t>clouding</t>
  </si>
  <si>
    <t>cloudy</t>
  </si>
  <si>
    <t>clueless</t>
  </si>
  <si>
    <t>clumsy</t>
  </si>
  <si>
    <t>clunky</t>
  </si>
  <si>
    <t>coarse</t>
  </si>
  <si>
    <t>cocky</t>
  </si>
  <si>
    <t>coerce</t>
  </si>
  <si>
    <t>coercion</t>
  </si>
  <si>
    <t>coercive</t>
  </si>
  <si>
    <t>cohere</t>
  </si>
  <si>
    <t>coherence</t>
  </si>
  <si>
    <t>coherent</t>
  </si>
  <si>
    <t>cohesive</t>
  </si>
  <si>
    <t>cold</t>
  </si>
  <si>
    <t>coldly</t>
  </si>
  <si>
    <t>collapse</t>
  </si>
  <si>
    <t>collude</t>
  </si>
  <si>
    <t>collusion</t>
  </si>
  <si>
    <t>colorful</t>
  </si>
  <si>
    <t>combative</t>
  </si>
  <si>
    <t>combust</t>
  </si>
  <si>
    <t>comely</t>
  </si>
  <si>
    <t>comfort</t>
  </si>
  <si>
    <t>comfortable</t>
  </si>
  <si>
    <t>comfortably</t>
  </si>
  <si>
    <t>comforting</t>
  </si>
  <si>
    <t>comfy</t>
  </si>
  <si>
    <t>comical</t>
  </si>
  <si>
    <t>commend</t>
  </si>
  <si>
    <t>commendable</t>
  </si>
  <si>
    <t>commendably</t>
  </si>
  <si>
    <t>commiserate</t>
  </si>
  <si>
    <t>commitment</t>
  </si>
  <si>
    <t>commodious</t>
  </si>
  <si>
    <t>commonplace</t>
  </si>
  <si>
    <t>commotion</t>
  </si>
  <si>
    <t>commotions</t>
  </si>
  <si>
    <t>compact</t>
  </si>
  <si>
    <t>compactly</t>
  </si>
  <si>
    <t>compassion</t>
  </si>
  <si>
    <t>compassionate</t>
  </si>
  <si>
    <t>compatible</t>
  </si>
  <si>
    <t>competitive</t>
  </si>
  <si>
    <t>complacent</t>
  </si>
  <si>
    <t>complain</t>
  </si>
  <si>
    <t>complained</t>
  </si>
  <si>
    <t>complaining</t>
  </si>
  <si>
    <t>complains</t>
  </si>
  <si>
    <t>complaint</t>
  </si>
  <si>
    <t>complaints</t>
  </si>
  <si>
    <t>complement</t>
  </si>
  <si>
    <t>complementary</t>
  </si>
  <si>
    <t>complemented</t>
  </si>
  <si>
    <t>complements</t>
  </si>
  <si>
    <t>complex</t>
  </si>
  <si>
    <t>compliant</t>
  </si>
  <si>
    <t>complicated</t>
  </si>
  <si>
    <t>complication</t>
  </si>
  <si>
    <t>complicit</t>
  </si>
  <si>
    <t>compliment</t>
  </si>
  <si>
    <t>complimentary</t>
  </si>
  <si>
    <t>comprehensive</t>
  </si>
  <si>
    <t>compulsion</t>
  </si>
  <si>
    <t>compulsive</t>
  </si>
  <si>
    <t>concede</t>
  </si>
  <si>
    <t>conceded</t>
  </si>
  <si>
    <t>conceit</t>
  </si>
  <si>
    <t>conceited</t>
  </si>
  <si>
    <t>concen</t>
  </si>
  <si>
    <t>concens</t>
  </si>
  <si>
    <t>concern</t>
  </si>
  <si>
    <t>concerned</t>
  </si>
  <si>
    <t>concerns</t>
  </si>
  <si>
    <t>concession</t>
  </si>
  <si>
    <t>concessions</t>
  </si>
  <si>
    <t>conciliate</t>
  </si>
  <si>
    <t>conciliatory</t>
  </si>
  <si>
    <t>concise</t>
  </si>
  <si>
    <t>condemn</t>
  </si>
  <si>
    <t>condemnable</t>
  </si>
  <si>
    <t>condemnation</t>
  </si>
  <si>
    <t>condemned</t>
  </si>
  <si>
    <t>condemns</t>
  </si>
  <si>
    <t>condescend</t>
  </si>
  <si>
    <t>condescending</t>
  </si>
  <si>
    <t>condescendingly</t>
  </si>
  <si>
    <t>condescension</t>
  </si>
  <si>
    <t>confess</t>
  </si>
  <si>
    <t>confession</t>
  </si>
  <si>
    <t>confessions</t>
  </si>
  <si>
    <t>confidence</t>
  </si>
  <si>
    <t>confident</t>
  </si>
  <si>
    <t>confined</t>
  </si>
  <si>
    <t>conflict</t>
  </si>
  <si>
    <t>conflicted</t>
  </si>
  <si>
    <t>conflicting</t>
  </si>
  <si>
    <t>conflicts</t>
  </si>
  <si>
    <t>confound</t>
  </si>
  <si>
    <t>confounded</t>
  </si>
  <si>
    <t>confounding</t>
  </si>
  <si>
    <t>confront</t>
  </si>
  <si>
    <t>confrontation</t>
  </si>
  <si>
    <t>confrontational</t>
  </si>
  <si>
    <t>confuse</t>
  </si>
  <si>
    <t>confused</t>
  </si>
  <si>
    <t>confuses</t>
  </si>
  <si>
    <t>confusing</t>
  </si>
  <si>
    <t>confusion</t>
  </si>
  <si>
    <t>confusions</t>
  </si>
  <si>
    <t>congenial</t>
  </si>
  <si>
    <t>congested</t>
  </si>
  <si>
    <t>congestion</t>
  </si>
  <si>
    <t>congratulate</t>
  </si>
  <si>
    <t>congratulation</t>
  </si>
  <si>
    <t>congratulations</t>
  </si>
  <si>
    <t>congratulatory</t>
  </si>
  <si>
    <t>cons</t>
  </si>
  <si>
    <t>conscientious</t>
  </si>
  <si>
    <t>conscons</t>
  </si>
  <si>
    <t>conservative</t>
  </si>
  <si>
    <t>considerate</t>
  </si>
  <si>
    <t>consistent</t>
  </si>
  <si>
    <t>consistently</t>
  </si>
  <si>
    <t>conspicuous</t>
  </si>
  <si>
    <t>conspicuously</t>
  </si>
  <si>
    <t>conspiracies</t>
  </si>
  <si>
    <t>conspiracy</t>
  </si>
  <si>
    <t>conspirator</t>
  </si>
  <si>
    <t>conspiratorial</t>
  </si>
  <si>
    <t>conspire</t>
  </si>
  <si>
    <t>consternation</t>
  </si>
  <si>
    <t>constructive</t>
  </si>
  <si>
    <t>consummate</t>
  </si>
  <si>
    <t>contagious</t>
  </si>
  <si>
    <t>contaminate</t>
  </si>
  <si>
    <t>contaminated</t>
  </si>
  <si>
    <t>contaminates</t>
  </si>
  <si>
    <t>contaminating</t>
  </si>
  <si>
    <t>contamination</t>
  </si>
  <si>
    <t>contempt</t>
  </si>
  <si>
    <t>contemptible</t>
  </si>
  <si>
    <t>contemptuous</t>
  </si>
  <si>
    <t>contemptuously</t>
  </si>
  <si>
    <t>contend</t>
  </si>
  <si>
    <t>contention</t>
  </si>
  <si>
    <t>contentious</t>
  </si>
  <si>
    <t>contentment</t>
  </si>
  <si>
    <t>continuity</t>
  </si>
  <si>
    <t>contort</t>
  </si>
  <si>
    <t>contortions</t>
  </si>
  <si>
    <t>contradict</t>
  </si>
  <si>
    <t>contradiction</t>
  </si>
  <si>
    <t>contradictory</t>
  </si>
  <si>
    <t>contrariness</t>
  </si>
  <si>
    <t>contrasty</t>
  </si>
  <si>
    <t>contravene</t>
  </si>
  <si>
    <t>contribution</t>
  </si>
  <si>
    <t>contrive</t>
  </si>
  <si>
    <t>contrived</t>
  </si>
  <si>
    <t>controversial</t>
  </si>
  <si>
    <t>controversy</t>
  </si>
  <si>
    <t>convenience</t>
  </si>
  <si>
    <t>convenient</t>
  </si>
  <si>
    <t>conveniently</t>
  </si>
  <si>
    <t>convience</t>
  </si>
  <si>
    <t>convienient</t>
  </si>
  <si>
    <t>convient</t>
  </si>
  <si>
    <t>convincing</t>
  </si>
  <si>
    <t>convincingly</t>
  </si>
  <si>
    <t>convoluted</t>
  </si>
  <si>
    <t>cool</t>
  </si>
  <si>
    <t>coolest</t>
  </si>
  <si>
    <t>cooperative</t>
  </si>
  <si>
    <t>cooperatively</t>
  </si>
  <si>
    <t>cornerstone</t>
  </si>
  <si>
    <t>correct</t>
  </si>
  <si>
    <t>correctly</t>
  </si>
  <si>
    <t>corrode</t>
  </si>
  <si>
    <t>corrosion</t>
  </si>
  <si>
    <t>corrosions</t>
  </si>
  <si>
    <t>corrosive</t>
  </si>
  <si>
    <t>corrupt</t>
  </si>
  <si>
    <t>corrupted</t>
  </si>
  <si>
    <t>corrupting</t>
  </si>
  <si>
    <t>corruption</t>
  </si>
  <si>
    <t>corrupts</t>
  </si>
  <si>
    <t>corruptted</t>
  </si>
  <si>
    <t>cost-effective</t>
  </si>
  <si>
    <t>cost-saving</t>
  </si>
  <si>
    <t>costlier</t>
  </si>
  <si>
    <t>costly</t>
  </si>
  <si>
    <t>counter-attack</t>
  </si>
  <si>
    <t>counter-attacks</t>
  </si>
  <si>
    <t>counter-productive</t>
  </si>
  <si>
    <t>counterproductive</t>
  </si>
  <si>
    <t>coupists</t>
  </si>
  <si>
    <t>courage</t>
  </si>
  <si>
    <t>courageous</t>
  </si>
  <si>
    <t>courageously</t>
  </si>
  <si>
    <t>courageousness</t>
  </si>
  <si>
    <t>courteous</t>
  </si>
  <si>
    <t>courtly</t>
  </si>
  <si>
    <t>covenant</t>
  </si>
  <si>
    <t>covetous</t>
  </si>
  <si>
    <t>coward</t>
  </si>
  <si>
    <t>cowardly</t>
  </si>
  <si>
    <t>cozy</t>
  </si>
  <si>
    <t>crabby</t>
  </si>
  <si>
    <t>crack</t>
  </si>
  <si>
    <t>cracked</t>
  </si>
  <si>
    <t>cracks</t>
  </si>
  <si>
    <t>craftily</t>
  </si>
  <si>
    <t>craftly</t>
  </si>
  <si>
    <t>crafty</t>
  </si>
  <si>
    <t>cramp</t>
  </si>
  <si>
    <t>cramped</t>
  </si>
  <si>
    <t>cramping</t>
  </si>
  <si>
    <t>cranky</t>
  </si>
  <si>
    <t>crap</t>
  </si>
  <si>
    <t>crappy</t>
  </si>
  <si>
    <t>craps</t>
  </si>
  <si>
    <t>crash</t>
  </si>
  <si>
    <t>crashed</t>
  </si>
  <si>
    <t>crashes</t>
  </si>
  <si>
    <t>crashing</t>
  </si>
  <si>
    <t>crass</t>
  </si>
  <si>
    <t>craven</t>
  </si>
  <si>
    <t>cravenly</t>
  </si>
  <si>
    <t>craze</t>
  </si>
  <si>
    <t>crazily</t>
  </si>
  <si>
    <t>craziness</t>
  </si>
  <si>
    <t>crazy</t>
  </si>
  <si>
    <t>creak</t>
  </si>
  <si>
    <t>creaking</t>
  </si>
  <si>
    <t>creaks</t>
  </si>
  <si>
    <t>creative</t>
  </si>
  <si>
    <t>credence</t>
  </si>
  <si>
    <t>credible</t>
  </si>
  <si>
    <t>credulous</t>
  </si>
  <si>
    <t>creep</t>
  </si>
  <si>
    <t>creeping</t>
  </si>
  <si>
    <t>creeps</t>
  </si>
  <si>
    <t>creepy</t>
  </si>
  <si>
    <t>crept</t>
  </si>
  <si>
    <t>crime</t>
  </si>
  <si>
    <t>criminal</t>
  </si>
  <si>
    <t>cringe</t>
  </si>
  <si>
    <t>cringed</t>
  </si>
  <si>
    <t>cringes</t>
  </si>
  <si>
    <t>cripple</t>
  </si>
  <si>
    <t>crippled</t>
  </si>
  <si>
    <t>cripples</t>
  </si>
  <si>
    <t>crippling</t>
  </si>
  <si>
    <t>crisis</t>
  </si>
  <si>
    <t>crisp</t>
  </si>
  <si>
    <t>crisper</t>
  </si>
  <si>
    <t>critic</t>
  </si>
  <si>
    <t>critical</t>
  </si>
  <si>
    <t>criticism</t>
  </si>
  <si>
    <t>criticisms</t>
  </si>
  <si>
    <t>criticize</t>
  </si>
  <si>
    <t>criticized</t>
  </si>
  <si>
    <t>criticizing</t>
  </si>
  <si>
    <t>critics</t>
  </si>
  <si>
    <t>cronyism</t>
  </si>
  <si>
    <t>crook</t>
  </si>
  <si>
    <t>crooked</t>
  </si>
  <si>
    <t>crooks</t>
  </si>
  <si>
    <t>crowded</t>
  </si>
  <si>
    <t>crowdedness</t>
  </si>
  <si>
    <t>crude</t>
  </si>
  <si>
    <t>cruel</t>
  </si>
  <si>
    <t>crueler</t>
  </si>
  <si>
    <t>cruelest</t>
  </si>
  <si>
    <t>cruelly</t>
  </si>
  <si>
    <t>cruelness</t>
  </si>
  <si>
    <t>cruelties</t>
  </si>
  <si>
    <t>cruelty</t>
  </si>
  <si>
    <t>crumble</t>
  </si>
  <si>
    <t>crumbling</t>
  </si>
  <si>
    <t>crummy</t>
  </si>
  <si>
    <t>crumple</t>
  </si>
  <si>
    <t>crumpled</t>
  </si>
  <si>
    <t>crumples</t>
  </si>
  <si>
    <t>crush</t>
  </si>
  <si>
    <t>crushed</t>
  </si>
  <si>
    <t>crushing</t>
  </si>
  <si>
    <t>cry</t>
  </si>
  <si>
    <t>culpable</t>
  </si>
  <si>
    <t>culprit</t>
  </si>
  <si>
    <t>cumbersome</t>
  </si>
  <si>
    <t>cunt</t>
  </si>
  <si>
    <t>cunts</t>
  </si>
  <si>
    <t>cuplrit</t>
  </si>
  <si>
    <t>cure</t>
  </si>
  <si>
    <t>cure-all</t>
  </si>
  <si>
    <t>curse</t>
  </si>
  <si>
    <t>cursed</t>
  </si>
  <si>
    <t>curses</t>
  </si>
  <si>
    <t>curt</t>
  </si>
  <si>
    <t>cushy</t>
  </si>
  <si>
    <t>cuss</t>
  </si>
  <si>
    <t>cussed</t>
  </si>
  <si>
    <t>cute</t>
  </si>
  <si>
    <t>cuteness</t>
  </si>
  <si>
    <t>cutthroat</t>
  </si>
  <si>
    <t>cynical</t>
  </si>
  <si>
    <t>cynicism</t>
  </si>
  <si>
    <t>d*mn</t>
  </si>
  <si>
    <t>damage</t>
  </si>
  <si>
    <t>damaged</t>
  </si>
  <si>
    <t>damages</t>
  </si>
  <si>
    <t>damaging</t>
  </si>
  <si>
    <t>damn</t>
  </si>
  <si>
    <t>damnable</t>
  </si>
  <si>
    <t>damnably</t>
  </si>
  <si>
    <t>damnation</t>
  </si>
  <si>
    <t>damned</t>
  </si>
  <si>
    <t>damning</t>
  </si>
  <si>
    <t>damper</t>
  </si>
  <si>
    <t>danger</t>
  </si>
  <si>
    <t>dangerous</t>
  </si>
  <si>
    <t>dangerousness</t>
  </si>
  <si>
    <t>danke</t>
  </si>
  <si>
    <t>danken</t>
  </si>
  <si>
    <t>daring</t>
  </si>
  <si>
    <t>daringly</t>
  </si>
  <si>
    <t>dark</t>
  </si>
  <si>
    <t>darken</t>
  </si>
  <si>
    <t>darkened</t>
  </si>
  <si>
    <t>darker</t>
  </si>
  <si>
    <t>darkness</t>
  </si>
  <si>
    <t>darling</t>
  </si>
  <si>
    <t>dashing</t>
  </si>
  <si>
    <t>dastard</t>
  </si>
  <si>
    <t>dastardly</t>
  </si>
  <si>
    <t>daunt</t>
  </si>
  <si>
    <t>daunting</t>
  </si>
  <si>
    <t>dauntingly</t>
  </si>
  <si>
    <t>dauntless</t>
  </si>
  <si>
    <t>dawdle</t>
  </si>
  <si>
    <t>dawn</t>
  </si>
  <si>
    <t>daze</t>
  </si>
  <si>
    <t>dazed</t>
  </si>
  <si>
    <t>dazzle</t>
  </si>
  <si>
    <t>dazzled</t>
  </si>
  <si>
    <t>dazzling</t>
  </si>
  <si>
    <t>dead</t>
  </si>
  <si>
    <t>dead-cheap</t>
  </si>
  <si>
    <t>dead-on</t>
  </si>
  <si>
    <t>deadbeat</t>
  </si>
  <si>
    <t>deadlock</t>
  </si>
  <si>
    <t>deadly</t>
  </si>
  <si>
    <t>deadweight</t>
  </si>
  <si>
    <t>deaf</t>
  </si>
  <si>
    <t>dearth</t>
  </si>
  <si>
    <t>death</t>
  </si>
  <si>
    <t>debacle</t>
  </si>
  <si>
    <t>debase</t>
  </si>
  <si>
    <t>debasement</t>
  </si>
  <si>
    <t>debaser</t>
  </si>
  <si>
    <t>debatable</t>
  </si>
  <si>
    <t>debauch</t>
  </si>
  <si>
    <t>debaucher</t>
  </si>
  <si>
    <t>debauchery</t>
  </si>
  <si>
    <t>debilitate</t>
  </si>
  <si>
    <t>debilitating</t>
  </si>
  <si>
    <t>debility</t>
  </si>
  <si>
    <t>debt</t>
  </si>
  <si>
    <t>debts</t>
  </si>
  <si>
    <t>decadence</t>
  </si>
  <si>
    <t>decadent</t>
  </si>
  <si>
    <t>decay</t>
  </si>
  <si>
    <t>decayed</t>
  </si>
  <si>
    <t>deceit</t>
  </si>
  <si>
    <t>deceitful</t>
  </si>
  <si>
    <t>deceitfully</t>
  </si>
  <si>
    <t>deceitfulness</t>
  </si>
  <si>
    <t>deceive</t>
  </si>
  <si>
    <t>deceiver</t>
  </si>
  <si>
    <t>deceivers</t>
  </si>
  <si>
    <t>deceiving</t>
  </si>
  <si>
    <t>decency</t>
  </si>
  <si>
    <t>decent</t>
  </si>
  <si>
    <t>deception</t>
  </si>
  <si>
    <t>deceptive</t>
  </si>
  <si>
    <t>deceptively</t>
  </si>
  <si>
    <t>decisive</t>
  </si>
  <si>
    <t>decisiveness</t>
  </si>
  <si>
    <t>declaim</t>
  </si>
  <si>
    <t>decline</t>
  </si>
  <si>
    <t>declines</t>
  </si>
  <si>
    <t>declining</t>
  </si>
  <si>
    <t>decrement</t>
  </si>
  <si>
    <t>decrepit</t>
  </si>
  <si>
    <t>decrepitude</t>
  </si>
  <si>
    <t>decry</t>
  </si>
  <si>
    <t>dedicated</t>
  </si>
  <si>
    <t>defamation</t>
  </si>
  <si>
    <t>defamations</t>
  </si>
  <si>
    <t>defamatory</t>
  </si>
  <si>
    <t>defame</t>
  </si>
  <si>
    <t>defeat</t>
  </si>
  <si>
    <t>defeated</t>
  </si>
  <si>
    <t>defeating</t>
  </si>
  <si>
    <t>defeats</t>
  </si>
  <si>
    <t>defect</t>
  </si>
  <si>
    <t>defective</t>
  </si>
  <si>
    <t>defects</t>
  </si>
  <si>
    <t>defender</t>
  </si>
  <si>
    <t>defensive</t>
  </si>
  <si>
    <t>deference</t>
  </si>
  <si>
    <t>defiance</t>
  </si>
  <si>
    <t>defiant</t>
  </si>
  <si>
    <t>defiantly</t>
  </si>
  <si>
    <t>deficiencies</t>
  </si>
  <si>
    <t>deficiency</t>
  </si>
  <si>
    <t>deficient</t>
  </si>
  <si>
    <t>defile</t>
  </si>
  <si>
    <t>defiler</t>
  </si>
  <si>
    <t>deform</t>
  </si>
  <si>
    <t>deformed</t>
  </si>
  <si>
    <t>defrauding</t>
  </si>
  <si>
    <t>deft</t>
  </si>
  <si>
    <t>defunct</t>
  </si>
  <si>
    <t>defy</t>
  </si>
  <si>
    <t>degenerate</t>
  </si>
  <si>
    <t>degenerately</t>
  </si>
  <si>
    <t>degeneration</t>
  </si>
  <si>
    <t>deginified</t>
  </si>
  <si>
    <t>degradation</t>
  </si>
  <si>
    <t>degrade</t>
  </si>
  <si>
    <t>degrading</t>
  </si>
  <si>
    <t>degradingly</t>
  </si>
  <si>
    <t>dehumanization</t>
  </si>
  <si>
    <t>dehumanize</t>
  </si>
  <si>
    <t>deign</t>
  </si>
  <si>
    <t>deject</t>
  </si>
  <si>
    <t>dejected</t>
  </si>
  <si>
    <t>dejectedly</t>
  </si>
  <si>
    <t>dejection</t>
  </si>
  <si>
    <t>delay</t>
  </si>
  <si>
    <t>delayed</t>
  </si>
  <si>
    <t>delaying</t>
  </si>
  <si>
    <t>delays</t>
  </si>
  <si>
    <t>delectable</t>
  </si>
  <si>
    <t>delicacy</t>
  </si>
  <si>
    <t>delicate</t>
  </si>
  <si>
    <t>delicious</t>
  </si>
  <si>
    <t>delight</t>
  </si>
  <si>
    <t>delighted</t>
  </si>
  <si>
    <t>delightful</t>
  </si>
  <si>
    <t>delightfully</t>
  </si>
  <si>
    <t>delightfulness</t>
  </si>
  <si>
    <t>delinquency</t>
  </si>
  <si>
    <t>delinquent</t>
  </si>
  <si>
    <t>delirious</t>
  </si>
  <si>
    <t>delirium</t>
  </si>
  <si>
    <t>delude</t>
  </si>
  <si>
    <t>deluded</t>
  </si>
  <si>
    <t>deluge</t>
  </si>
  <si>
    <t>delusion</t>
  </si>
  <si>
    <t>delusional</t>
  </si>
  <si>
    <t>delusions</t>
  </si>
  <si>
    <t>demean</t>
  </si>
  <si>
    <t>demeaning</t>
  </si>
  <si>
    <t>demise</t>
  </si>
  <si>
    <t>demolish</t>
  </si>
  <si>
    <t>demolisher</t>
  </si>
  <si>
    <t>demon</t>
  </si>
  <si>
    <t>demonic</t>
  </si>
  <si>
    <t>demonize</t>
  </si>
  <si>
    <t>demonized</t>
  </si>
  <si>
    <t>demonizes</t>
  </si>
  <si>
    <t>demonizing</t>
  </si>
  <si>
    <t>demoralize</t>
  </si>
  <si>
    <t>demoralizing</t>
  </si>
  <si>
    <t>demoralizingly</t>
  </si>
  <si>
    <t>denial</t>
  </si>
  <si>
    <t>denied</t>
  </si>
  <si>
    <t>denies</t>
  </si>
  <si>
    <t>denigrate</t>
  </si>
  <si>
    <t>denounce</t>
  </si>
  <si>
    <t>dense</t>
  </si>
  <si>
    <t>dent</t>
  </si>
  <si>
    <t>dented</t>
  </si>
  <si>
    <t>dents</t>
  </si>
  <si>
    <t>denunciate</t>
  </si>
  <si>
    <t>denunciation</t>
  </si>
  <si>
    <t>denunciations</t>
  </si>
  <si>
    <t>deny</t>
  </si>
  <si>
    <t>denying</t>
  </si>
  <si>
    <t>dependable</t>
  </si>
  <si>
    <t>dependably</t>
  </si>
  <si>
    <t>deplete</t>
  </si>
  <si>
    <t>deplorable</t>
  </si>
  <si>
    <t>deplorably</t>
  </si>
  <si>
    <t>deplore</t>
  </si>
  <si>
    <t>deploring</t>
  </si>
  <si>
    <t>deploringly</t>
  </si>
  <si>
    <t>deprave</t>
  </si>
  <si>
    <t>depraved</t>
  </si>
  <si>
    <t>depravedly</t>
  </si>
  <si>
    <t>deprecate</t>
  </si>
  <si>
    <t>depress</t>
  </si>
  <si>
    <t>depressed</t>
  </si>
  <si>
    <t>depressing</t>
  </si>
  <si>
    <t>depressingly</t>
  </si>
  <si>
    <t>depression</t>
  </si>
  <si>
    <t>depressions</t>
  </si>
  <si>
    <t>deprive</t>
  </si>
  <si>
    <t>deprived</t>
  </si>
  <si>
    <t>deride</t>
  </si>
  <si>
    <t>derision</t>
  </si>
  <si>
    <t>derisive</t>
  </si>
  <si>
    <t>derisively</t>
  </si>
  <si>
    <t>derisiveness</t>
  </si>
  <si>
    <t>derogatory</t>
  </si>
  <si>
    <t>desecrate</t>
  </si>
  <si>
    <t>desert</t>
  </si>
  <si>
    <t>desertion</t>
  </si>
  <si>
    <t>deservedly</t>
  </si>
  <si>
    <t>deserving</t>
  </si>
  <si>
    <t>desiccate</t>
  </si>
  <si>
    <t>desiccated</t>
  </si>
  <si>
    <t>desirable</t>
  </si>
  <si>
    <t>desiring</t>
  </si>
  <si>
    <t>desirous</t>
  </si>
  <si>
    <t>desititute</t>
  </si>
  <si>
    <t>desolate</t>
  </si>
  <si>
    <t>desolately</t>
  </si>
  <si>
    <t>desolation</t>
  </si>
  <si>
    <t>despair</t>
  </si>
  <si>
    <t>despairing</t>
  </si>
  <si>
    <t>despairingly</t>
  </si>
  <si>
    <t>desperate</t>
  </si>
  <si>
    <t>desperately</t>
  </si>
  <si>
    <t>desperation</t>
  </si>
  <si>
    <t>despicable</t>
  </si>
  <si>
    <t>despicably</t>
  </si>
  <si>
    <t>despise</t>
  </si>
  <si>
    <t>despised</t>
  </si>
  <si>
    <t>despoil</t>
  </si>
  <si>
    <t>despoiler</t>
  </si>
  <si>
    <t>despondence</t>
  </si>
  <si>
    <t>despondency</t>
  </si>
  <si>
    <t>despondent</t>
  </si>
  <si>
    <t>despondently</t>
  </si>
  <si>
    <t>despot</t>
  </si>
  <si>
    <t>despotic</t>
  </si>
  <si>
    <t>despotism</t>
  </si>
  <si>
    <t>destabilisation</t>
  </si>
  <si>
    <t>destains</t>
  </si>
  <si>
    <t>destiny</t>
  </si>
  <si>
    <t>destitute</t>
  </si>
  <si>
    <t>destitution</t>
  </si>
  <si>
    <t>destroy</t>
  </si>
  <si>
    <t>destroyer</t>
  </si>
  <si>
    <t>destruction</t>
  </si>
  <si>
    <t>destructive</t>
  </si>
  <si>
    <t>desultory</t>
  </si>
  <si>
    <t>detachable</t>
  </si>
  <si>
    <t>deter</t>
  </si>
  <si>
    <t>deteriorate</t>
  </si>
  <si>
    <t>deteriorating</t>
  </si>
  <si>
    <t>deterioration</t>
  </si>
  <si>
    <t>deterrent</t>
  </si>
  <si>
    <t>detest</t>
  </si>
  <si>
    <t>detestable</t>
  </si>
  <si>
    <t>detestably</t>
  </si>
  <si>
    <t>detested</t>
  </si>
  <si>
    <t>detesting</t>
  </si>
  <si>
    <t>detests</t>
  </si>
  <si>
    <t>detract</t>
  </si>
  <si>
    <t>detracted</t>
  </si>
  <si>
    <t>detracting</t>
  </si>
  <si>
    <t>detraction</t>
  </si>
  <si>
    <t>detracts</t>
  </si>
  <si>
    <t>detriment</t>
  </si>
  <si>
    <t>detrimental</t>
  </si>
  <si>
    <t>devastate</t>
  </si>
  <si>
    <t>devastated</t>
  </si>
  <si>
    <t>devastates</t>
  </si>
  <si>
    <t>devastating</t>
  </si>
  <si>
    <t>devastatingly</t>
  </si>
  <si>
    <t>devastation</t>
  </si>
  <si>
    <t>deviate</t>
  </si>
  <si>
    <t>deviation</t>
  </si>
  <si>
    <t>devil</t>
  </si>
  <si>
    <t>devilish</t>
  </si>
  <si>
    <t>devilishly</t>
  </si>
  <si>
    <t>devilment</t>
  </si>
  <si>
    <t>devilry</t>
  </si>
  <si>
    <t>devious</t>
  </si>
  <si>
    <t>deviously</t>
  </si>
  <si>
    <t>deviousness</t>
  </si>
  <si>
    <t>devoid</t>
  </si>
  <si>
    <t>devout</t>
  </si>
  <si>
    <t>dexterous</t>
  </si>
  <si>
    <t>dexterously</t>
  </si>
  <si>
    <t>dextrous</t>
  </si>
  <si>
    <t>diabolic</t>
  </si>
  <si>
    <t>diabolical</t>
  </si>
  <si>
    <t>diabolically</t>
  </si>
  <si>
    <t>diametrically</t>
  </si>
  <si>
    <t>diappointed</t>
  </si>
  <si>
    <t>diatribe</t>
  </si>
  <si>
    <t>diatribes</t>
  </si>
  <si>
    <t>dick</t>
  </si>
  <si>
    <t>dictator</t>
  </si>
  <si>
    <t>dictatorial</t>
  </si>
  <si>
    <t>die</t>
  </si>
  <si>
    <t>die-hard</t>
  </si>
  <si>
    <t>died</t>
  </si>
  <si>
    <t>dies</t>
  </si>
  <si>
    <t>difficult</t>
  </si>
  <si>
    <t>difficulties</t>
  </si>
  <si>
    <t>difficulty</t>
  </si>
  <si>
    <t>diffidence</t>
  </si>
  <si>
    <t>dignified</t>
  </si>
  <si>
    <t>dignify</t>
  </si>
  <si>
    <t>dignity</t>
  </si>
  <si>
    <t>dilapidated</t>
  </si>
  <si>
    <t>dilemma</t>
  </si>
  <si>
    <t>diligence</t>
  </si>
  <si>
    <t>diligent</t>
  </si>
  <si>
    <t>diligently</t>
  </si>
  <si>
    <t>dilly-dally</t>
  </si>
  <si>
    <t>dim</t>
  </si>
  <si>
    <t>dimmer</t>
  </si>
  <si>
    <t>din</t>
  </si>
  <si>
    <t>ding</t>
  </si>
  <si>
    <t>dings</t>
  </si>
  <si>
    <t>dinky</t>
  </si>
  <si>
    <t>diplomatic</t>
  </si>
  <si>
    <t>dire</t>
  </si>
  <si>
    <t>direly</t>
  </si>
  <si>
    <t>direness</t>
  </si>
  <si>
    <t>dirt</t>
  </si>
  <si>
    <t>dirt-cheap</t>
  </si>
  <si>
    <t>dirtbag</t>
  </si>
  <si>
    <t>dirtbags</t>
  </si>
  <si>
    <t>dirts</t>
  </si>
  <si>
    <t>dirty</t>
  </si>
  <si>
    <t>disable</t>
  </si>
  <si>
    <t>disabled</t>
  </si>
  <si>
    <t>disaccord</t>
  </si>
  <si>
    <t>disadvantage</t>
  </si>
  <si>
    <t>disadvantaged</t>
  </si>
  <si>
    <t>disadvantageous</t>
  </si>
  <si>
    <t>disadvantages</t>
  </si>
  <si>
    <t>disaffect</t>
  </si>
  <si>
    <t>disaffected</t>
  </si>
  <si>
    <t>disaffirm</t>
  </si>
  <si>
    <t>disagree</t>
  </si>
  <si>
    <t>disagreeable</t>
  </si>
  <si>
    <t>disagreeably</t>
  </si>
  <si>
    <t>disagreed</t>
  </si>
  <si>
    <t>disagreeing</t>
  </si>
  <si>
    <t>disagreement</t>
  </si>
  <si>
    <t>disagrees</t>
  </si>
  <si>
    <t>disallow</t>
  </si>
  <si>
    <t>disapointed</t>
  </si>
  <si>
    <t>disapointing</t>
  </si>
  <si>
    <t>disapointment</t>
  </si>
  <si>
    <t>disappoint</t>
  </si>
  <si>
    <t>disappointed</t>
  </si>
  <si>
    <t>disappointing</t>
  </si>
  <si>
    <t>disappointingly</t>
  </si>
  <si>
    <t>disappointment</t>
  </si>
  <si>
    <t>disappointments</t>
  </si>
  <si>
    <t>disappoints</t>
  </si>
  <si>
    <t>disapprobation</t>
  </si>
  <si>
    <t>disapproval</t>
  </si>
  <si>
    <t>disapprove</t>
  </si>
  <si>
    <t>disapproving</t>
  </si>
  <si>
    <t>disarm</t>
  </si>
  <si>
    <t>disarray</t>
  </si>
  <si>
    <t>disaster</t>
  </si>
  <si>
    <t>disasterous</t>
  </si>
  <si>
    <t>disastrous</t>
  </si>
  <si>
    <t>disastrously</t>
  </si>
  <si>
    <t>disavow</t>
  </si>
  <si>
    <t>disavowal</t>
  </si>
  <si>
    <t>disbelief</t>
  </si>
  <si>
    <t>disbelieve</t>
  </si>
  <si>
    <t>disbeliever</t>
  </si>
  <si>
    <t>disclaim</t>
  </si>
  <si>
    <t>discombobulate</t>
  </si>
  <si>
    <t>discomfit</t>
  </si>
  <si>
    <t>discomfititure</t>
  </si>
  <si>
    <t>discomfort</t>
  </si>
  <si>
    <t>discompose</t>
  </si>
  <si>
    <t>disconcert</t>
  </si>
  <si>
    <t>disconcerted</t>
  </si>
  <si>
    <t>disconcerting</t>
  </si>
  <si>
    <t>disconcertingly</t>
  </si>
  <si>
    <t>disconsolate</t>
  </si>
  <si>
    <t>disconsolately</t>
  </si>
  <si>
    <t>disconsolation</t>
  </si>
  <si>
    <t>discontent</t>
  </si>
  <si>
    <t>discontented</t>
  </si>
  <si>
    <t>discontentedly</t>
  </si>
  <si>
    <t>discontinued</t>
  </si>
  <si>
    <t>discontinuity</t>
  </si>
  <si>
    <t>discontinuous</t>
  </si>
  <si>
    <t>discord</t>
  </si>
  <si>
    <t>discordance</t>
  </si>
  <si>
    <t>discordant</t>
  </si>
  <si>
    <t>discountenance</t>
  </si>
  <si>
    <t>discourage</t>
  </si>
  <si>
    <t>discouragement</t>
  </si>
  <si>
    <t>discouraging</t>
  </si>
  <si>
    <t>discouragingly</t>
  </si>
  <si>
    <t>discourteous</t>
  </si>
  <si>
    <t>discourteously</t>
  </si>
  <si>
    <t>discoutinous</t>
  </si>
  <si>
    <t>discredit</t>
  </si>
  <si>
    <t>discrepant</t>
  </si>
  <si>
    <t>discriminate</t>
  </si>
  <si>
    <t>discrimination</t>
  </si>
  <si>
    <t>discriminatory</t>
  </si>
  <si>
    <t>disdain</t>
  </si>
  <si>
    <t>disdained</t>
  </si>
  <si>
    <t>disdainful</t>
  </si>
  <si>
    <t>disdainfully</t>
  </si>
  <si>
    <t>disfavor</t>
  </si>
  <si>
    <t>disgrace</t>
  </si>
  <si>
    <t>disgraced</t>
  </si>
  <si>
    <t>disgraceful</t>
  </si>
  <si>
    <t>disgracefully</t>
  </si>
  <si>
    <t>disgruntle</t>
  </si>
  <si>
    <t>disgruntled</t>
  </si>
  <si>
    <t>disgust</t>
  </si>
  <si>
    <t>disgusted</t>
  </si>
  <si>
    <t>disgustedly</t>
  </si>
  <si>
    <t>disgustful</t>
  </si>
  <si>
    <t>disgustfully</t>
  </si>
  <si>
    <t>disgusting</t>
  </si>
  <si>
    <t>disgustingly</t>
  </si>
  <si>
    <t>dishearten</t>
  </si>
  <si>
    <t>disheartening</t>
  </si>
  <si>
    <t>dishearteningly</t>
  </si>
  <si>
    <t>dishonest</t>
  </si>
  <si>
    <t>dishonestly</t>
  </si>
  <si>
    <t>dishonesty</t>
  </si>
  <si>
    <t>dishonor</t>
  </si>
  <si>
    <t>dishonorable</t>
  </si>
  <si>
    <t>dishonorablely</t>
  </si>
  <si>
    <t>disillusion</t>
  </si>
  <si>
    <t>disillusioned</t>
  </si>
  <si>
    <t>disillusionment</t>
  </si>
  <si>
    <t>disillusions</t>
  </si>
  <si>
    <t>disinclination</t>
  </si>
  <si>
    <t>disinclined</t>
  </si>
  <si>
    <t>disingenuous</t>
  </si>
  <si>
    <t>disingenuously</t>
  </si>
  <si>
    <t>disintegrate</t>
  </si>
  <si>
    <t>disintegrated</t>
  </si>
  <si>
    <t>disintegrates</t>
  </si>
  <si>
    <t>disintegration</t>
  </si>
  <si>
    <t>disinterest</t>
  </si>
  <si>
    <t>disinterested</t>
  </si>
  <si>
    <t>dislike</t>
  </si>
  <si>
    <t>disliked</t>
  </si>
  <si>
    <t>dislikes</t>
  </si>
  <si>
    <t>disliking</t>
  </si>
  <si>
    <t>dislocated</t>
  </si>
  <si>
    <t>disloyal</t>
  </si>
  <si>
    <t>disloyalty</t>
  </si>
  <si>
    <t>dismal</t>
  </si>
  <si>
    <t>dismally</t>
  </si>
  <si>
    <t>dismalness</t>
  </si>
  <si>
    <t>dismay</t>
  </si>
  <si>
    <t>dismayed</t>
  </si>
  <si>
    <t>dismaying</t>
  </si>
  <si>
    <t>dismayingly</t>
  </si>
  <si>
    <t>dismissive</t>
  </si>
  <si>
    <t>dismissively</t>
  </si>
  <si>
    <t>disobedience</t>
  </si>
  <si>
    <t>disobedient</t>
  </si>
  <si>
    <t>disobey</t>
  </si>
  <si>
    <t>disoobedient</t>
  </si>
  <si>
    <t>disorder</t>
  </si>
  <si>
    <t>disordered</t>
  </si>
  <si>
    <t>disorderly</t>
  </si>
  <si>
    <t>disorganized</t>
  </si>
  <si>
    <t>disorient</t>
  </si>
  <si>
    <t>disoriented</t>
  </si>
  <si>
    <t>disown</t>
  </si>
  <si>
    <t>disparage</t>
  </si>
  <si>
    <t>disparaging</t>
  </si>
  <si>
    <t>disparagingly</t>
  </si>
  <si>
    <t>dispensable</t>
  </si>
  <si>
    <t>dispirit</t>
  </si>
  <si>
    <t>dispirited</t>
  </si>
  <si>
    <t>dispiritedly</t>
  </si>
  <si>
    <t>dispiriting</t>
  </si>
  <si>
    <t>displace</t>
  </si>
  <si>
    <t>displaced</t>
  </si>
  <si>
    <t>displease</t>
  </si>
  <si>
    <t>displeased</t>
  </si>
  <si>
    <t>displeasing</t>
  </si>
  <si>
    <t>displeasure</t>
  </si>
  <si>
    <t>disproportionate</t>
  </si>
  <si>
    <t>disprove</t>
  </si>
  <si>
    <t>disputable</t>
  </si>
  <si>
    <t>dispute</t>
  </si>
  <si>
    <t>disputed</t>
  </si>
  <si>
    <t>disquiet</t>
  </si>
  <si>
    <t>disquieting</t>
  </si>
  <si>
    <t>disquietingly</t>
  </si>
  <si>
    <t>disquietude</t>
  </si>
  <si>
    <t>disregard</t>
  </si>
  <si>
    <t>disregardful</t>
  </si>
  <si>
    <t>disreputable</t>
  </si>
  <si>
    <t>disrepute</t>
  </si>
  <si>
    <t>disrespect</t>
  </si>
  <si>
    <t>disrespectable</t>
  </si>
  <si>
    <t>disrespectablity</t>
  </si>
  <si>
    <t>disrespectful</t>
  </si>
  <si>
    <t>disrespectfully</t>
  </si>
  <si>
    <t>disrespectfulness</t>
  </si>
  <si>
    <t>disrespecting</t>
  </si>
  <si>
    <t>disrupt</t>
  </si>
  <si>
    <t>disruption</t>
  </si>
  <si>
    <t>disruptive</t>
  </si>
  <si>
    <t>diss</t>
  </si>
  <si>
    <t>dissapointed</t>
  </si>
  <si>
    <t>dissappointed</t>
  </si>
  <si>
    <t>dissappointing</t>
  </si>
  <si>
    <t>dissatisfaction</t>
  </si>
  <si>
    <t>dissatisfactory</t>
  </si>
  <si>
    <t>dissatisfied</t>
  </si>
  <si>
    <t>dissatisfies</t>
  </si>
  <si>
    <t>dissatisfy</t>
  </si>
  <si>
    <t>dissatisfying</t>
  </si>
  <si>
    <t>dissed</t>
  </si>
  <si>
    <t>dissemble</t>
  </si>
  <si>
    <t>dissembler</t>
  </si>
  <si>
    <t>dissension</t>
  </si>
  <si>
    <t>dissent</t>
  </si>
  <si>
    <t>dissenter</t>
  </si>
  <si>
    <t>dissention</t>
  </si>
  <si>
    <t>disservice</t>
  </si>
  <si>
    <t>disses</t>
  </si>
  <si>
    <t>dissidence</t>
  </si>
  <si>
    <t>dissident</t>
  </si>
  <si>
    <t>dissidents</t>
  </si>
  <si>
    <t>dissing</t>
  </si>
  <si>
    <t>dissocial</t>
  </si>
  <si>
    <t>dissolute</t>
  </si>
  <si>
    <t>dissolution</t>
  </si>
  <si>
    <t>dissonance</t>
  </si>
  <si>
    <t>dissonant</t>
  </si>
  <si>
    <t>dissonantly</t>
  </si>
  <si>
    <t>dissuade</t>
  </si>
  <si>
    <t>dissuasive</t>
  </si>
  <si>
    <t>distains</t>
  </si>
  <si>
    <t>distaste</t>
  </si>
  <si>
    <t>distasteful</t>
  </si>
  <si>
    <t>distastefully</t>
  </si>
  <si>
    <t>distinction</t>
  </si>
  <si>
    <t>distinctive</t>
  </si>
  <si>
    <t>distinguished</t>
  </si>
  <si>
    <t>distort</t>
  </si>
  <si>
    <t>distorted</t>
  </si>
  <si>
    <t>distortion</t>
  </si>
  <si>
    <t>distorts</t>
  </si>
  <si>
    <t>distract</t>
  </si>
  <si>
    <t>distracting</t>
  </si>
  <si>
    <t>distraction</t>
  </si>
  <si>
    <t>distraught</t>
  </si>
  <si>
    <t>distraughtly</t>
  </si>
  <si>
    <t>distraughtness</t>
  </si>
  <si>
    <t>distress</t>
  </si>
  <si>
    <t>distressed</t>
  </si>
  <si>
    <t>distressing</t>
  </si>
  <si>
    <t>distressingly</t>
  </si>
  <si>
    <t>distrust</t>
  </si>
  <si>
    <t>distrustful</t>
  </si>
  <si>
    <t>distrusting</t>
  </si>
  <si>
    <t>disturb</t>
  </si>
  <si>
    <t>disturbance</t>
  </si>
  <si>
    <t>disturbed</t>
  </si>
  <si>
    <t>disturbing</t>
  </si>
  <si>
    <t>disturbingly</t>
  </si>
  <si>
    <t>disunity</t>
  </si>
  <si>
    <t>disvalue</t>
  </si>
  <si>
    <t>divergent</t>
  </si>
  <si>
    <t>diversified</t>
  </si>
  <si>
    <t>divine</t>
  </si>
  <si>
    <t>divinely</t>
  </si>
  <si>
    <t>divisive</t>
  </si>
  <si>
    <t>divisively</t>
  </si>
  <si>
    <t>divisiveness</t>
  </si>
  <si>
    <t>dizzing</t>
  </si>
  <si>
    <t>dizzingly</t>
  </si>
  <si>
    <t>dizzy</t>
  </si>
  <si>
    <t>doddering</t>
  </si>
  <si>
    <t>dodgey</t>
  </si>
  <si>
    <t>dogged</t>
  </si>
  <si>
    <t>doggedly</t>
  </si>
  <si>
    <t>dogmatic</t>
  </si>
  <si>
    <t>doldrums</t>
  </si>
  <si>
    <t>dominate</t>
  </si>
  <si>
    <t>dominated</t>
  </si>
  <si>
    <t>dominates</t>
  </si>
  <si>
    <t>domineer</t>
  </si>
  <si>
    <t>domineering</t>
  </si>
  <si>
    <t>donside</t>
  </si>
  <si>
    <t>doom</t>
  </si>
  <si>
    <t>doomed</t>
  </si>
  <si>
    <t>doomsday</t>
  </si>
  <si>
    <t>dope</t>
  </si>
  <si>
    <t>dote</t>
  </si>
  <si>
    <t>dotingly</t>
  </si>
  <si>
    <t>doubt</t>
  </si>
  <si>
    <t>doubtful</t>
  </si>
  <si>
    <t>doubtfully</t>
  </si>
  <si>
    <t>doubtless</t>
  </si>
  <si>
    <t>doubts</t>
  </si>
  <si>
    <t>douchbag</t>
  </si>
  <si>
    <t>douchebag</t>
  </si>
  <si>
    <t>douchebags</t>
  </si>
  <si>
    <t>downbeat</t>
  </si>
  <si>
    <t>downcast</t>
  </si>
  <si>
    <t>downer</t>
  </si>
  <si>
    <t>downfall</t>
  </si>
  <si>
    <t>downfallen</t>
  </si>
  <si>
    <t>downgrade</t>
  </si>
  <si>
    <t>downhearted</t>
  </si>
  <si>
    <t>downheartedly</t>
  </si>
  <si>
    <t>downhill</t>
  </si>
  <si>
    <t>downside</t>
  </si>
  <si>
    <t>downsides</t>
  </si>
  <si>
    <t>downturn</t>
  </si>
  <si>
    <t>downturns</t>
  </si>
  <si>
    <t>drab</t>
  </si>
  <si>
    <t>draconian</t>
  </si>
  <si>
    <t>draconic</t>
  </si>
  <si>
    <t>drag</t>
  </si>
  <si>
    <t>dragged</t>
  </si>
  <si>
    <t>dragging</t>
  </si>
  <si>
    <t>dragoon</t>
  </si>
  <si>
    <t>drags</t>
  </si>
  <si>
    <t>drain</t>
  </si>
  <si>
    <t>drained</t>
  </si>
  <si>
    <t>draining</t>
  </si>
  <si>
    <t>drains</t>
  </si>
  <si>
    <t>drastic</t>
  </si>
  <si>
    <t>drastically</t>
  </si>
  <si>
    <t>drawback</t>
  </si>
  <si>
    <t>drawbacks</t>
  </si>
  <si>
    <t>dread</t>
  </si>
  <si>
    <t>dreadful</t>
  </si>
  <si>
    <t>dreadfully</t>
  </si>
  <si>
    <t>dreadfulness</t>
  </si>
  <si>
    <t>dreamland</t>
  </si>
  <si>
    <t>dreary</t>
  </si>
  <si>
    <t>dripped</t>
  </si>
  <si>
    <t>dripping</t>
  </si>
  <si>
    <t>drippy</t>
  </si>
  <si>
    <t>drips</t>
  </si>
  <si>
    <t>drones</t>
  </si>
  <si>
    <t>droop</t>
  </si>
  <si>
    <t>droops</t>
  </si>
  <si>
    <t>drop-out</t>
  </si>
  <si>
    <t>drop-outs</t>
  </si>
  <si>
    <t>dropout</t>
  </si>
  <si>
    <t>dropouts</t>
  </si>
  <si>
    <t>drought</t>
  </si>
  <si>
    <t>drowning</t>
  </si>
  <si>
    <t>drunk</t>
  </si>
  <si>
    <t>drunkard</t>
  </si>
  <si>
    <t>drunken</t>
  </si>
  <si>
    <t>dubious</t>
  </si>
  <si>
    <t>dubiously</t>
  </si>
  <si>
    <t>dubitable</t>
  </si>
  <si>
    <t>dud</t>
  </si>
  <si>
    <t>dull</t>
  </si>
  <si>
    <t>dullard</t>
  </si>
  <si>
    <t>dumb</t>
  </si>
  <si>
    <t>dumbfound</t>
  </si>
  <si>
    <t>dumbfounded</t>
  </si>
  <si>
    <t>dumbfounding</t>
  </si>
  <si>
    <t>dummy-proof</t>
  </si>
  <si>
    <t>dump</t>
  </si>
  <si>
    <t>dumped</t>
  </si>
  <si>
    <t>dumping</t>
  </si>
  <si>
    <t>dumps</t>
  </si>
  <si>
    <t>dunce</t>
  </si>
  <si>
    <t>dungeon</t>
  </si>
  <si>
    <t>dungeons</t>
  </si>
  <si>
    <t>dupe</t>
  </si>
  <si>
    <t>durable</t>
  </si>
  <si>
    <t>dust</t>
  </si>
  <si>
    <t>dusty</t>
  </si>
  <si>
    <t>dwindling</t>
  </si>
  <si>
    <t>dying</t>
  </si>
  <si>
    <t>dynamic</t>
  </si>
  <si>
    <t>eager</t>
  </si>
  <si>
    <t>eagerly</t>
  </si>
  <si>
    <t>eagerness</t>
  </si>
  <si>
    <t>earnest</t>
  </si>
  <si>
    <t>earnestly</t>
  </si>
  <si>
    <t>earnestness</t>
  </si>
  <si>
    <t>earsplitting</t>
  </si>
  <si>
    <t>ease</t>
  </si>
  <si>
    <t>eased</t>
  </si>
  <si>
    <t>eases</t>
  </si>
  <si>
    <t>easier</t>
  </si>
  <si>
    <t>easiest</t>
  </si>
  <si>
    <t>easiness</t>
  </si>
  <si>
    <t>easing</t>
  </si>
  <si>
    <t>easy</t>
  </si>
  <si>
    <t>easy-to-use</t>
  </si>
  <si>
    <t>easygoing</t>
  </si>
  <si>
    <t>ebullience</t>
  </si>
  <si>
    <t>ebullient</t>
  </si>
  <si>
    <t>ebulliently</t>
  </si>
  <si>
    <t>eccentric</t>
  </si>
  <si>
    <t>eccentricity</t>
  </si>
  <si>
    <t>ecenomical</t>
  </si>
  <si>
    <t>economical</t>
  </si>
  <si>
    <t>ecstasies</t>
  </si>
  <si>
    <t>ecstasy</t>
  </si>
  <si>
    <t>ecstatic</t>
  </si>
  <si>
    <t>ecstatically</t>
  </si>
  <si>
    <t>edify</t>
  </si>
  <si>
    <t>educated</t>
  </si>
  <si>
    <t>effective</t>
  </si>
  <si>
    <t>effectively</t>
  </si>
  <si>
    <t>effectiveness</t>
  </si>
  <si>
    <t>effectual</t>
  </si>
  <si>
    <t>efficacious</t>
  </si>
  <si>
    <t>efficient</t>
  </si>
  <si>
    <t>efficiently</t>
  </si>
  <si>
    <t>effigy</t>
  </si>
  <si>
    <t>effortless</t>
  </si>
  <si>
    <t>effortlessly</t>
  </si>
  <si>
    <t>effrontery</t>
  </si>
  <si>
    <t>effusion</t>
  </si>
  <si>
    <t>effusive</t>
  </si>
  <si>
    <t>effusively</t>
  </si>
  <si>
    <t>effusiveness</t>
  </si>
  <si>
    <t>egocentric</t>
  </si>
  <si>
    <t>egomania</t>
  </si>
  <si>
    <t>egotism</t>
  </si>
  <si>
    <t>egotistical</t>
  </si>
  <si>
    <t>egotistically</t>
  </si>
  <si>
    <t>egregious</t>
  </si>
  <si>
    <t>egregiously</t>
  </si>
  <si>
    <t>elan</t>
  </si>
  <si>
    <t>elate</t>
  </si>
  <si>
    <t>elated</t>
  </si>
  <si>
    <t>elatedly</t>
  </si>
  <si>
    <t>elation</t>
  </si>
  <si>
    <t>election-rigger</t>
  </si>
  <si>
    <t>electrify</t>
  </si>
  <si>
    <t>elegance</t>
  </si>
  <si>
    <t>elegant</t>
  </si>
  <si>
    <t>elegantly</t>
  </si>
  <si>
    <t>elevate</t>
  </si>
  <si>
    <t>elimination</t>
  </si>
  <si>
    <t>elite</t>
  </si>
  <si>
    <t>eloquence</t>
  </si>
  <si>
    <t>eloquent</t>
  </si>
  <si>
    <t>eloquently</t>
  </si>
  <si>
    <t>emaciated</t>
  </si>
  <si>
    <t>emasculate</t>
  </si>
  <si>
    <t>embarrass</t>
  </si>
  <si>
    <t>embarrassing</t>
  </si>
  <si>
    <t>embarrassingly</t>
  </si>
  <si>
    <t>embarrassment</t>
  </si>
  <si>
    <t>embattled</t>
  </si>
  <si>
    <t>embolden</t>
  </si>
  <si>
    <t>embroil</t>
  </si>
  <si>
    <t>embroiled</t>
  </si>
  <si>
    <t>embroilment</t>
  </si>
  <si>
    <t>emergency</t>
  </si>
  <si>
    <t>eminence</t>
  </si>
  <si>
    <t>eminent</t>
  </si>
  <si>
    <t>empathize</t>
  </si>
  <si>
    <t>empathy</t>
  </si>
  <si>
    <t>emphatic</t>
  </si>
  <si>
    <t>emphatically</t>
  </si>
  <si>
    <t>empower</t>
  </si>
  <si>
    <t>empowerment</t>
  </si>
  <si>
    <t>emptiness</t>
  </si>
  <si>
    <t>enchant</t>
  </si>
  <si>
    <t>enchanted</t>
  </si>
  <si>
    <t>enchanting</t>
  </si>
  <si>
    <t>enchantingly</t>
  </si>
  <si>
    <t>encourage</t>
  </si>
  <si>
    <t>encouragement</t>
  </si>
  <si>
    <t>encouraging</t>
  </si>
  <si>
    <t>encouragingly</t>
  </si>
  <si>
    <t>encroach</t>
  </si>
  <si>
    <t>encroachment</t>
  </si>
  <si>
    <t>endanger</t>
  </si>
  <si>
    <t>endear</t>
  </si>
  <si>
    <t>endearing</t>
  </si>
  <si>
    <t>endorse</t>
  </si>
  <si>
    <t>endorsed</t>
  </si>
  <si>
    <t>endorsement</t>
  </si>
  <si>
    <t>endorses</t>
  </si>
  <si>
    <t>endorsing</t>
  </si>
  <si>
    <t>enemies</t>
  </si>
  <si>
    <t>enemy</t>
  </si>
  <si>
    <t>energetic</t>
  </si>
  <si>
    <t>energize</t>
  </si>
  <si>
    <t>energy-efficient</t>
  </si>
  <si>
    <t>energy-saving</t>
  </si>
  <si>
    <t>enervate</t>
  </si>
  <si>
    <t>enfeeble</t>
  </si>
  <si>
    <t>enflame</t>
  </si>
  <si>
    <t>engaging</t>
  </si>
  <si>
    <t>engrossing</t>
  </si>
  <si>
    <t>engulf</t>
  </si>
  <si>
    <t>enhance</t>
  </si>
  <si>
    <t>enhanced</t>
  </si>
  <si>
    <t>enhancement</t>
  </si>
  <si>
    <t>enhances</t>
  </si>
  <si>
    <t>enjoin</t>
  </si>
  <si>
    <t>enjoy</t>
  </si>
  <si>
    <t>enjoyable</t>
  </si>
  <si>
    <t>enjoyably</t>
  </si>
  <si>
    <t>enjoyed</t>
  </si>
  <si>
    <t>enjoying</t>
  </si>
  <si>
    <t>enjoyment</t>
  </si>
  <si>
    <t>enjoys</t>
  </si>
  <si>
    <t>enlighten</t>
  </si>
  <si>
    <t>enlightenment</t>
  </si>
  <si>
    <t>enliven</t>
  </si>
  <si>
    <t>enmity</t>
  </si>
  <si>
    <t>ennoble</t>
  </si>
  <si>
    <t>enough</t>
  </si>
  <si>
    <t>enrage</t>
  </si>
  <si>
    <t>enraged</t>
  </si>
  <si>
    <t>enraging</t>
  </si>
  <si>
    <t>enrapt</t>
  </si>
  <si>
    <t>enrapture</t>
  </si>
  <si>
    <t>enraptured</t>
  </si>
  <si>
    <t>enrich</t>
  </si>
  <si>
    <t>enrichment</t>
  </si>
  <si>
    <t>enslave</t>
  </si>
  <si>
    <t>entangle</t>
  </si>
  <si>
    <t>entanglement</t>
  </si>
  <si>
    <t>enterprising</t>
  </si>
  <si>
    <t>entertain</t>
  </si>
  <si>
    <t>entertaining</t>
  </si>
  <si>
    <t>entertains</t>
  </si>
  <si>
    <t>enthral</t>
  </si>
  <si>
    <t>enthrall</t>
  </si>
  <si>
    <t>enthralled</t>
  </si>
  <si>
    <t>enthuse</t>
  </si>
  <si>
    <t>enthusiasm</t>
  </si>
  <si>
    <t>enthusiast</t>
  </si>
  <si>
    <t>enthusiastic</t>
  </si>
  <si>
    <t>enthusiastically</t>
  </si>
  <si>
    <t>entice</t>
  </si>
  <si>
    <t>enticed</t>
  </si>
  <si>
    <t>enticing</t>
  </si>
  <si>
    <t>enticingly</t>
  </si>
  <si>
    <t>entranced</t>
  </si>
  <si>
    <t>entrancing</t>
  </si>
  <si>
    <t>entrap</t>
  </si>
  <si>
    <t>entrapment</t>
  </si>
  <si>
    <t>entrust</t>
  </si>
  <si>
    <t>enviable</t>
  </si>
  <si>
    <t>enviably</t>
  </si>
  <si>
    <t>envious</t>
  </si>
  <si>
    <t>enviously</t>
  </si>
  <si>
    <t>enviousness</t>
  </si>
  <si>
    <t>envy</t>
  </si>
  <si>
    <t>epidemic</t>
  </si>
  <si>
    <t>equitable</t>
  </si>
  <si>
    <t>equivocal</t>
  </si>
  <si>
    <t>erase</t>
  </si>
  <si>
    <t>ergonomical</t>
  </si>
  <si>
    <t>erode</t>
  </si>
  <si>
    <t>erodes</t>
  </si>
  <si>
    <t>erosion</t>
  </si>
  <si>
    <t>err</t>
  </si>
  <si>
    <t>err-free</t>
  </si>
  <si>
    <t>errant</t>
  </si>
  <si>
    <t>erratic</t>
  </si>
  <si>
    <t>erratically</t>
  </si>
  <si>
    <t>erroneous</t>
  </si>
  <si>
    <t>erroneously</t>
  </si>
  <si>
    <t>error</t>
  </si>
  <si>
    <t>errors</t>
  </si>
  <si>
    <t>erudite</t>
  </si>
  <si>
    <t>eruptions</t>
  </si>
  <si>
    <t>escapade</t>
  </si>
  <si>
    <t>eschew</t>
  </si>
  <si>
    <t>estranged</t>
  </si>
  <si>
    <t>ethical</t>
  </si>
  <si>
    <t>eulogize</t>
  </si>
  <si>
    <t>euphoria</t>
  </si>
  <si>
    <t>euphoric</t>
  </si>
  <si>
    <t>euphorically</t>
  </si>
  <si>
    <t>evade</t>
  </si>
  <si>
    <t>evaluative</t>
  </si>
  <si>
    <t>evasion</t>
  </si>
  <si>
    <t>evasive</t>
  </si>
  <si>
    <t>evenly</t>
  </si>
  <si>
    <t>eventful</t>
  </si>
  <si>
    <t>everlasting</t>
  </si>
  <si>
    <t>evil</t>
  </si>
  <si>
    <t>evildoer</t>
  </si>
  <si>
    <t>evils</t>
  </si>
  <si>
    <t>eviscerate</t>
  </si>
  <si>
    <t>evocative</t>
  </si>
  <si>
    <t>exacerbate</t>
  </si>
  <si>
    <t>exagerate</t>
  </si>
  <si>
    <t>exagerated</t>
  </si>
  <si>
    <t>exagerates</t>
  </si>
  <si>
    <t>exaggerate</t>
  </si>
  <si>
    <t>exaggeration</t>
  </si>
  <si>
    <t>exalt</t>
  </si>
  <si>
    <t>exaltation</t>
  </si>
  <si>
    <t>exalted</t>
  </si>
  <si>
    <t>exaltedly</t>
  </si>
  <si>
    <t>exalting</t>
  </si>
  <si>
    <t>exaltingly</t>
  </si>
  <si>
    <t>examplar</t>
  </si>
  <si>
    <t>examplary</t>
  </si>
  <si>
    <t>exasperate</t>
  </si>
  <si>
    <t>exasperated</t>
  </si>
  <si>
    <t>exasperating</t>
  </si>
  <si>
    <t>exasperatingly</t>
  </si>
  <si>
    <t>exasperation</t>
  </si>
  <si>
    <t>excallent</t>
  </si>
  <si>
    <t>exceed</t>
  </si>
  <si>
    <t>exceeded</t>
  </si>
  <si>
    <t>exceeding</t>
  </si>
  <si>
    <t>exceedingly</t>
  </si>
  <si>
    <t>exceeds</t>
  </si>
  <si>
    <t>excel</t>
  </si>
  <si>
    <t>exceled</t>
  </si>
  <si>
    <t>excelent</t>
  </si>
  <si>
    <t>excellant</t>
  </si>
  <si>
    <t>excelled</t>
  </si>
  <si>
    <t>excellence</t>
  </si>
  <si>
    <t>excellency</t>
  </si>
  <si>
    <t>excellent</t>
  </si>
  <si>
    <t>excellently</t>
  </si>
  <si>
    <t>excels</t>
  </si>
  <si>
    <t>exceptional</t>
  </si>
  <si>
    <t>exceptionally</t>
  </si>
  <si>
    <t>excessive</t>
  </si>
  <si>
    <t>excessively</t>
  </si>
  <si>
    <t>excite</t>
  </si>
  <si>
    <t>excited</t>
  </si>
  <si>
    <t>excitedly</t>
  </si>
  <si>
    <t>excitedness</t>
  </si>
  <si>
    <t>excitement</t>
  </si>
  <si>
    <t>excites</t>
  </si>
  <si>
    <t>exciting</t>
  </si>
  <si>
    <t>excitingly</t>
  </si>
  <si>
    <t>exclusion</t>
  </si>
  <si>
    <t>excoriate</t>
  </si>
  <si>
    <t>excruciating</t>
  </si>
  <si>
    <t>excruciatingly</t>
  </si>
  <si>
    <t>excuse</t>
  </si>
  <si>
    <t>excuses</t>
  </si>
  <si>
    <t>execrate</t>
  </si>
  <si>
    <t>exellent</t>
  </si>
  <si>
    <t>exemplar</t>
  </si>
  <si>
    <t>exemplary</t>
  </si>
  <si>
    <t>exhaust</t>
  </si>
  <si>
    <t>exhausted</t>
  </si>
  <si>
    <t>exhaustion</t>
  </si>
  <si>
    <t>exhausts</t>
  </si>
  <si>
    <t>exhilarate</t>
  </si>
  <si>
    <t>exhilarating</t>
  </si>
  <si>
    <t>exhilaratingly</t>
  </si>
  <si>
    <t>exhilaration</t>
  </si>
  <si>
    <t>exhorbitant</t>
  </si>
  <si>
    <t>exhort</t>
  </si>
  <si>
    <t>exile</t>
  </si>
  <si>
    <t>exonerate</t>
  </si>
  <si>
    <t>exorbitant</t>
  </si>
  <si>
    <t>exorbitantance</t>
  </si>
  <si>
    <t>exorbitantly</t>
  </si>
  <si>
    <t>expansive</t>
  </si>
  <si>
    <t>expeditiously</t>
  </si>
  <si>
    <t>expel</t>
  </si>
  <si>
    <t>expensive</t>
  </si>
  <si>
    <t>expertly</t>
  </si>
  <si>
    <t>expire</t>
  </si>
  <si>
    <t>expired</t>
  </si>
  <si>
    <t>explode</t>
  </si>
  <si>
    <t>exploit</t>
  </si>
  <si>
    <t>exploitation</t>
  </si>
  <si>
    <t>explosive</t>
  </si>
  <si>
    <t>expropriate</t>
  </si>
  <si>
    <t>expropriation</t>
  </si>
  <si>
    <t>expulse</t>
  </si>
  <si>
    <t>expunge</t>
  </si>
  <si>
    <t>exquisite</t>
  </si>
  <si>
    <t>exquisitely</t>
  </si>
  <si>
    <t>exterminate</t>
  </si>
  <si>
    <t>extermination</t>
  </si>
  <si>
    <t>extinguish</t>
  </si>
  <si>
    <t>extol</t>
  </si>
  <si>
    <t>extoll</t>
  </si>
  <si>
    <t>extort</t>
  </si>
  <si>
    <t>extortion</t>
  </si>
  <si>
    <t>extraneous</t>
  </si>
  <si>
    <t>extraordinarily</t>
  </si>
  <si>
    <t>extraordinary</t>
  </si>
  <si>
    <t>extravagance</t>
  </si>
  <si>
    <t>extravagant</t>
  </si>
  <si>
    <t>extravagantly</t>
  </si>
  <si>
    <t>extremism</t>
  </si>
  <si>
    <t>extremist</t>
  </si>
  <si>
    <t>extremists</t>
  </si>
  <si>
    <t>exuberance</t>
  </si>
  <si>
    <t>exuberant</t>
  </si>
  <si>
    <t>exuberantly</t>
  </si>
  <si>
    <t>exult</t>
  </si>
  <si>
    <t>exultant</t>
  </si>
  <si>
    <t>exultation</t>
  </si>
  <si>
    <t>exultingly</t>
  </si>
  <si>
    <t>eye-catch</t>
  </si>
  <si>
    <t>eye-catching</t>
  </si>
  <si>
    <t>eyecatch</t>
  </si>
  <si>
    <t>eyecatching</t>
  </si>
  <si>
    <t>eyesore</t>
  </si>
  <si>
    <t>f**k</t>
  </si>
  <si>
    <t>fabricate</t>
  </si>
  <si>
    <t>fabrication</t>
  </si>
  <si>
    <t>fabulous</t>
  </si>
  <si>
    <t>fabulously</t>
  </si>
  <si>
    <t>facetious</t>
  </si>
  <si>
    <t>facetiously</t>
  </si>
  <si>
    <t>facilitate</t>
  </si>
  <si>
    <t>fail</t>
  </si>
  <si>
    <t>failed</t>
  </si>
  <si>
    <t>failing</t>
  </si>
  <si>
    <t>fails</t>
  </si>
  <si>
    <t>failure</t>
  </si>
  <si>
    <t>failures</t>
  </si>
  <si>
    <t>faint</t>
  </si>
  <si>
    <t>fainthearted</t>
  </si>
  <si>
    <t>fair</t>
  </si>
  <si>
    <t>fairly</t>
  </si>
  <si>
    <t>fairness</t>
  </si>
  <si>
    <t>faith</t>
  </si>
  <si>
    <t>faithful</t>
  </si>
  <si>
    <t>faithfully</t>
  </si>
  <si>
    <t>faithfulness</t>
  </si>
  <si>
    <t>faithless</t>
  </si>
  <si>
    <t>fake</t>
  </si>
  <si>
    <t>fall</t>
  </si>
  <si>
    <t>fallacies</t>
  </si>
  <si>
    <t>fallacious</t>
  </si>
  <si>
    <t>fallaciously</t>
  </si>
  <si>
    <t>fallaciousness</t>
  </si>
  <si>
    <t>fallacy</t>
  </si>
  <si>
    <t>fallen</t>
  </si>
  <si>
    <t>falling</t>
  </si>
  <si>
    <t>fallout</t>
  </si>
  <si>
    <t>falls</t>
  </si>
  <si>
    <t>false</t>
  </si>
  <si>
    <t>falsehood</t>
  </si>
  <si>
    <t>falsely</t>
  </si>
  <si>
    <t>falsify</t>
  </si>
  <si>
    <t>falter</t>
  </si>
  <si>
    <t>faltered</t>
  </si>
  <si>
    <t>fame</t>
  </si>
  <si>
    <t>famed</t>
  </si>
  <si>
    <t>famine</t>
  </si>
  <si>
    <t>famished</t>
  </si>
  <si>
    <t>famous</t>
  </si>
  <si>
    <t>famously</t>
  </si>
  <si>
    <t>fanatic</t>
  </si>
  <si>
    <t>fanatical</t>
  </si>
  <si>
    <t>fanatically</t>
  </si>
  <si>
    <t>fanaticism</t>
  </si>
  <si>
    <t>fanatics</t>
  </si>
  <si>
    <t>fancier</t>
  </si>
  <si>
    <t>fanciful</t>
  </si>
  <si>
    <t>fancinating</t>
  </si>
  <si>
    <t>fancy</t>
  </si>
  <si>
    <t>fanfare</t>
  </si>
  <si>
    <t>fans</t>
  </si>
  <si>
    <t>fantastic</t>
  </si>
  <si>
    <t>fantastically</t>
  </si>
  <si>
    <t>far-fetched</t>
  </si>
  <si>
    <t>farce</t>
  </si>
  <si>
    <t>farcical</t>
  </si>
  <si>
    <t>farcical-yet-provocative</t>
  </si>
  <si>
    <t>farcically</t>
  </si>
  <si>
    <t>farfetched</t>
  </si>
  <si>
    <t>fascinate</t>
  </si>
  <si>
    <t>fascinating</t>
  </si>
  <si>
    <t>fascinatingly</t>
  </si>
  <si>
    <t>fascination</t>
  </si>
  <si>
    <t>fascism</t>
  </si>
  <si>
    <t>fascist</t>
  </si>
  <si>
    <t>fashionable</t>
  </si>
  <si>
    <t>fashionably</t>
  </si>
  <si>
    <t>fast</t>
  </si>
  <si>
    <t>fast-growing</t>
  </si>
  <si>
    <t>fast-paced</t>
  </si>
  <si>
    <t>faster</t>
  </si>
  <si>
    <t>fastest</t>
  </si>
  <si>
    <t>fastest-growing</t>
  </si>
  <si>
    <t>fastidious</t>
  </si>
  <si>
    <t>fastidiously</t>
  </si>
  <si>
    <t>fastuous</t>
  </si>
  <si>
    <t>fat</t>
  </si>
  <si>
    <t>fat-cat</t>
  </si>
  <si>
    <t>fat-cats</t>
  </si>
  <si>
    <t>fatal</t>
  </si>
  <si>
    <t>fatalistic</t>
  </si>
  <si>
    <t>fatalistically</t>
  </si>
  <si>
    <t>fatally</t>
  </si>
  <si>
    <t>fatcat</t>
  </si>
  <si>
    <t>fatcats</t>
  </si>
  <si>
    <t>fateful</t>
  </si>
  <si>
    <t>fatefully</t>
  </si>
  <si>
    <t>fathomless</t>
  </si>
  <si>
    <t>fatigue</t>
  </si>
  <si>
    <t>fatigued</t>
  </si>
  <si>
    <t>fatique</t>
  </si>
  <si>
    <t>fatty</t>
  </si>
  <si>
    <t>fatuity</t>
  </si>
  <si>
    <t>fatuous</t>
  </si>
  <si>
    <t>fatuously</t>
  </si>
  <si>
    <t>fault</t>
  </si>
  <si>
    <t>faultless</t>
  </si>
  <si>
    <t>faults</t>
  </si>
  <si>
    <t>faulty</t>
  </si>
  <si>
    <t>fav</t>
  </si>
  <si>
    <t>fave</t>
  </si>
  <si>
    <t>favor</t>
  </si>
  <si>
    <t>favorable</t>
  </si>
  <si>
    <t>favored</t>
  </si>
  <si>
    <t>favorite</t>
  </si>
  <si>
    <t>favorited</t>
  </si>
  <si>
    <t>favour</t>
  </si>
  <si>
    <t>fawningly</t>
  </si>
  <si>
    <t>faze</t>
  </si>
  <si>
    <t>fear</t>
  </si>
  <si>
    <t>fearful</t>
  </si>
  <si>
    <t>fearfully</t>
  </si>
  <si>
    <t>fearless</t>
  </si>
  <si>
    <t>fearlessly</t>
  </si>
  <si>
    <t>fears</t>
  </si>
  <si>
    <t>fearsome</t>
  </si>
  <si>
    <t>feasible</t>
  </si>
  <si>
    <t>feasibly</t>
  </si>
  <si>
    <t>feat</t>
  </si>
  <si>
    <t>feature-rich</t>
  </si>
  <si>
    <t>fecilitous</t>
  </si>
  <si>
    <t>feckless</t>
  </si>
  <si>
    <t>feeble</t>
  </si>
  <si>
    <t>feeblely</t>
  </si>
  <si>
    <t>feebleminded</t>
  </si>
  <si>
    <t>feign</t>
  </si>
  <si>
    <t>feint</t>
  </si>
  <si>
    <t>feisty</t>
  </si>
  <si>
    <t>felicitate</t>
  </si>
  <si>
    <t>felicitous</t>
  </si>
  <si>
    <t>felicity</t>
  </si>
  <si>
    <t>fell</t>
  </si>
  <si>
    <t>felon</t>
  </si>
  <si>
    <t>felonious</t>
  </si>
  <si>
    <t>ferociously</t>
  </si>
  <si>
    <t>ferocity</t>
  </si>
  <si>
    <t>fertile</t>
  </si>
  <si>
    <t>fervent</t>
  </si>
  <si>
    <t>fervently</t>
  </si>
  <si>
    <t>fervid</t>
  </si>
  <si>
    <t>fervidly</t>
  </si>
  <si>
    <t>fervor</t>
  </si>
  <si>
    <t>festive</t>
  </si>
  <si>
    <t>fetid</t>
  </si>
  <si>
    <t>fever</t>
  </si>
  <si>
    <t>feverish</t>
  </si>
  <si>
    <t>fevers</t>
  </si>
  <si>
    <t>fiasco</t>
  </si>
  <si>
    <t>fib</t>
  </si>
  <si>
    <t>fibber</t>
  </si>
  <si>
    <t>fickle</t>
  </si>
  <si>
    <t>fiction</t>
  </si>
  <si>
    <t>fictional</t>
  </si>
  <si>
    <t>fictitious</t>
  </si>
  <si>
    <t>fidelity</t>
  </si>
  <si>
    <t>fidget</t>
  </si>
  <si>
    <t>fidgety</t>
  </si>
  <si>
    <t>fiend</t>
  </si>
  <si>
    <t>fiendish</t>
  </si>
  <si>
    <t>fierce</t>
  </si>
  <si>
    <t>fiery</t>
  </si>
  <si>
    <t>figurehead</t>
  </si>
  <si>
    <t>filth</t>
  </si>
  <si>
    <t>filthy</t>
  </si>
  <si>
    <t>finagle</t>
  </si>
  <si>
    <t>fine</t>
  </si>
  <si>
    <t>fine-looking</t>
  </si>
  <si>
    <t>finely</t>
  </si>
  <si>
    <t>finer</t>
  </si>
  <si>
    <t>finest</t>
  </si>
  <si>
    <t>finicky</t>
  </si>
  <si>
    <t>firmer</t>
  </si>
  <si>
    <t>first-class</t>
  </si>
  <si>
    <t>first-in-class</t>
  </si>
  <si>
    <t>first-rate</t>
  </si>
  <si>
    <t>fissures</t>
  </si>
  <si>
    <t>fist</t>
  </si>
  <si>
    <t>flabbergast</t>
  </si>
  <si>
    <t>flabbergasted</t>
  </si>
  <si>
    <t>flagging</t>
  </si>
  <si>
    <t>flagrant</t>
  </si>
  <si>
    <t>flagrantly</t>
  </si>
  <si>
    <t>flair</t>
  </si>
  <si>
    <t>flairs</t>
  </si>
  <si>
    <t>flak</t>
  </si>
  <si>
    <t>flake</t>
  </si>
  <si>
    <t>flakey</t>
  </si>
  <si>
    <t>flakieness</t>
  </si>
  <si>
    <t>flaking</t>
  </si>
  <si>
    <t>flaky</t>
  </si>
  <si>
    <t>flare</t>
  </si>
  <si>
    <t>flares</t>
  </si>
  <si>
    <t>flareup</t>
  </si>
  <si>
    <t>flareups</t>
  </si>
  <si>
    <t>flashy</t>
  </si>
  <si>
    <t>flat-out</t>
  </si>
  <si>
    <t>flatter</t>
  </si>
  <si>
    <t>flattering</t>
  </si>
  <si>
    <t>flatteringly</t>
  </si>
  <si>
    <t>flaunt</t>
  </si>
  <si>
    <t>flaw</t>
  </si>
  <si>
    <t>flawed</t>
  </si>
  <si>
    <t>flawless</t>
  </si>
  <si>
    <t>flawlessly</t>
  </si>
  <si>
    <t>flaws</t>
  </si>
  <si>
    <t>flee</t>
  </si>
  <si>
    <t>fleed</t>
  </si>
  <si>
    <t>fleeing</t>
  </si>
  <si>
    <t>fleer</t>
  </si>
  <si>
    <t>flees</t>
  </si>
  <si>
    <t>fleeting</t>
  </si>
  <si>
    <t>flexibility</t>
  </si>
  <si>
    <t>flexible</t>
  </si>
  <si>
    <t>flicering</t>
  </si>
  <si>
    <t>flicker</t>
  </si>
  <si>
    <t>flickering</t>
  </si>
  <si>
    <t>flickers</t>
  </si>
  <si>
    <t>flighty</t>
  </si>
  <si>
    <t>flimflam</t>
  </si>
  <si>
    <t>flimsy</t>
  </si>
  <si>
    <t>flirt</t>
  </si>
  <si>
    <t>flirty</t>
  </si>
  <si>
    <t>floored</t>
  </si>
  <si>
    <t>flounder</t>
  </si>
  <si>
    <t>floundering</t>
  </si>
  <si>
    <t>flourish</t>
  </si>
  <si>
    <t>flourishing</t>
  </si>
  <si>
    <t>flout</t>
  </si>
  <si>
    <t>fluent</t>
  </si>
  <si>
    <t>fluster</t>
  </si>
  <si>
    <t>flutter</t>
  </si>
  <si>
    <t>foe</t>
  </si>
  <si>
    <t>fond</t>
  </si>
  <si>
    <t>fondly</t>
  </si>
  <si>
    <t>fondness</t>
  </si>
  <si>
    <t>fool</t>
  </si>
  <si>
    <t>fooled</t>
  </si>
  <si>
    <t>foolhardy</t>
  </si>
  <si>
    <t>foolish</t>
  </si>
  <si>
    <t>foolishly</t>
  </si>
  <si>
    <t>foolishness</t>
  </si>
  <si>
    <t>foolproof</t>
  </si>
  <si>
    <t>forbid</t>
  </si>
  <si>
    <t>forbidden</t>
  </si>
  <si>
    <t>forbidding</t>
  </si>
  <si>
    <t>forceful</t>
  </si>
  <si>
    <t>foreboding</t>
  </si>
  <si>
    <t>forebodingly</t>
  </si>
  <si>
    <t>foremost</t>
  </si>
  <si>
    <t>foresight</t>
  </si>
  <si>
    <t>forfeit</t>
  </si>
  <si>
    <t>forged</t>
  </si>
  <si>
    <t>forgetful</t>
  </si>
  <si>
    <t>forgetfully</t>
  </si>
  <si>
    <t>forgetfulness</t>
  </si>
  <si>
    <t>forlorn</t>
  </si>
  <si>
    <t>forlornly</t>
  </si>
  <si>
    <t>formidable</t>
  </si>
  <si>
    <t>forsake</t>
  </si>
  <si>
    <t>forsaken</t>
  </si>
  <si>
    <t>forswear</t>
  </si>
  <si>
    <t>fortitude</t>
  </si>
  <si>
    <t>fortuitous</t>
  </si>
  <si>
    <t>fortuitously</t>
  </si>
  <si>
    <t>fortunate</t>
  </si>
  <si>
    <t>fortunately</t>
  </si>
  <si>
    <t>fortune</t>
  </si>
  <si>
    <t>foul</t>
  </si>
  <si>
    <t>foully</t>
  </si>
  <si>
    <t>foulness</t>
  </si>
  <si>
    <t>fractious</t>
  </si>
  <si>
    <t>fractiously</t>
  </si>
  <si>
    <t>fracture</t>
  </si>
  <si>
    <t>fragile</t>
  </si>
  <si>
    <t>fragmented</t>
  </si>
  <si>
    <t>fragrant</t>
  </si>
  <si>
    <t>frail</t>
  </si>
  <si>
    <t>frantic</t>
  </si>
  <si>
    <t>frantically</t>
  </si>
  <si>
    <t>franticly</t>
  </si>
  <si>
    <t>fraud</t>
  </si>
  <si>
    <t>fraudulent</t>
  </si>
  <si>
    <t>fraught</t>
  </si>
  <si>
    <t>frazzle</t>
  </si>
  <si>
    <t>frazzled</t>
  </si>
  <si>
    <t>freak</t>
  </si>
  <si>
    <t>freaking</t>
  </si>
  <si>
    <t>freakish</t>
  </si>
  <si>
    <t>freakishly</t>
  </si>
  <si>
    <t>freaks</t>
  </si>
  <si>
    <t>free</t>
  </si>
  <si>
    <t>freed</t>
  </si>
  <si>
    <t>freedom</t>
  </si>
  <si>
    <t>freedoms</t>
  </si>
  <si>
    <t>freeze</t>
  </si>
  <si>
    <t>freezes</t>
  </si>
  <si>
    <t>freezing</t>
  </si>
  <si>
    <t>frenetic</t>
  </si>
  <si>
    <t>frenetically</t>
  </si>
  <si>
    <t>frenzied</t>
  </si>
  <si>
    <t>frenzy</t>
  </si>
  <si>
    <t>fresh</t>
  </si>
  <si>
    <t>fresher</t>
  </si>
  <si>
    <t>freshest</t>
  </si>
  <si>
    <t>fret</t>
  </si>
  <si>
    <t>fretful</t>
  </si>
  <si>
    <t>frets</t>
  </si>
  <si>
    <t>friction</t>
  </si>
  <si>
    <t>frictions</t>
  </si>
  <si>
    <t>fried</t>
  </si>
  <si>
    <t>friendliness</t>
  </si>
  <si>
    <t>friendly</t>
  </si>
  <si>
    <t>friggin</t>
  </si>
  <si>
    <t>frigging</t>
  </si>
  <si>
    <t>fright</t>
  </si>
  <si>
    <t>frighten</t>
  </si>
  <si>
    <t>frightening</t>
  </si>
  <si>
    <t>frighteningly</t>
  </si>
  <si>
    <t>frightful</t>
  </si>
  <si>
    <t>frightfully</t>
  </si>
  <si>
    <t>frigid</t>
  </si>
  <si>
    <t>frolic</t>
  </si>
  <si>
    <t>frost</t>
  </si>
  <si>
    <t>frown</t>
  </si>
  <si>
    <t>froze</t>
  </si>
  <si>
    <t>frozen</t>
  </si>
  <si>
    <t>frugal</t>
  </si>
  <si>
    <t>fruitful</t>
  </si>
  <si>
    <t>fruitless</t>
  </si>
  <si>
    <t>fruitlessly</t>
  </si>
  <si>
    <t>frustrate</t>
  </si>
  <si>
    <t>frustrated</t>
  </si>
  <si>
    <t>frustrates</t>
  </si>
  <si>
    <t>frustrating</t>
  </si>
  <si>
    <t>frustratingly</t>
  </si>
  <si>
    <t>frustration</t>
  </si>
  <si>
    <t>frustrations</t>
  </si>
  <si>
    <t>ftw</t>
  </si>
  <si>
    <t>fuck</t>
  </si>
  <si>
    <t>fucking</t>
  </si>
  <si>
    <t>fudge</t>
  </si>
  <si>
    <t>fugitive</t>
  </si>
  <si>
    <t>fulfillment</t>
  </si>
  <si>
    <t>full-blown</t>
  </si>
  <si>
    <t>fulminate</t>
  </si>
  <si>
    <t>fumble</t>
  </si>
  <si>
    <t>fume</t>
  </si>
  <si>
    <t>fumes</t>
  </si>
  <si>
    <t>fun</t>
  </si>
  <si>
    <t>fundamentalism</t>
  </si>
  <si>
    <t>funky</t>
  </si>
  <si>
    <t>funnily</t>
  </si>
  <si>
    <t>funny</t>
  </si>
  <si>
    <t>furious</t>
  </si>
  <si>
    <t>furiously</t>
  </si>
  <si>
    <t>furor</t>
  </si>
  <si>
    <t>fury</t>
  </si>
  <si>
    <t>fuss</t>
  </si>
  <si>
    <t>fussy</t>
  </si>
  <si>
    <t>fustigate</t>
  </si>
  <si>
    <t>fusty</t>
  </si>
  <si>
    <t>futile</t>
  </si>
  <si>
    <t>futilely</t>
  </si>
  <si>
    <t>futility</t>
  </si>
  <si>
    <t>futurestic</t>
  </si>
  <si>
    <t>futuristic</t>
  </si>
  <si>
    <t>fuzzy</t>
  </si>
  <si>
    <t>gabble</t>
  </si>
  <si>
    <t>gaff</t>
  </si>
  <si>
    <t>gaffe</t>
  </si>
  <si>
    <t>gaiety</t>
  </si>
  <si>
    <t>gaily</t>
  </si>
  <si>
    <t>gain</t>
  </si>
  <si>
    <t>gained</t>
  </si>
  <si>
    <t>gainful</t>
  </si>
  <si>
    <t>gainfully</t>
  </si>
  <si>
    <t>gaining</t>
  </si>
  <si>
    <t>gains</t>
  </si>
  <si>
    <t>gainsay</t>
  </si>
  <si>
    <t>gainsayer</t>
  </si>
  <si>
    <t>gall</t>
  </si>
  <si>
    <t>gallant</t>
  </si>
  <si>
    <t>gallantly</t>
  </si>
  <si>
    <t>galling</t>
  </si>
  <si>
    <t>gallingly</t>
  </si>
  <si>
    <t>galls</t>
  </si>
  <si>
    <t>galore</t>
  </si>
  <si>
    <t>gangster</t>
  </si>
  <si>
    <t>gape</t>
  </si>
  <si>
    <t>garbage</t>
  </si>
  <si>
    <t>garish</t>
  </si>
  <si>
    <t>gasp</t>
  </si>
  <si>
    <t>gauche</t>
  </si>
  <si>
    <t>gaudy</t>
  </si>
  <si>
    <t>gawk</t>
  </si>
  <si>
    <t>gawky</t>
  </si>
  <si>
    <t>geekier</t>
  </si>
  <si>
    <t>geeky</t>
  </si>
  <si>
    <t>geezer</t>
  </si>
  <si>
    <t>gem</t>
  </si>
  <si>
    <t>gems</t>
  </si>
  <si>
    <t>generosity</t>
  </si>
  <si>
    <t>generous</t>
  </si>
  <si>
    <t>generously</t>
  </si>
  <si>
    <t>genial</t>
  </si>
  <si>
    <t>genius</t>
  </si>
  <si>
    <t>genocide</t>
  </si>
  <si>
    <t>gentle</t>
  </si>
  <si>
    <t>gentlest</t>
  </si>
  <si>
    <t>genuine</t>
  </si>
  <si>
    <t>get-rich</t>
  </si>
  <si>
    <t>ghastly</t>
  </si>
  <si>
    <t>ghetto</t>
  </si>
  <si>
    <t>ghosting</t>
  </si>
  <si>
    <t>gibber</t>
  </si>
  <si>
    <t>gibberish</t>
  </si>
  <si>
    <t>gibe</t>
  </si>
  <si>
    <t>giddy</t>
  </si>
  <si>
    <t>gifted</t>
  </si>
  <si>
    <t>gimmick</t>
  </si>
  <si>
    <t>gimmicked</t>
  </si>
  <si>
    <t>gimmicking</t>
  </si>
  <si>
    <t>gimmicks</t>
  </si>
  <si>
    <t>gimmicky</t>
  </si>
  <si>
    <t>glad</t>
  </si>
  <si>
    <t>gladden</t>
  </si>
  <si>
    <t>gladly</t>
  </si>
  <si>
    <t>gladness</t>
  </si>
  <si>
    <t>glamorous</t>
  </si>
  <si>
    <t>glare</t>
  </si>
  <si>
    <t>glaringly</t>
  </si>
  <si>
    <t>glee</t>
  </si>
  <si>
    <t>gleeful</t>
  </si>
  <si>
    <t>gleefully</t>
  </si>
  <si>
    <t>glib</t>
  </si>
  <si>
    <t>glibly</t>
  </si>
  <si>
    <t>glimmer</t>
  </si>
  <si>
    <t>glimmering</t>
  </si>
  <si>
    <t>glisten</t>
  </si>
  <si>
    <t>glistening</t>
  </si>
  <si>
    <t>glitch</t>
  </si>
  <si>
    <t>glitches</t>
  </si>
  <si>
    <t>glitter</t>
  </si>
  <si>
    <t>glitz</t>
  </si>
  <si>
    <t>gloatingly</t>
  </si>
  <si>
    <t>gloom</t>
  </si>
  <si>
    <t>gloomy</t>
  </si>
  <si>
    <t>glorify</t>
  </si>
  <si>
    <t>glorious</t>
  </si>
  <si>
    <t>gloriously</t>
  </si>
  <si>
    <t>glory</t>
  </si>
  <si>
    <t>glow</t>
  </si>
  <si>
    <t>glower</t>
  </si>
  <si>
    <t>glowing</t>
  </si>
  <si>
    <t>glowingly</t>
  </si>
  <si>
    <t>glum</t>
  </si>
  <si>
    <t>glut</t>
  </si>
  <si>
    <t>gnawing</t>
  </si>
  <si>
    <t>goad</t>
  </si>
  <si>
    <t>goading</t>
  </si>
  <si>
    <t>god-awful</t>
  </si>
  <si>
    <t>god-given</t>
  </si>
  <si>
    <t>god-send</t>
  </si>
  <si>
    <t>godlike</t>
  </si>
  <si>
    <t>godsend</t>
  </si>
  <si>
    <t>gold</t>
  </si>
  <si>
    <t>golden</t>
  </si>
  <si>
    <t>good</t>
  </si>
  <si>
    <t>goodly</t>
  </si>
  <si>
    <t>goodness</t>
  </si>
  <si>
    <t>goodwill</t>
  </si>
  <si>
    <t>goof</t>
  </si>
  <si>
    <t>goofy</t>
  </si>
  <si>
    <t>goon</t>
  </si>
  <si>
    <t>goood</t>
  </si>
  <si>
    <t>gooood</t>
  </si>
  <si>
    <t>gorgeous</t>
  </si>
  <si>
    <t>gorgeously</t>
  </si>
  <si>
    <t>gossip</t>
  </si>
  <si>
    <t>grace</t>
  </si>
  <si>
    <t>graceful</t>
  </si>
  <si>
    <t>gracefully</t>
  </si>
  <si>
    <t>graceless</t>
  </si>
  <si>
    <t>gracelessly</t>
  </si>
  <si>
    <t>gracious</t>
  </si>
  <si>
    <t>graciously</t>
  </si>
  <si>
    <t>graciousness</t>
  </si>
  <si>
    <t>graft</t>
  </si>
  <si>
    <t>grainy</t>
  </si>
  <si>
    <t>grand</t>
  </si>
  <si>
    <t>grandeur</t>
  </si>
  <si>
    <t>grapple</t>
  </si>
  <si>
    <t>grate</t>
  </si>
  <si>
    <t>grateful</t>
  </si>
  <si>
    <t>gratefully</t>
  </si>
  <si>
    <t>gratification</t>
  </si>
  <si>
    <t>gratified</t>
  </si>
  <si>
    <t>gratifies</t>
  </si>
  <si>
    <t>gratify</t>
  </si>
  <si>
    <t>gratifying</t>
  </si>
  <si>
    <t>gratifyingly</t>
  </si>
  <si>
    <t>grating</t>
  </si>
  <si>
    <t>gratitude</t>
  </si>
  <si>
    <t>gravely</t>
  </si>
  <si>
    <t>greasy</t>
  </si>
  <si>
    <t>great</t>
  </si>
  <si>
    <t>greatest</t>
  </si>
  <si>
    <t>greatness</t>
  </si>
  <si>
    <t>greed</t>
  </si>
  <si>
    <t>greedy</t>
  </si>
  <si>
    <t>grief</t>
  </si>
  <si>
    <t>grievance</t>
  </si>
  <si>
    <t>grievances</t>
  </si>
  <si>
    <t>grieve</t>
  </si>
  <si>
    <t>grieving</t>
  </si>
  <si>
    <t>grievous</t>
  </si>
  <si>
    <t>grievously</t>
  </si>
  <si>
    <t>grim</t>
  </si>
  <si>
    <t>grimace</t>
  </si>
  <si>
    <t>grin</t>
  </si>
  <si>
    <t>grind</t>
  </si>
  <si>
    <t>gripe</t>
  </si>
  <si>
    <t>gripes</t>
  </si>
  <si>
    <t>grisly</t>
  </si>
  <si>
    <t>gritty</t>
  </si>
  <si>
    <t>gross</t>
  </si>
  <si>
    <t>grossly</t>
  </si>
  <si>
    <t>grotesque</t>
  </si>
  <si>
    <t>grouch</t>
  </si>
  <si>
    <t>grouchy</t>
  </si>
  <si>
    <t>groundbreaking</t>
  </si>
  <si>
    <t>groundless</t>
  </si>
  <si>
    <t>grouse</t>
  </si>
  <si>
    <t>growl</t>
  </si>
  <si>
    <t>grudge</t>
  </si>
  <si>
    <t>grudges</t>
  </si>
  <si>
    <t>grudging</t>
  </si>
  <si>
    <t>grudgingly</t>
  </si>
  <si>
    <t>gruesome</t>
  </si>
  <si>
    <t>gruesomely</t>
  </si>
  <si>
    <t>gruff</t>
  </si>
  <si>
    <t>grumble</t>
  </si>
  <si>
    <t>grumpier</t>
  </si>
  <si>
    <t>grumpiest</t>
  </si>
  <si>
    <t>grumpily</t>
  </si>
  <si>
    <t>grumpish</t>
  </si>
  <si>
    <t>grumpy</t>
  </si>
  <si>
    <t>guarantee</t>
  </si>
  <si>
    <t>guidance</t>
  </si>
  <si>
    <t>guile</t>
  </si>
  <si>
    <t>guilt</t>
  </si>
  <si>
    <t>guiltily</t>
  </si>
  <si>
    <t>guiltless</t>
  </si>
  <si>
    <t>guilty</t>
  </si>
  <si>
    <t>gullible</t>
  </si>
  <si>
    <t>gumption</t>
  </si>
  <si>
    <t>gush</t>
  </si>
  <si>
    <t>gusto</t>
  </si>
  <si>
    <t>gutless</t>
  </si>
  <si>
    <t>gutsy</t>
  </si>
  <si>
    <t>gutter</t>
  </si>
  <si>
    <t>hack</t>
  </si>
  <si>
    <t>hacks</t>
  </si>
  <si>
    <t>haggard</t>
  </si>
  <si>
    <t>haggle</t>
  </si>
  <si>
    <t>hail</t>
  </si>
  <si>
    <t>hairloss</t>
  </si>
  <si>
    <t>halcyon</t>
  </si>
  <si>
    <t>hale</t>
  </si>
  <si>
    <t>halfhearted</t>
  </si>
  <si>
    <t>halfheartedly</t>
  </si>
  <si>
    <t>hallmark</t>
  </si>
  <si>
    <t>hallmarks</t>
  </si>
  <si>
    <t>hallowed</t>
  </si>
  <si>
    <t>hallucinate</t>
  </si>
  <si>
    <t>hallucination</t>
  </si>
  <si>
    <t>hamper</t>
  </si>
  <si>
    <t>hampered</t>
  </si>
  <si>
    <t>handicapped</t>
  </si>
  <si>
    <t>handier</t>
  </si>
  <si>
    <t>handily</t>
  </si>
  <si>
    <t>hands-down</t>
  </si>
  <si>
    <t>handsome</t>
  </si>
  <si>
    <t>handsomely</t>
  </si>
  <si>
    <t>handy</t>
  </si>
  <si>
    <t>hang</t>
  </si>
  <si>
    <t>hangs</t>
  </si>
  <si>
    <t>haphazard</t>
  </si>
  <si>
    <t>hapless</t>
  </si>
  <si>
    <t>happier</t>
  </si>
  <si>
    <t>happily</t>
  </si>
  <si>
    <t>happiness</t>
  </si>
  <si>
    <t>happy</t>
  </si>
  <si>
    <t>harangue</t>
  </si>
  <si>
    <t>harass</t>
  </si>
  <si>
    <t>harassed</t>
  </si>
  <si>
    <t>harasses</t>
  </si>
  <si>
    <t>harassment</t>
  </si>
  <si>
    <t>harboring</t>
  </si>
  <si>
    <t>harbors</t>
  </si>
  <si>
    <t>hard</t>
  </si>
  <si>
    <t>hard-hit</t>
  </si>
  <si>
    <t>hard-line</t>
  </si>
  <si>
    <t>hard-liner</t>
  </si>
  <si>
    <t>hard-working</t>
  </si>
  <si>
    <t>hardball</t>
  </si>
  <si>
    <t>harden</t>
  </si>
  <si>
    <t>hardened</t>
  </si>
  <si>
    <t>hardheaded</t>
  </si>
  <si>
    <t>hardhearted</t>
  </si>
  <si>
    <t>hardier</t>
  </si>
  <si>
    <t>hardliner</t>
  </si>
  <si>
    <t>hardliners</t>
  </si>
  <si>
    <t>hardship</t>
  </si>
  <si>
    <t>hardships</t>
  </si>
  <si>
    <t>hardy</t>
  </si>
  <si>
    <t>harm</t>
  </si>
  <si>
    <t>harmed</t>
  </si>
  <si>
    <t>harmful</t>
  </si>
  <si>
    <t>harmless</t>
  </si>
  <si>
    <t>harmonious</t>
  </si>
  <si>
    <t>harmoniously</t>
  </si>
  <si>
    <t>harmonize</t>
  </si>
  <si>
    <t>harmony</t>
  </si>
  <si>
    <t>harms</t>
  </si>
  <si>
    <t>harpy</t>
  </si>
  <si>
    <t>harridan</t>
  </si>
  <si>
    <t>harried</t>
  </si>
  <si>
    <t>harrow</t>
  </si>
  <si>
    <t>harsh</t>
  </si>
  <si>
    <t>harshly</t>
  </si>
  <si>
    <t>hasseling</t>
  </si>
  <si>
    <t>hassle</t>
  </si>
  <si>
    <t>hassled</t>
  </si>
  <si>
    <t>hassles</t>
  </si>
  <si>
    <t>haste</t>
  </si>
  <si>
    <t>hastily</t>
  </si>
  <si>
    <t>hasty</t>
  </si>
  <si>
    <t>hate</t>
  </si>
  <si>
    <t>hated</t>
  </si>
  <si>
    <t>hateful</t>
  </si>
  <si>
    <t>hatefully</t>
  </si>
  <si>
    <t>hatefulness</t>
  </si>
  <si>
    <t>hater</t>
  </si>
  <si>
    <t>haters</t>
  </si>
  <si>
    <t>hates</t>
  </si>
  <si>
    <t>hating</t>
  </si>
  <si>
    <t>hatred</t>
  </si>
  <si>
    <t>haughtily</t>
  </si>
  <si>
    <t>haughty</t>
  </si>
  <si>
    <t>haunt</t>
  </si>
  <si>
    <t>haunting</t>
  </si>
  <si>
    <t>havoc</t>
  </si>
  <si>
    <t>hawkish</t>
  </si>
  <si>
    <t>haywire</t>
  </si>
  <si>
    <t>hazard</t>
  </si>
  <si>
    <t>hazardous</t>
  </si>
  <si>
    <t>haze</t>
  </si>
  <si>
    <t>hazy</t>
  </si>
  <si>
    <t>head-aches</t>
  </si>
  <si>
    <t>headache</t>
  </si>
  <si>
    <t>headaches</t>
  </si>
  <si>
    <t>headway</t>
  </si>
  <si>
    <t>heal</t>
  </si>
  <si>
    <t>healthful</t>
  </si>
  <si>
    <t>healthy</t>
  </si>
  <si>
    <t>heartbreaker</t>
  </si>
  <si>
    <t>heartbreaking</t>
  </si>
  <si>
    <t>heartbreakingly</t>
  </si>
  <si>
    <t>hearten</t>
  </si>
  <si>
    <t>heartening</t>
  </si>
  <si>
    <t>heartfelt</t>
  </si>
  <si>
    <t>heartily</t>
  </si>
  <si>
    <t>heartless</t>
  </si>
  <si>
    <t>heartwarming</t>
  </si>
  <si>
    <t>heathen</t>
  </si>
  <si>
    <t>heaven</t>
  </si>
  <si>
    <t>heavenly</t>
  </si>
  <si>
    <t>heavy-handed</t>
  </si>
  <si>
    <t>heavyhearted</t>
  </si>
  <si>
    <t>heck</t>
  </si>
  <si>
    <t>heckle</t>
  </si>
  <si>
    <t>heckled</t>
  </si>
  <si>
    <t>heckles</t>
  </si>
  <si>
    <t>hectic</t>
  </si>
  <si>
    <t>hedge</t>
  </si>
  <si>
    <t>hedonistic</t>
  </si>
  <si>
    <t>heedless</t>
  </si>
  <si>
    <t>hefty</t>
  </si>
  <si>
    <t>hegemonism</t>
  </si>
  <si>
    <t>hegemonistic</t>
  </si>
  <si>
    <t>hegemony</t>
  </si>
  <si>
    <t>heinous</t>
  </si>
  <si>
    <t>hell</t>
  </si>
  <si>
    <t>hell-bent</t>
  </si>
  <si>
    <t>hellion</t>
  </si>
  <si>
    <t>hells</t>
  </si>
  <si>
    <t>helped</t>
  </si>
  <si>
    <t>helpful</t>
  </si>
  <si>
    <t>helping</t>
  </si>
  <si>
    <t>helpless</t>
  </si>
  <si>
    <t>helplessly</t>
  </si>
  <si>
    <t>helplessness</t>
  </si>
  <si>
    <t>heresy</t>
  </si>
  <si>
    <t>heretic</t>
  </si>
  <si>
    <t>heretical</t>
  </si>
  <si>
    <t>hero</t>
  </si>
  <si>
    <t>heroic</t>
  </si>
  <si>
    <t>heroically</t>
  </si>
  <si>
    <t>heroine</t>
  </si>
  <si>
    <t>heroize</t>
  </si>
  <si>
    <t>heros</t>
  </si>
  <si>
    <t>hesitant</t>
  </si>
  <si>
    <t>hestitant</t>
  </si>
  <si>
    <t>hideous</t>
  </si>
  <si>
    <t>hideously</t>
  </si>
  <si>
    <t>hideousness</t>
  </si>
  <si>
    <t>high-priced</t>
  </si>
  <si>
    <t>high-quality</t>
  </si>
  <si>
    <t>high-spirited</t>
  </si>
  <si>
    <t>hilarious</t>
  </si>
  <si>
    <t>hiliarious</t>
  </si>
  <si>
    <t>hinder</t>
  </si>
  <si>
    <t>hindrance</t>
  </si>
  <si>
    <t>hiss</t>
  </si>
  <si>
    <t>hissed</t>
  </si>
  <si>
    <t>hissing</t>
  </si>
  <si>
    <t>ho-hum</t>
  </si>
  <si>
    <t>hoard</t>
  </si>
  <si>
    <t>hoax</t>
  </si>
  <si>
    <t>hobble</t>
  </si>
  <si>
    <t>hogs</t>
  </si>
  <si>
    <t>hollow</t>
  </si>
  <si>
    <t>holy</t>
  </si>
  <si>
    <t>homage</t>
  </si>
  <si>
    <t>honest</t>
  </si>
  <si>
    <t>honesty</t>
  </si>
  <si>
    <t>honor</t>
  </si>
  <si>
    <t>honorable</t>
  </si>
  <si>
    <t>honored</t>
  </si>
  <si>
    <t>honoring</t>
  </si>
  <si>
    <t>hoodium</t>
  </si>
  <si>
    <t>hoodwink</t>
  </si>
  <si>
    <t>hooligan</t>
  </si>
  <si>
    <t>hooray</t>
  </si>
  <si>
    <t>hopeful</t>
  </si>
  <si>
    <t>hopeless</t>
  </si>
  <si>
    <t>hopelessly</t>
  </si>
  <si>
    <t>hopelessness</t>
  </si>
  <si>
    <t>horde</t>
  </si>
  <si>
    <t>horrendous</t>
  </si>
  <si>
    <t>horrendously</t>
  </si>
  <si>
    <t>horrible</t>
  </si>
  <si>
    <t>horrid</t>
  </si>
  <si>
    <t>horrific</t>
  </si>
  <si>
    <t>horrified</t>
  </si>
  <si>
    <t>horrifies</t>
  </si>
  <si>
    <t>horrify</t>
  </si>
  <si>
    <t>horrifying</t>
  </si>
  <si>
    <t>horrifys</t>
  </si>
  <si>
    <t>hospitable</t>
  </si>
  <si>
    <t>hostage</t>
  </si>
  <si>
    <t>hostile</t>
  </si>
  <si>
    <t>hostilities</t>
  </si>
  <si>
    <t>hostility</t>
  </si>
  <si>
    <t>hot</t>
  </si>
  <si>
    <t>hotbeds</t>
  </si>
  <si>
    <t>hotcake</t>
  </si>
  <si>
    <t>hotcakes</t>
  </si>
  <si>
    <t>hothead</t>
  </si>
  <si>
    <t>hotheaded</t>
  </si>
  <si>
    <t>hothouse</t>
  </si>
  <si>
    <t>hottest</t>
  </si>
  <si>
    <t>hubris</t>
  </si>
  <si>
    <t>huckster</t>
  </si>
  <si>
    <t>hug</t>
  </si>
  <si>
    <t>hum</t>
  </si>
  <si>
    <t>humane</t>
  </si>
  <si>
    <t>humble</t>
  </si>
  <si>
    <t>humid</t>
  </si>
  <si>
    <t>humiliate</t>
  </si>
  <si>
    <t>humiliating</t>
  </si>
  <si>
    <t>humiliation</t>
  </si>
  <si>
    <t>humility</t>
  </si>
  <si>
    <t>humming</t>
  </si>
  <si>
    <t>humor</t>
  </si>
  <si>
    <t>humorous</t>
  </si>
  <si>
    <t>humorously</t>
  </si>
  <si>
    <t>humour</t>
  </si>
  <si>
    <t>humourous</t>
  </si>
  <si>
    <t>hung</t>
  </si>
  <si>
    <t>hurt</t>
  </si>
  <si>
    <t>hurted</t>
  </si>
  <si>
    <t>hurtful</t>
  </si>
  <si>
    <t>hurting</t>
  </si>
  <si>
    <t>hurts</t>
  </si>
  <si>
    <t>hustler</t>
  </si>
  <si>
    <t>hype</t>
  </si>
  <si>
    <t>hypocricy</t>
  </si>
  <si>
    <t>hypocrisy</t>
  </si>
  <si>
    <t>hypocrite</t>
  </si>
  <si>
    <t>hypocrites</t>
  </si>
  <si>
    <t>hypocritical</t>
  </si>
  <si>
    <t>hypocritically</t>
  </si>
  <si>
    <t>hysteria</t>
  </si>
  <si>
    <t>hysteric</t>
  </si>
  <si>
    <t>hysterical</t>
  </si>
  <si>
    <t>hysterically</t>
  </si>
  <si>
    <t>hysterics</t>
  </si>
  <si>
    <t>ideal</t>
  </si>
  <si>
    <t>idealize</t>
  </si>
  <si>
    <t>ideally</t>
  </si>
  <si>
    <t>idiocies</t>
  </si>
  <si>
    <t>idiocy</t>
  </si>
  <si>
    <t>idiot</t>
  </si>
  <si>
    <t>idiotic</t>
  </si>
  <si>
    <t>idiotically</t>
  </si>
  <si>
    <t>idiots</t>
  </si>
  <si>
    <t>idle</t>
  </si>
  <si>
    <t>idol</t>
  </si>
  <si>
    <t>idolize</t>
  </si>
  <si>
    <t>idolized</t>
  </si>
  <si>
    <t>idyllic</t>
  </si>
  <si>
    <t>ignoble</t>
  </si>
  <si>
    <t>ignominious</t>
  </si>
  <si>
    <t>ignominiously</t>
  </si>
  <si>
    <t>ignominy</t>
  </si>
  <si>
    <t>ignorance</t>
  </si>
  <si>
    <t>ignorant</t>
  </si>
  <si>
    <t>ignore</t>
  </si>
  <si>
    <t>ill-advised</t>
  </si>
  <si>
    <t>ill-conceived</t>
  </si>
  <si>
    <t>ill-defined</t>
  </si>
  <si>
    <t>ill-designed</t>
  </si>
  <si>
    <t>ill-fated</t>
  </si>
  <si>
    <t>ill-favored</t>
  </si>
  <si>
    <t>ill-formed</t>
  </si>
  <si>
    <t>ill-mannered</t>
  </si>
  <si>
    <t>ill-natured</t>
  </si>
  <si>
    <t>ill-sorted</t>
  </si>
  <si>
    <t>ill-tempered</t>
  </si>
  <si>
    <t>ill-treated</t>
  </si>
  <si>
    <t>ill-treatment</t>
  </si>
  <si>
    <t>ill-usage</t>
  </si>
  <si>
    <t>ill-used</t>
  </si>
  <si>
    <t>illegal</t>
  </si>
  <si>
    <t>illegally</t>
  </si>
  <si>
    <t>illegitimate</t>
  </si>
  <si>
    <t>illicit</t>
  </si>
  <si>
    <t>illiterate</t>
  </si>
  <si>
    <t>illness</t>
  </si>
  <si>
    <t>illogic</t>
  </si>
  <si>
    <t>illogical</t>
  </si>
  <si>
    <t>illogically</t>
  </si>
  <si>
    <t>illuminate</t>
  </si>
  <si>
    <t>illuminati</t>
  </si>
  <si>
    <t>illuminating</t>
  </si>
  <si>
    <t>illumine</t>
  </si>
  <si>
    <t>illusion</t>
  </si>
  <si>
    <t>illusions</t>
  </si>
  <si>
    <t>illusory</t>
  </si>
  <si>
    <t>illustrious</t>
  </si>
  <si>
    <t>ilu</t>
  </si>
  <si>
    <t>imaculate</t>
  </si>
  <si>
    <t>imaginary</t>
  </si>
  <si>
    <t>imaginative</t>
  </si>
  <si>
    <t>imbalance</t>
  </si>
  <si>
    <t>imbecile</t>
  </si>
  <si>
    <t>imbroglio</t>
  </si>
  <si>
    <t>immaculate</t>
  </si>
  <si>
    <t>immaculately</t>
  </si>
  <si>
    <t>immaterial</t>
  </si>
  <si>
    <t>immature</t>
  </si>
  <si>
    <t>immense</t>
  </si>
  <si>
    <t>imminence</t>
  </si>
  <si>
    <t>imminently</t>
  </si>
  <si>
    <t>immobilized</t>
  </si>
  <si>
    <t>immoderate</t>
  </si>
  <si>
    <t>immoderately</t>
  </si>
  <si>
    <t>immodest</t>
  </si>
  <si>
    <t>immoral</t>
  </si>
  <si>
    <t>immorality</t>
  </si>
  <si>
    <t>immorally</t>
  </si>
  <si>
    <t>immovable</t>
  </si>
  <si>
    <t>impair</t>
  </si>
  <si>
    <t>impaired</t>
  </si>
  <si>
    <t>impartial</t>
  </si>
  <si>
    <t>impartiality</t>
  </si>
  <si>
    <t>impartially</t>
  </si>
  <si>
    <t>impasse</t>
  </si>
  <si>
    <t>impassioned</t>
  </si>
  <si>
    <t>impatience</t>
  </si>
  <si>
    <t>impatient</t>
  </si>
  <si>
    <t>impatiently</t>
  </si>
  <si>
    <t>impeach</t>
  </si>
  <si>
    <t>impeccable</t>
  </si>
  <si>
    <t>impeccably</t>
  </si>
  <si>
    <t>impedance</t>
  </si>
  <si>
    <t>impede</t>
  </si>
  <si>
    <t>impediment</t>
  </si>
  <si>
    <t>impending</t>
  </si>
  <si>
    <t>impenitent</t>
  </si>
  <si>
    <t>imperfect</t>
  </si>
  <si>
    <t>imperfection</t>
  </si>
  <si>
    <t>imperfections</t>
  </si>
  <si>
    <t>imperfectly</t>
  </si>
  <si>
    <t>imperialist</t>
  </si>
  <si>
    <t>imperil</t>
  </si>
  <si>
    <t>imperious</t>
  </si>
  <si>
    <t>imperiously</t>
  </si>
  <si>
    <t>impermissible</t>
  </si>
  <si>
    <t>impersonal</t>
  </si>
  <si>
    <t>impertinent</t>
  </si>
  <si>
    <t>impetuous</t>
  </si>
  <si>
    <t>impetuously</t>
  </si>
  <si>
    <t>impiety</t>
  </si>
  <si>
    <t>impinge</t>
  </si>
  <si>
    <t>impious</t>
  </si>
  <si>
    <t>implacable</t>
  </si>
  <si>
    <t>implausible</t>
  </si>
  <si>
    <t>implausibly</t>
  </si>
  <si>
    <t>implicate</t>
  </si>
  <si>
    <t>implication</t>
  </si>
  <si>
    <t>implode</t>
  </si>
  <si>
    <t>impolite</t>
  </si>
  <si>
    <t>impolitely</t>
  </si>
  <si>
    <t>impolitic</t>
  </si>
  <si>
    <t>important</t>
  </si>
  <si>
    <t>importunate</t>
  </si>
  <si>
    <t>importune</t>
  </si>
  <si>
    <t>impose</t>
  </si>
  <si>
    <t>imposers</t>
  </si>
  <si>
    <t>imposing</t>
  </si>
  <si>
    <t>imposition</t>
  </si>
  <si>
    <t>impossible</t>
  </si>
  <si>
    <t>impossiblity</t>
  </si>
  <si>
    <t>impossibly</t>
  </si>
  <si>
    <t>impotent</t>
  </si>
  <si>
    <t>impoverish</t>
  </si>
  <si>
    <t>impoverished</t>
  </si>
  <si>
    <t>impractical</t>
  </si>
  <si>
    <t>imprecate</t>
  </si>
  <si>
    <t>imprecise</t>
  </si>
  <si>
    <t>imprecisely</t>
  </si>
  <si>
    <t>imprecision</t>
  </si>
  <si>
    <t>impress</t>
  </si>
  <si>
    <t>impressed</t>
  </si>
  <si>
    <t>impresses</t>
  </si>
  <si>
    <t>impressive</t>
  </si>
  <si>
    <t>impressively</t>
  </si>
  <si>
    <t>impressiveness</t>
  </si>
  <si>
    <t>imprison</t>
  </si>
  <si>
    <t>imprisonment</t>
  </si>
  <si>
    <t>improbability</t>
  </si>
  <si>
    <t>improbable</t>
  </si>
  <si>
    <t>improbably</t>
  </si>
  <si>
    <t>improper</t>
  </si>
  <si>
    <t>improperly</t>
  </si>
  <si>
    <t>impropriety</t>
  </si>
  <si>
    <t>improve</t>
  </si>
  <si>
    <t>improved</t>
  </si>
  <si>
    <t>improvement</t>
  </si>
  <si>
    <t>improvements</t>
  </si>
  <si>
    <t>improves</t>
  </si>
  <si>
    <t>improving</t>
  </si>
  <si>
    <t>imprudence</t>
  </si>
  <si>
    <t>imprudent</t>
  </si>
  <si>
    <t>impudence</t>
  </si>
  <si>
    <t>impudent</t>
  </si>
  <si>
    <t>impudently</t>
  </si>
  <si>
    <t>impugn</t>
  </si>
  <si>
    <t>impulsive</t>
  </si>
  <si>
    <t>impulsively</t>
  </si>
  <si>
    <t>impunity</t>
  </si>
  <si>
    <t>impure</t>
  </si>
  <si>
    <t>impurity</t>
  </si>
  <si>
    <t>inability</t>
  </si>
  <si>
    <t>inaccuracies</t>
  </si>
  <si>
    <t>inaccuracy</t>
  </si>
  <si>
    <t>inaccurate</t>
  </si>
  <si>
    <t>inaccurately</t>
  </si>
  <si>
    <t>inaction</t>
  </si>
  <si>
    <t>inactive</t>
  </si>
  <si>
    <t>inadequacy</t>
  </si>
  <si>
    <t>inadequate</t>
  </si>
  <si>
    <t>inadequately</t>
  </si>
  <si>
    <t>inadverent</t>
  </si>
  <si>
    <t>inadverently</t>
  </si>
  <si>
    <t>inadvisable</t>
  </si>
  <si>
    <t>inadvisably</t>
  </si>
  <si>
    <t>inane</t>
  </si>
  <si>
    <t>inanely</t>
  </si>
  <si>
    <t>inappropriate</t>
  </si>
  <si>
    <t>inappropriately</t>
  </si>
  <si>
    <t>inapt</t>
  </si>
  <si>
    <t>inaptitude</t>
  </si>
  <si>
    <t>inarticulate</t>
  </si>
  <si>
    <t>inattentive</t>
  </si>
  <si>
    <t>inaudible</t>
  </si>
  <si>
    <t>incapable</t>
  </si>
  <si>
    <t>incapably</t>
  </si>
  <si>
    <t>incautious</t>
  </si>
  <si>
    <t>incendiary</t>
  </si>
  <si>
    <t>incense</t>
  </si>
  <si>
    <t>incessant</t>
  </si>
  <si>
    <t>incessantly</t>
  </si>
  <si>
    <t>incite</t>
  </si>
  <si>
    <t>incitement</t>
  </si>
  <si>
    <t>incivility</t>
  </si>
  <si>
    <t>inclement</t>
  </si>
  <si>
    <t>incognizant</t>
  </si>
  <si>
    <t>incoherence</t>
  </si>
  <si>
    <t>incoherent</t>
  </si>
  <si>
    <t>incoherently</t>
  </si>
  <si>
    <t>incommensurate</t>
  </si>
  <si>
    <t>incomparable</t>
  </si>
  <si>
    <t>incomparably</t>
  </si>
  <si>
    <t>incompatability</t>
  </si>
  <si>
    <t>incompatibility</t>
  </si>
  <si>
    <t>incompatible</t>
  </si>
  <si>
    <t>incompetence</t>
  </si>
  <si>
    <t>incompetent</t>
  </si>
  <si>
    <t>incompetently</t>
  </si>
  <si>
    <t>incomplete</t>
  </si>
  <si>
    <t>incompliant</t>
  </si>
  <si>
    <t>incomprehensible</t>
  </si>
  <si>
    <t>incomprehension</t>
  </si>
  <si>
    <t>inconceivable</t>
  </si>
  <si>
    <t>inconceivably</t>
  </si>
  <si>
    <t>incongruous</t>
  </si>
  <si>
    <t>incongruously</t>
  </si>
  <si>
    <t>inconsequent</t>
  </si>
  <si>
    <t>inconsequential</t>
  </si>
  <si>
    <t>inconsequentially</t>
  </si>
  <si>
    <t>inconsequently</t>
  </si>
  <si>
    <t>inconsiderate</t>
  </si>
  <si>
    <t>inconsiderately</t>
  </si>
  <si>
    <t>inconsistence</t>
  </si>
  <si>
    <t>inconsistencies</t>
  </si>
  <si>
    <t>inconsistency</t>
  </si>
  <si>
    <t>inconsistent</t>
  </si>
  <si>
    <t>inconsolable</t>
  </si>
  <si>
    <t>inconsolably</t>
  </si>
  <si>
    <t>inconstant</t>
  </si>
  <si>
    <t>inconvenience</t>
  </si>
  <si>
    <t>inconveniently</t>
  </si>
  <si>
    <t>incorrect</t>
  </si>
  <si>
    <t>incorrectly</t>
  </si>
  <si>
    <t>incorrigible</t>
  </si>
  <si>
    <t>incorrigibly</t>
  </si>
  <si>
    <t>incredible</t>
  </si>
  <si>
    <t>incredibly</t>
  </si>
  <si>
    <t>incredulous</t>
  </si>
  <si>
    <t>incredulously</t>
  </si>
  <si>
    <t>inculcate</t>
  </si>
  <si>
    <t>indebted</t>
  </si>
  <si>
    <t>indecency</t>
  </si>
  <si>
    <t>indecent</t>
  </si>
  <si>
    <t>indecently</t>
  </si>
  <si>
    <t>indecision</t>
  </si>
  <si>
    <t>indecisive</t>
  </si>
  <si>
    <t>indecisively</t>
  </si>
  <si>
    <t>indecorum</t>
  </si>
  <si>
    <t>indefensible</t>
  </si>
  <si>
    <t>indelicate</t>
  </si>
  <si>
    <t>indeterminable</t>
  </si>
  <si>
    <t>indeterminably</t>
  </si>
  <si>
    <t>indeterminate</t>
  </si>
  <si>
    <t>indifference</t>
  </si>
  <si>
    <t>indifferent</t>
  </si>
  <si>
    <t>indigent</t>
  </si>
  <si>
    <t>indignant</t>
  </si>
  <si>
    <t>indignantly</t>
  </si>
  <si>
    <t>indignation</t>
  </si>
  <si>
    <t>indignity</t>
  </si>
  <si>
    <t>indiscernible</t>
  </si>
  <si>
    <t>indiscreet</t>
  </si>
  <si>
    <t>indiscreetly</t>
  </si>
  <si>
    <t>indiscretion</t>
  </si>
  <si>
    <t>indiscriminate</t>
  </si>
  <si>
    <t>indiscriminately</t>
  </si>
  <si>
    <t>indiscriminating</t>
  </si>
  <si>
    <t>indistinguishable</t>
  </si>
  <si>
    <t>individualized</t>
  </si>
  <si>
    <t>indoctrinate</t>
  </si>
  <si>
    <t>indoctrination</t>
  </si>
  <si>
    <t>indolent</t>
  </si>
  <si>
    <t>indulge</t>
  </si>
  <si>
    <t>indulgence</t>
  </si>
  <si>
    <t>indulgent</t>
  </si>
  <si>
    <t>industrious</t>
  </si>
  <si>
    <t>ineffective</t>
  </si>
  <si>
    <t>ineffectively</t>
  </si>
  <si>
    <t>ineffectiveness</t>
  </si>
  <si>
    <t>ineffectual</t>
  </si>
  <si>
    <t>ineffectually</t>
  </si>
  <si>
    <t>ineffectualness</t>
  </si>
  <si>
    <t>inefficacious</t>
  </si>
  <si>
    <t>inefficacy</t>
  </si>
  <si>
    <t>inefficiency</t>
  </si>
  <si>
    <t>inefficient</t>
  </si>
  <si>
    <t>inefficiently</t>
  </si>
  <si>
    <t>inelegance</t>
  </si>
  <si>
    <t>inelegant</t>
  </si>
  <si>
    <t>ineligible</t>
  </si>
  <si>
    <t>ineloquent</t>
  </si>
  <si>
    <t>ineloquently</t>
  </si>
  <si>
    <t>inept</t>
  </si>
  <si>
    <t>ineptitude</t>
  </si>
  <si>
    <t>ineptly</t>
  </si>
  <si>
    <t>inequalities</t>
  </si>
  <si>
    <t>inequality</t>
  </si>
  <si>
    <t>inequitable</t>
  </si>
  <si>
    <t>inequitably</t>
  </si>
  <si>
    <t>inequities</t>
  </si>
  <si>
    <t>inescapable</t>
  </si>
  <si>
    <t>inescapably</t>
  </si>
  <si>
    <t>inessential</t>
  </si>
  <si>
    <t>inestimable</t>
  </si>
  <si>
    <t>inestimably</t>
  </si>
  <si>
    <t>inevitable</t>
  </si>
  <si>
    <t>inevitably</t>
  </si>
  <si>
    <t>inexcusable</t>
  </si>
  <si>
    <t>inexcusably</t>
  </si>
  <si>
    <t>inexorable</t>
  </si>
  <si>
    <t>inexorably</t>
  </si>
  <si>
    <t>inexpensive</t>
  </si>
  <si>
    <t>inexperience</t>
  </si>
  <si>
    <t>inexperienced</t>
  </si>
  <si>
    <t>inexpert</t>
  </si>
  <si>
    <t>inexpertly</t>
  </si>
  <si>
    <t>inexpiable</t>
  </si>
  <si>
    <t>inexplainable</t>
  </si>
  <si>
    <t>inextricable</t>
  </si>
  <si>
    <t>inextricably</t>
  </si>
  <si>
    <t>infallibility</t>
  </si>
  <si>
    <t>infallible</t>
  </si>
  <si>
    <t>infallibly</t>
  </si>
  <si>
    <t>infamous</t>
  </si>
  <si>
    <t>infamously</t>
  </si>
  <si>
    <t>infamy</t>
  </si>
  <si>
    <t>infected</t>
  </si>
  <si>
    <t>infection</t>
  </si>
  <si>
    <t>infections</t>
  </si>
  <si>
    <t>inferior</t>
  </si>
  <si>
    <t>inferiority</t>
  </si>
  <si>
    <t>infernal</t>
  </si>
  <si>
    <t>infest</t>
  </si>
  <si>
    <t>infested</t>
  </si>
  <si>
    <t>infidel</t>
  </si>
  <si>
    <t>infidels</t>
  </si>
  <si>
    <t>infiltrator</t>
  </si>
  <si>
    <t>infiltrators</t>
  </si>
  <si>
    <t>infirm</t>
  </si>
  <si>
    <t>inflame</t>
  </si>
  <si>
    <t>inflammation</t>
  </si>
  <si>
    <t>inflammatory</t>
  </si>
  <si>
    <t>inflammed</t>
  </si>
  <si>
    <t>inflated</t>
  </si>
  <si>
    <t>inflationary</t>
  </si>
  <si>
    <t>inflexible</t>
  </si>
  <si>
    <t>inflict</t>
  </si>
  <si>
    <t>influential</t>
  </si>
  <si>
    <t>infraction</t>
  </si>
  <si>
    <t>infringe</t>
  </si>
  <si>
    <t>infringement</t>
  </si>
  <si>
    <t>infringements</t>
  </si>
  <si>
    <t>infuriate</t>
  </si>
  <si>
    <t>infuriated</t>
  </si>
  <si>
    <t>infuriating</t>
  </si>
  <si>
    <t>infuriatingly</t>
  </si>
  <si>
    <t>ingenious</t>
  </si>
  <si>
    <t>ingeniously</t>
  </si>
  <si>
    <t>ingenuity</t>
  </si>
  <si>
    <t>ingenuous</t>
  </si>
  <si>
    <t>ingenuously</t>
  </si>
  <si>
    <t>inglorious</t>
  </si>
  <si>
    <t>ingrate</t>
  </si>
  <si>
    <t>ingratitude</t>
  </si>
  <si>
    <t>inhibit</t>
  </si>
  <si>
    <t>inhibition</t>
  </si>
  <si>
    <t>inhospitable</t>
  </si>
  <si>
    <t>inhospitality</t>
  </si>
  <si>
    <t>inhuman</t>
  </si>
  <si>
    <t>inhumane</t>
  </si>
  <si>
    <t>inhumanity</t>
  </si>
  <si>
    <t>inimical</t>
  </si>
  <si>
    <t>inimically</t>
  </si>
  <si>
    <t>iniquitous</t>
  </si>
  <si>
    <t>iniquity</t>
  </si>
  <si>
    <t>injudicious</t>
  </si>
  <si>
    <t>injure</t>
  </si>
  <si>
    <t>injurious</t>
  </si>
  <si>
    <t>injury</t>
  </si>
  <si>
    <t>injustice</t>
  </si>
  <si>
    <t>injustices</t>
  </si>
  <si>
    <t>innocuous</t>
  </si>
  <si>
    <t>innovation</t>
  </si>
  <si>
    <t>innovative</t>
  </si>
  <si>
    <t>innuendo</t>
  </si>
  <si>
    <t>inoperable</t>
  </si>
  <si>
    <t>inopportune</t>
  </si>
  <si>
    <t>inordinate</t>
  </si>
  <si>
    <t>inordinately</t>
  </si>
  <si>
    <t>inpressed</t>
  </si>
  <si>
    <t>insane</t>
  </si>
  <si>
    <t>insanely</t>
  </si>
  <si>
    <t>insanity</t>
  </si>
  <si>
    <t>insatiable</t>
  </si>
  <si>
    <t>insecure</t>
  </si>
  <si>
    <t>insecurity</t>
  </si>
  <si>
    <t>insensible</t>
  </si>
  <si>
    <t>insensitive</t>
  </si>
  <si>
    <t>insensitively</t>
  </si>
  <si>
    <t>insensitivity</t>
  </si>
  <si>
    <t>insidious</t>
  </si>
  <si>
    <t>insidiously</t>
  </si>
  <si>
    <t>insightful</t>
  </si>
  <si>
    <t>insightfully</t>
  </si>
  <si>
    <t>insignificance</t>
  </si>
  <si>
    <t>insignificant</t>
  </si>
  <si>
    <t>insignificantly</t>
  </si>
  <si>
    <t>insincere</t>
  </si>
  <si>
    <t>insincerely</t>
  </si>
  <si>
    <t>insincerity</t>
  </si>
  <si>
    <t>insinuate</t>
  </si>
  <si>
    <t>insinuating</t>
  </si>
  <si>
    <t>insinuation</t>
  </si>
  <si>
    <t>insociable</t>
  </si>
  <si>
    <t>insolence</t>
  </si>
  <si>
    <t>insolent</t>
  </si>
  <si>
    <t>insolently</t>
  </si>
  <si>
    <t>insolvent</t>
  </si>
  <si>
    <t>insouciance</t>
  </si>
  <si>
    <t>inspiration</t>
  </si>
  <si>
    <t>inspirational</t>
  </si>
  <si>
    <t>inspire</t>
  </si>
  <si>
    <t>inspiring</t>
  </si>
  <si>
    <t>instability</t>
  </si>
  <si>
    <t>instable</t>
  </si>
  <si>
    <t>instantly</t>
  </si>
  <si>
    <t>instigate</t>
  </si>
  <si>
    <t>instigator</t>
  </si>
  <si>
    <t>instigators</t>
  </si>
  <si>
    <t>instructive</t>
  </si>
  <si>
    <t>instrumental</t>
  </si>
  <si>
    <t>insubordinate</t>
  </si>
  <si>
    <t>insubstantial</t>
  </si>
  <si>
    <t>insubstantially</t>
  </si>
  <si>
    <t>insufferable</t>
  </si>
  <si>
    <t>insufferably</t>
  </si>
  <si>
    <t>insufficiency</t>
  </si>
  <si>
    <t>insufficient</t>
  </si>
  <si>
    <t>insufficiently</t>
  </si>
  <si>
    <t>insular</t>
  </si>
  <si>
    <t>insult</t>
  </si>
  <si>
    <t>insulted</t>
  </si>
  <si>
    <t>insulting</t>
  </si>
  <si>
    <t>insultingly</t>
  </si>
  <si>
    <t>insults</t>
  </si>
  <si>
    <t>insupportable</t>
  </si>
  <si>
    <t>insupportably</t>
  </si>
  <si>
    <t>insurmountable</t>
  </si>
  <si>
    <t>insurmountably</t>
  </si>
  <si>
    <t>insurrection</t>
  </si>
  <si>
    <t>intefere</t>
  </si>
  <si>
    <t>inteferes</t>
  </si>
  <si>
    <t>integral</t>
  </si>
  <si>
    <t>integrated</t>
  </si>
  <si>
    <t>intelligence</t>
  </si>
  <si>
    <t>intelligent</t>
  </si>
  <si>
    <t>intelligible</t>
  </si>
  <si>
    <t>intense</t>
  </si>
  <si>
    <t>interesting</t>
  </si>
  <si>
    <t>interests</t>
  </si>
  <si>
    <t>interfere</t>
  </si>
  <si>
    <t>interference</t>
  </si>
  <si>
    <t>interferes</t>
  </si>
  <si>
    <t>intermittent</t>
  </si>
  <si>
    <t>interrupt</t>
  </si>
  <si>
    <t>interruption</t>
  </si>
  <si>
    <t>interruptions</t>
  </si>
  <si>
    <t>intimacy</t>
  </si>
  <si>
    <t>intimate</t>
  </si>
  <si>
    <t>intimidate</t>
  </si>
  <si>
    <t>intimidating</t>
  </si>
  <si>
    <t>intimidatingly</t>
  </si>
  <si>
    <t>intimidation</t>
  </si>
  <si>
    <t>intolerable</t>
  </si>
  <si>
    <t>intolerablely</t>
  </si>
  <si>
    <t>intolerance</t>
  </si>
  <si>
    <t>intoxicate</t>
  </si>
  <si>
    <t>intractable</t>
  </si>
  <si>
    <t>intransigence</t>
  </si>
  <si>
    <t>intransigent</t>
  </si>
  <si>
    <t>intricate</t>
  </si>
  <si>
    <t>intrigue</t>
  </si>
  <si>
    <t>intriguing</t>
  </si>
  <si>
    <t>intriguingly</t>
  </si>
  <si>
    <t>intrude</t>
  </si>
  <si>
    <t>intrusion</t>
  </si>
  <si>
    <t>intrusive</t>
  </si>
  <si>
    <t>intuitive</t>
  </si>
  <si>
    <t>inundate</t>
  </si>
  <si>
    <t>inundated</t>
  </si>
  <si>
    <t>invader</t>
  </si>
  <si>
    <t>invalid</t>
  </si>
  <si>
    <t>invalidate</t>
  </si>
  <si>
    <t>invalidity</t>
  </si>
  <si>
    <t>invaluable</t>
  </si>
  <si>
    <t>invaluablely</t>
  </si>
  <si>
    <t>invasive</t>
  </si>
  <si>
    <t>invective</t>
  </si>
  <si>
    <t>inveigle</t>
  </si>
  <si>
    <t>inventive</t>
  </si>
  <si>
    <t>invidious</t>
  </si>
  <si>
    <t>invidiously</t>
  </si>
  <si>
    <t>invidiousness</t>
  </si>
  <si>
    <t>invigorate</t>
  </si>
  <si>
    <t>invigorating</t>
  </si>
  <si>
    <t>invincibility</t>
  </si>
  <si>
    <t>invincible</t>
  </si>
  <si>
    <t>inviolable</t>
  </si>
  <si>
    <t>inviolate</t>
  </si>
  <si>
    <t>invisible</t>
  </si>
  <si>
    <t>involuntarily</t>
  </si>
  <si>
    <t>involuntary</t>
  </si>
  <si>
    <t>invulnerable</t>
  </si>
  <si>
    <t>irascible</t>
  </si>
  <si>
    <t>irate</t>
  </si>
  <si>
    <t>irately</t>
  </si>
  <si>
    <t>ire</t>
  </si>
  <si>
    <t>irk</t>
  </si>
  <si>
    <t>irked</t>
  </si>
  <si>
    <t>irking</t>
  </si>
  <si>
    <t>irks</t>
  </si>
  <si>
    <t>irksome</t>
  </si>
  <si>
    <t>irksomely</t>
  </si>
  <si>
    <t>irksomeness</t>
  </si>
  <si>
    <t>irksomenesses</t>
  </si>
  <si>
    <t>ironic</t>
  </si>
  <si>
    <t>ironical</t>
  </si>
  <si>
    <t>ironically</t>
  </si>
  <si>
    <t>ironies</t>
  </si>
  <si>
    <t>irony</t>
  </si>
  <si>
    <t>irragularity</t>
  </si>
  <si>
    <t>irrational</t>
  </si>
  <si>
    <t>irrationalities</t>
  </si>
  <si>
    <t>irrationality</t>
  </si>
  <si>
    <t>irrationally</t>
  </si>
  <si>
    <t>irrationals</t>
  </si>
  <si>
    <t>irreconcilable</t>
  </si>
  <si>
    <t>irrecoverable</t>
  </si>
  <si>
    <t>irrecoverableness</t>
  </si>
  <si>
    <t>irrecoverablenesses</t>
  </si>
  <si>
    <t>irrecoverably</t>
  </si>
  <si>
    <t>irredeemable</t>
  </si>
  <si>
    <t>irredeemably</t>
  </si>
  <si>
    <t>irreformable</t>
  </si>
  <si>
    <t>irregular</t>
  </si>
  <si>
    <t>irregularity</t>
  </si>
  <si>
    <t>irrelevance</t>
  </si>
  <si>
    <t>irrelevant</t>
  </si>
  <si>
    <t>irreparable</t>
  </si>
  <si>
    <t>irreplaceable</t>
  </si>
  <si>
    <t>irreplacible</t>
  </si>
  <si>
    <t>irrepressible</t>
  </si>
  <si>
    <t>irreproachable</t>
  </si>
  <si>
    <t>irresistible</t>
  </si>
  <si>
    <t>irresistibly</t>
  </si>
  <si>
    <t>irresolute</t>
  </si>
  <si>
    <t>irresolvable</t>
  </si>
  <si>
    <t>irresponsible</t>
  </si>
  <si>
    <t>irresponsibly</t>
  </si>
  <si>
    <t>irretating</t>
  </si>
  <si>
    <t>irretrievable</t>
  </si>
  <si>
    <t>irreversible</t>
  </si>
  <si>
    <t>irritable</t>
  </si>
  <si>
    <t>irritably</t>
  </si>
  <si>
    <t>irritant</t>
  </si>
  <si>
    <t>irritate</t>
  </si>
  <si>
    <t>irritated</t>
  </si>
  <si>
    <t>irritating</t>
  </si>
  <si>
    <t>irritation</t>
  </si>
  <si>
    <t>irritations</t>
  </si>
  <si>
    <t>isolate</t>
  </si>
  <si>
    <t>isolated</t>
  </si>
  <si>
    <t>isolation</t>
  </si>
  <si>
    <t>issue</t>
  </si>
  <si>
    <t>issue-free</t>
  </si>
  <si>
    <t>issues</t>
  </si>
  <si>
    <t>itch</t>
  </si>
  <si>
    <t>itching</t>
  </si>
  <si>
    <t>itchy</t>
  </si>
  <si>
    <t>jabber</t>
  </si>
  <si>
    <t>jaded</t>
  </si>
  <si>
    <t>jagged</t>
  </si>
  <si>
    <t>jam</t>
  </si>
  <si>
    <t>jarring</t>
  </si>
  <si>
    <t>jaundiced</t>
  </si>
  <si>
    <t>jaw-droping</t>
  </si>
  <si>
    <t>jaw-dropping</t>
  </si>
  <si>
    <t>jealous</t>
  </si>
  <si>
    <t>jealously</t>
  </si>
  <si>
    <t>jealousness</t>
  </si>
  <si>
    <t>jealousy</t>
  </si>
  <si>
    <t>jeer</t>
  </si>
  <si>
    <t>jeering</t>
  </si>
  <si>
    <t>jeeringly</t>
  </si>
  <si>
    <t>jeers</t>
  </si>
  <si>
    <t>jeopardize</t>
  </si>
  <si>
    <t>jeopardy</t>
  </si>
  <si>
    <t>jerk</t>
  </si>
  <si>
    <t>jerky</t>
  </si>
  <si>
    <t>jitter</t>
  </si>
  <si>
    <t>jitters</t>
  </si>
  <si>
    <t>jittery</t>
  </si>
  <si>
    <t>job-killing</t>
  </si>
  <si>
    <t>jobless</t>
  </si>
  <si>
    <t>joke</t>
  </si>
  <si>
    <t>joker</t>
  </si>
  <si>
    <t>jollify</t>
  </si>
  <si>
    <t>jolly</t>
  </si>
  <si>
    <t>jolt</t>
  </si>
  <si>
    <t>jovial</t>
  </si>
  <si>
    <t>joy</t>
  </si>
  <si>
    <t>joyful</t>
  </si>
  <si>
    <t>joyfully</t>
  </si>
  <si>
    <t>joyous</t>
  </si>
  <si>
    <t>joyously</t>
  </si>
  <si>
    <t>jubilant</t>
  </si>
  <si>
    <t>jubilantly</t>
  </si>
  <si>
    <t>jubilate</t>
  </si>
  <si>
    <t>jubilation</t>
  </si>
  <si>
    <t>jubiliant</t>
  </si>
  <si>
    <t>judder</t>
  </si>
  <si>
    <t>juddering</t>
  </si>
  <si>
    <t>judders</t>
  </si>
  <si>
    <t>judicious</t>
  </si>
  <si>
    <t>jumpy</t>
  </si>
  <si>
    <t>junk</t>
  </si>
  <si>
    <t>junky</t>
  </si>
  <si>
    <t>junkyard</t>
  </si>
  <si>
    <t>justly</t>
  </si>
  <si>
    <t>jutter</t>
  </si>
  <si>
    <t>jutters</t>
  </si>
  <si>
    <t>kaput</t>
  </si>
  <si>
    <t>keen</t>
  </si>
  <si>
    <t>keenly</t>
  </si>
  <si>
    <t>keenness</t>
  </si>
  <si>
    <t>kid-friendly</t>
  </si>
  <si>
    <t>kill</t>
  </si>
  <si>
    <t>killed</t>
  </si>
  <si>
    <t>killer</t>
  </si>
  <si>
    <t>killing</t>
  </si>
  <si>
    <t>killjoy</t>
  </si>
  <si>
    <t>kills</t>
  </si>
  <si>
    <t>kindliness</t>
  </si>
  <si>
    <t>kindly</t>
  </si>
  <si>
    <t>kindness</t>
  </si>
  <si>
    <t>knave</t>
  </si>
  <si>
    <t>knife</t>
  </si>
  <si>
    <t>knock</t>
  </si>
  <si>
    <t>knotted</t>
  </si>
  <si>
    <t>knowledgeable</t>
  </si>
  <si>
    <t>kook</t>
  </si>
  <si>
    <t>kooky</t>
  </si>
  <si>
    <t>kudos</t>
  </si>
  <si>
    <t>lack</t>
  </si>
  <si>
    <t>lackadaisical</t>
  </si>
  <si>
    <t>lacked</t>
  </si>
  <si>
    <t>lackey</t>
  </si>
  <si>
    <t>lackeys</t>
  </si>
  <si>
    <t>lacking</t>
  </si>
  <si>
    <t>lackluster</t>
  </si>
  <si>
    <t>lacks</t>
  </si>
  <si>
    <t>laconic</t>
  </si>
  <si>
    <t>lag</t>
  </si>
  <si>
    <t>lagged</t>
  </si>
  <si>
    <t>lagging</t>
  </si>
  <si>
    <t>laggy</t>
  </si>
  <si>
    <t>lags</t>
  </si>
  <si>
    <t>laid-off</t>
  </si>
  <si>
    <t>lambast</t>
  </si>
  <si>
    <t>lambaste</t>
  </si>
  <si>
    <t>lame</t>
  </si>
  <si>
    <t>lame-duck</t>
  </si>
  <si>
    <t>lament</t>
  </si>
  <si>
    <t>lamentable</t>
  </si>
  <si>
    <t>lamentably</t>
  </si>
  <si>
    <t>languid</t>
  </si>
  <si>
    <t>languish</t>
  </si>
  <si>
    <t>languor</t>
  </si>
  <si>
    <t>languorous</t>
  </si>
  <si>
    <t>languorously</t>
  </si>
  <si>
    <t>lanky</t>
  </si>
  <si>
    <t>lapse</t>
  </si>
  <si>
    <t>lapsed</t>
  </si>
  <si>
    <t>lapses</t>
  </si>
  <si>
    <t>large-capacity</t>
  </si>
  <si>
    <t>lascivious</t>
  </si>
  <si>
    <t>last-ditch</t>
  </si>
  <si>
    <t>latency</t>
  </si>
  <si>
    <t>laud</t>
  </si>
  <si>
    <t>laudable</t>
  </si>
  <si>
    <t>laudably</t>
  </si>
  <si>
    <t>laughable</t>
  </si>
  <si>
    <t>laughably</t>
  </si>
  <si>
    <t>laughingstock</t>
  </si>
  <si>
    <t>lavish</t>
  </si>
  <si>
    <t>lavishly</t>
  </si>
  <si>
    <t>law-abiding</t>
  </si>
  <si>
    <t>lawbreaker</t>
  </si>
  <si>
    <t>lawbreaking</t>
  </si>
  <si>
    <t>lawful</t>
  </si>
  <si>
    <t>lawfully</t>
  </si>
  <si>
    <t>lawless</t>
  </si>
  <si>
    <t>lawlessness</t>
  </si>
  <si>
    <t>layoff</t>
  </si>
  <si>
    <t>layoff-happy</t>
  </si>
  <si>
    <t>lazy</t>
  </si>
  <si>
    <t>lead</t>
  </si>
  <si>
    <t>leading</t>
  </si>
  <si>
    <t>leads</t>
  </si>
  <si>
    <t>leak</t>
  </si>
  <si>
    <t>leakage</t>
  </si>
  <si>
    <t>leakages</t>
  </si>
  <si>
    <t>leaking</t>
  </si>
  <si>
    <t>leaks</t>
  </si>
  <si>
    <t>leaky</t>
  </si>
  <si>
    <t>lean</t>
  </si>
  <si>
    <t>lech</t>
  </si>
  <si>
    <t>lecher</t>
  </si>
  <si>
    <t>lecherous</t>
  </si>
  <si>
    <t>lechery</t>
  </si>
  <si>
    <t>led</t>
  </si>
  <si>
    <t>leech</t>
  </si>
  <si>
    <t>leer</t>
  </si>
  <si>
    <t>leery</t>
  </si>
  <si>
    <t>left-leaning</t>
  </si>
  <si>
    <t>legendary</t>
  </si>
  <si>
    <t>lemon</t>
  </si>
  <si>
    <t>lengthy</t>
  </si>
  <si>
    <t>less-developed</t>
  </si>
  <si>
    <t>lesser-known</t>
  </si>
  <si>
    <t>letch</t>
  </si>
  <si>
    <t>lethal</t>
  </si>
  <si>
    <t>lethargic</t>
  </si>
  <si>
    <t>lethargy</t>
  </si>
  <si>
    <t>leverage</t>
  </si>
  <si>
    <t>levity</t>
  </si>
  <si>
    <t>lewd</t>
  </si>
  <si>
    <t>lewdly</t>
  </si>
  <si>
    <t>lewdness</t>
  </si>
  <si>
    <t>liability</t>
  </si>
  <si>
    <t>liable</t>
  </si>
  <si>
    <t>liar</t>
  </si>
  <si>
    <t>liars</t>
  </si>
  <si>
    <t>liberate</t>
  </si>
  <si>
    <t>liberation</t>
  </si>
  <si>
    <t>liberty</t>
  </si>
  <si>
    <t>licentious</t>
  </si>
  <si>
    <t>licentiously</t>
  </si>
  <si>
    <t>licentiousness</t>
  </si>
  <si>
    <t>lie</t>
  </si>
  <si>
    <t>lied</t>
  </si>
  <si>
    <t>lier</t>
  </si>
  <si>
    <t>lies</t>
  </si>
  <si>
    <t>life-threatening</t>
  </si>
  <si>
    <t>lifeless</t>
  </si>
  <si>
    <t>lifesaver</t>
  </si>
  <si>
    <t>light-hearted</t>
  </si>
  <si>
    <t>lighter</t>
  </si>
  <si>
    <t>likable</t>
  </si>
  <si>
    <t>like</t>
  </si>
  <si>
    <t>liked</t>
  </si>
  <si>
    <t>likes</t>
  </si>
  <si>
    <t>liking</t>
  </si>
  <si>
    <t>limit</t>
  </si>
  <si>
    <t>limitation</t>
  </si>
  <si>
    <t>limitations</t>
  </si>
  <si>
    <t>limited</t>
  </si>
  <si>
    <t>limits</t>
  </si>
  <si>
    <t>limp</t>
  </si>
  <si>
    <t>lionhearted</t>
  </si>
  <si>
    <t>listless</t>
  </si>
  <si>
    <t>litigious</t>
  </si>
  <si>
    <t>little-known</t>
  </si>
  <si>
    <t>lively</t>
  </si>
  <si>
    <t>livid</t>
  </si>
  <si>
    <t>lividly</t>
  </si>
  <si>
    <t>loath</t>
  </si>
  <si>
    <t>loathe</t>
  </si>
  <si>
    <t>loathing</t>
  </si>
  <si>
    <t>loathly</t>
  </si>
  <si>
    <t>loathsome</t>
  </si>
  <si>
    <t>loathsomely</t>
  </si>
  <si>
    <t>logical</t>
  </si>
  <si>
    <t>lone</t>
  </si>
  <si>
    <t>loneliness</t>
  </si>
  <si>
    <t>lonely</t>
  </si>
  <si>
    <t>loner</t>
  </si>
  <si>
    <t>lonesome</t>
  </si>
  <si>
    <t>long-lasting</t>
  </si>
  <si>
    <t>long-time</t>
  </si>
  <si>
    <t>long-winded</t>
  </si>
  <si>
    <t>longing</t>
  </si>
  <si>
    <t>longingly</t>
  </si>
  <si>
    <t>loophole</t>
  </si>
  <si>
    <t>loopholes</t>
  </si>
  <si>
    <t>loose</t>
  </si>
  <si>
    <t>loot</t>
  </si>
  <si>
    <t>lorn</t>
  </si>
  <si>
    <t>lose</t>
  </si>
  <si>
    <t>loser</t>
  </si>
  <si>
    <t>losers</t>
  </si>
  <si>
    <t>loses</t>
  </si>
  <si>
    <t>losing</t>
  </si>
  <si>
    <t>loss</t>
  </si>
  <si>
    <t>losses</t>
  </si>
  <si>
    <t>lost</t>
  </si>
  <si>
    <t>loud</t>
  </si>
  <si>
    <t>louder</t>
  </si>
  <si>
    <t>lousy</t>
  </si>
  <si>
    <t>lovable</t>
  </si>
  <si>
    <t>lovably</t>
  </si>
  <si>
    <t>love</t>
  </si>
  <si>
    <t>loved</t>
  </si>
  <si>
    <t>loveless</t>
  </si>
  <si>
    <t>loveliness</t>
  </si>
  <si>
    <t>lovelorn</t>
  </si>
  <si>
    <t>lovely</t>
  </si>
  <si>
    <t>lover</t>
  </si>
  <si>
    <t>loves</t>
  </si>
  <si>
    <t>loving</t>
  </si>
  <si>
    <t>low-cost</t>
  </si>
  <si>
    <t>low-price</t>
  </si>
  <si>
    <t>low-priced</t>
  </si>
  <si>
    <t>low-rated</t>
  </si>
  <si>
    <t>low-risk</t>
  </si>
  <si>
    <t>lower-priced</t>
  </si>
  <si>
    <t>lowly</t>
  </si>
  <si>
    <t>loyal</t>
  </si>
  <si>
    <t>loyalty</t>
  </si>
  <si>
    <t>lucid</t>
  </si>
  <si>
    <t>lucidly</t>
  </si>
  <si>
    <t>luck</t>
  </si>
  <si>
    <t>luckier</t>
  </si>
  <si>
    <t>luckiest</t>
  </si>
  <si>
    <t>luckiness</t>
  </si>
  <si>
    <t>lucky</t>
  </si>
  <si>
    <t>lucrative</t>
  </si>
  <si>
    <t>ludicrous</t>
  </si>
  <si>
    <t>ludicrously</t>
  </si>
  <si>
    <t>lugubrious</t>
  </si>
  <si>
    <t>lukewarm</t>
  </si>
  <si>
    <t>lull</t>
  </si>
  <si>
    <t>luminous</t>
  </si>
  <si>
    <t>lumpy</t>
  </si>
  <si>
    <t>lunatic</t>
  </si>
  <si>
    <t>lunaticism</t>
  </si>
  <si>
    <t>lurch</t>
  </si>
  <si>
    <t>lure</t>
  </si>
  <si>
    <t>lurid</t>
  </si>
  <si>
    <t>lurk</t>
  </si>
  <si>
    <t>lurking</t>
  </si>
  <si>
    <t>lush</t>
  </si>
  <si>
    <t>luster</t>
  </si>
  <si>
    <t>lustrous</t>
  </si>
  <si>
    <t>luxuriant</t>
  </si>
  <si>
    <t>luxuriate</t>
  </si>
  <si>
    <t>luxurious</t>
  </si>
  <si>
    <t>luxuriously</t>
  </si>
  <si>
    <t>luxury</t>
  </si>
  <si>
    <t>lying</t>
  </si>
  <si>
    <t>lyrical</t>
  </si>
  <si>
    <t>macabre</t>
  </si>
  <si>
    <t>mad</t>
  </si>
  <si>
    <t>madden</t>
  </si>
  <si>
    <t>maddening</t>
  </si>
  <si>
    <t>maddeningly</t>
  </si>
  <si>
    <t>madder</t>
  </si>
  <si>
    <t>madly</t>
  </si>
  <si>
    <t>madman</t>
  </si>
  <si>
    <t>madness</t>
  </si>
  <si>
    <t>magic</t>
  </si>
  <si>
    <t>magical</t>
  </si>
  <si>
    <t>magnanimous</t>
  </si>
  <si>
    <t>magnanimously</t>
  </si>
  <si>
    <t>magnificence</t>
  </si>
  <si>
    <t>magnificent</t>
  </si>
  <si>
    <t>magnificently</t>
  </si>
  <si>
    <t>majestic</t>
  </si>
  <si>
    <t>majesty</t>
  </si>
  <si>
    <t>maladjusted</t>
  </si>
  <si>
    <t>maladjustment</t>
  </si>
  <si>
    <t>malady</t>
  </si>
  <si>
    <t>malaise</t>
  </si>
  <si>
    <t>malcontent</t>
  </si>
  <si>
    <t>malcontented</t>
  </si>
  <si>
    <t>maledict</t>
  </si>
  <si>
    <t>malevolence</t>
  </si>
  <si>
    <t>malevolent</t>
  </si>
  <si>
    <t>malevolently</t>
  </si>
  <si>
    <t>malice</t>
  </si>
  <si>
    <t>malicious</t>
  </si>
  <si>
    <t>maliciously</t>
  </si>
  <si>
    <t>maliciousness</t>
  </si>
  <si>
    <t>malign</t>
  </si>
  <si>
    <t>malignant</t>
  </si>
  <si>
    <t>malodorous</t>
  </si>
  <si>
    <t>maltreatment</t>
  </si>
  <si>
    <t>manageable</t>
  </si>
  <si>
    <t>maneuverable</t>
  </si>
  <si>
    <t>mangle</t>
  </si>
  <si>
    <t>mangled</t>
  </si>
  <si>
    <t>mangles</t>
  </si>
  <si>
    <t>mangling</t>
  </si>
  <si>
    <t>mania</t>
  </si>
  <si>
    <t>maniac</t>
  </si>
  <si>
    <t>maniacal</t>
  </si>
  <si>
    <t>manic</t>
  </si>
  <si>
    <t>manipulate</t>
  </si>
  <si>
    <t>manipulation</t>
  </si>
  <si>
    <t>manipulative</t>
  </si>
  <si>
    <t>manipulators</t>
  </si>
  <si>
    <t>mar</t>
  </si>
  <si>
    <t>marginal</t>
  </si>
  <si>
    <t>marginally</t>
  </si>
  <si>
    <t>martyrdom</t>
  </si>
  <si>
    <t>martyrdom-seeking</t>
  </si>
  <si>
    <t>marvel</t>
  </si>
  <si>
    <t>marveled</t>
  </si>
  <si>
    <t>marvelled</t>
  </si>
  <si>
    <t>marvellous</t>
  </si>
  <si>
    <t>marvelous</t>
  </si>
  <si>
    <t>marvelously</t>
  </si>
  <si>
    <t>marvelousness</t>
  </si>
  <si>
    <t>marvels</t>
  </si>
  <si>
    <t>mashed</t>
  </si>
  <si>
    <t>massacre</t>
  </si>
  <si>
    <t>massacres</t>
  </si>
  <si>
    <t>master</t>
  </si>
  <si>
    <t>masterful</t>
  </si>
  <si>
    <t>masterfully</t>
  </si>
  <si>
    <t>masterpiece</t>
  </si>
  <si>
    <t>masterpieces</t>
  </si>
  <si>
    <t>masters</t>
  </si>
  <si>
    <t>mastery</t>
  </si>
  <si>
    <t>matchless</t>
  </si>
  <si>
    <t>matte</t>
  </si>
  <si>
    <t>mature</t>
  </si>
  <si>
    <t>maturely</t>
  </si>
  <si>
    <t>maturity</t>
  </si>
  <si>
    <t>mawkish</t>
  </si>
  <si>
    <t>mawkishly</t>
  </si>
  <si>
    <t>mawkishness</t>
  </si>
  <si>
    <t>meager</t>
  </si>
  <si>
    <t>meaningful</t>
  </si>
  <si>
    <t>meaningless</t>
  </si>
  <si>
    <t>meanness</t>
  </si>
  <si>
    <t>measly</t>
  </si>
  <si>
    <t>meddle</t>
  </si>
  <si>
    <t>meddlesome</t>
  </si>
  <si>
    <t>mediocre</t>
  </si>
  <si>
    <t>mediocrity</t>
  </si>
  <si>
    <t>melancholy</t>
  </si>
  <si>
    <t>melodramatic</t>
  </si>
  <si>
    <t>melodramatically</t>
  </si>
  <si>
    <t>meltdown</t>
  </si>
  <si>
    <t>memorable</t>
  </si>
  <si>
    <t>menace</t>
  </si>
  <si>
    <t>menacing</t>
  </si>
  <si>
    <t>menacingly</t>
  </si>
  <si>
    <t>mendacious</t>
  </si>
  <si>
    <t>mendacity</t>
  </si>
  <si>
    <t>menial</t>
  </si>
  <si>
    <t>merciful</t>
  </si>
  <si>
    <t>mercifully</t>
  </si>
  <si>
    <t>merciless</t>
  </si>
  <si>
    <t>mercilessly</t>
  </si>
  <si>
    <t>mercy</t>
  </si>
  <si>
    <t>merit</t>
  </si>
  <si>
    <t>meritorious</t>
  </si>
  <si>
    <t>merrily</t>
  </si>
  <si>
    <t>merriment</t>
  </si>
  <si>
    <t>merriness</t>
  </si>
  <si>
    <t>merry</t>
  </si>
  <si>
    <t>mesmerize</t>
  </si>
  <si>
    <t>mesmerized</t>
  </si>
  <si>
    <t>mesmerizes</t>
  </si>
  <si>
    <t>mesmerizing</t>
  </si>
  <si>
    <t>mesmerizingly</t>
  </si>
  <si>
    <t>mess</t>
  </si>
  <si>
    <t>messed</t>
  </si>
  <si>
    <t>messes</t>
  </si>
  <si>
    <t>messing</t>
  </si>
  <si>
    <t>messy</t>
  </si>
  <si>
    <t>meticulous</t>
  </si>
  <si>
    <t>meticulously</t>
  </si>
  <si>
    <t>midget</t>
  </si>
  <si>
    <t>miff</t>
  </si>
  <si>
    <t>mightily</t>
  </si>
  <si>
    <t>mighty</t>
  </si>
  <si>
    <t>militancy</t>
  </si>
  <si>
    <t>mind-blowing</t>
  </si>
  <si>
    <t>mindless</t>
  </si>
  <si>
    <t>mindlessly</t>
  </si>
  <si>
    <t>miracle</t>
  </si>
  <si>
    <t>miracles</t>
  </si>
  <si>
    <t>miraculous</t>
  </si>
  <si>
    <t>miraculously</t>
  </si>
  <si>
    <t>miraculousness</t>
  </si>
  <si>
    <t>mirage</t>
  </si>
  <si>
    <t>mire</t>
  </si>
  <si>
    <t>misalign</t>
  </si>
  <si>
    <t>misaligned</t>
  </si>
  <si>
    <t>misaligns</t>
  </si>
  <si>
    <t>misapprehend</t>
  </si>
  <si>
    <t>misbecome</t>
  </si>
  <si>
    <t>misbecoming</t>
  </si>
  <si>
    <t>misbegotten</t>
  </si>
  <si>
    <t>misbehave</t>
  </si>
  <si>
    <t>misbehavior</t>
  </si>
  <si>
    <t>miscalculate</t>
  </si>
  <si>
    <t>miscalculation</t>
  </si>
  <si>
    <t>miscellaneous</t>
  </si>
  <si>
    <t>mischief</t>
  </si>
  <si>
    <t>mischievous</t>
  </si>
  <si>
    <t>mischievously</t>
  </si>
  <si>
    <t>misconception</t>
  </si>
  <si>
    <t>misconceptions</t>
  </si>
  <si>
    <t>miscreant</t>
  </si>
  <si>
    <t>miscreants</t>
  </si>
  <si>
    <t>misdirection</t>
  </si>
  <si>
    <t>miser</t>
  </si>
  <si>
    <t>miserable</t>
  </si>
  <si>
    <t>miserableness</t>
  </si>
  <si>
    <t>miserably</t>
  </si>
  <si>
    <t>miseries</t>
  </si>
  <si>
    <t>miserly</t>
  </si>
  <si>
    <t>misery</t>
  </si>
  <si>
    <t>misfit</t>
  </si>
  <si>
    <t>misfortune</t>
  </si>
  <si>
    <t>misgiving</t>
  </si>
  <si>
    <t>misgivings</t>
  </si>
  <si>
    <t>misguidance</t>
  </si>
  <si>
    <t>misguide</t>
  </si>
  <si>
    <t>misguided</t>
  </si>
  <si>
    <t>mishandle</t>
  </si>
  <si>
    <t>mishap</t>
  </si>
  <si>
    <t>misinform</t>
  </si>
  <si>
    <t>misinformed</t>
  </si>
  <si>
    <t>misinterpret</t>
  </si>
  <si>
    <t>misjudge</t>
  </si>
  <si>
    <t>misjudgment</t>
  </si>
  <si>
    <t>mislead</t>
  </si>
  <si>
    <t>misleading</t>
  </si>
  <si>
    <t>misleadingly</t>
  </si>
  <si>
    <t>mislike</t>
  </si>
  <si>
    <t>mismanage</t>
  </si>
  <si>
    <t>mispronounce</t>
  </si>
  <si>
    <t>mispronounced</t>
  </si>
  <si>
    <t>mispronounces</t>
  </si>
  <si>
    <t>misread</t>
  </si>
  <si>
    <t>misreading</t>
  </si>
  <si>
    <t>misrepresent</t>
  </si>
  <si>
    <t>misrepresentation</t>
  </si>
  <si>
    <t>miss</t>
  </si>
  <si>
    <t>missed</t>
  </si>
  <si>
    <t>misses</t>
  </si>
  <si>
    <t>misstatement</t>
  </si>
  <si>
    <t>mist</t>
  </si>
  <si>
    <t>mistake</t>
  </si>
  <si>
    <t>mistaken</t>
  </si>
  <si>
    <t>mistakenly</t>
  </si>
  <si>
    <t>mistakes</t>
  </si>
  <si>
    <t>mistified</t>
  </si>
  <si>
    <t>mistress</t>
  </si>
  <si>
    <t>mistrust</t>
  </si>
  <si>
    <t>mistrustful</t>
  </si>
  <si>
    <t>mistrustfully</t>
  </si>
  <si>
    <t>mists</t>
  </si>
  <si>
    <t>misunderstand</t>
  </si>
  <si>
    <t>misunderstanding</t>
  </si>
  <si>
    <t>misunderstandings</t>
  </si>
  <si>
    <t>misunderstood</t>
  </si>
  <si>
    <t>misuse</t>
  </si>
  <si>
    <t>moan</t>
  </si>
  <si>
    <t>mobster</t>
  </si>
  <si>
    <t>mock</t>
  </si>
  <si>
    <t>mocked</t>
  </si>
  <si>
    <t>mockeries</t>
  </si>
  <si>
    <t>mockery</t>
  </si>
  <si>
    <t>mocking</t>
  </si>
  <si>
    <t>mockingly</t>
  </si>
  <si>
    <t>mocks</t>
  </si>
  <si>
    <t>modern</t>
  </si>
  <si>
    <t>modest</t>
  </si>
  <si>
    <t>modesty</t>
  </si>
  <si>
    <t>molest</t>
  </si>
  <si>
    <t>molestation</t>
  </si>
  <si>
    <t>momentous</t>
  </si>
  <si>
    <t>monotonous</t>
  </si>
  <si>
    <t>monotony</t>
  </si>
  <si>
    <t>monster</t>
  </si>
  <si>
    <t>monstrosities</t>
  </si>
  <si>
    <t>monstrosity</t>
  </si>
  <si>
    <t>monstrous</t>
  </si>
  <si>
    <t>monstrously</t>
  </si>
  <si>
    <t>monumental</t>
  </si>
  <si>
    <t>monumentally</t>
  </si>
  <si>
    <t>moody</t>
  </si>
  <si>
    <t>moot</t>
  </si>
  <si>
    <t>mope</t>
  </si>
  <si>
    <t>morality</t>
  </si>
  <si>
    <t>morbid</t>
  </si>
  <si>
    <t>morbidly</t>
  </si>
  <si>
    <t>mordant</t>
  </si>
  <si>
    <t>mordantly</t>
  </si>
  <si>
    <t>moribund</t>
  </si>
  <si>
    <t>moron</t>
  </si>
  <si>
    <t>moronic</t>
  </si>
  <si>
    <t>morons</t>
  </si>
  <si>
    <t>mortification</t>
  </si>
  <si>
    <t>mortified</t>
  </si>
  <si>
    <t>mortify</t>
  </si>
  <si>
    <t>mortifying</t>
  </si>
  <si>
    <t>motionless</t>
  </si>
  <si>
    <t>motivated</t>
  </si>
  <si>
    <t>motley</t>
  </si>
  <si>
    <t>mourn</t>
  </si>
  <si>
    <t>mourner</t>
  </si>
  <si>
    <t>mournful</t>
  </si>
  <si>
    <t>mournfully</t>
  </si>
  <si>
    <t>muddle</t>
  </si>
  <si>
    <t>muddy</t>
  </si>
  <si>
    <t>mudslinger</t>
  </si>
  <si>
    <t>mudslinging</t>
  </si>
  <si>
    <t>mulish</t>
  </si>
  <si>
    <t>multi-polarization</t>
  </si>
  <si>
    <t>multi-purpose</t>
  </si>
  <si>
    <t>mundane</t>
  </si>
  <si>
    <t>murder</t>
  </si>
  <si>
    <t>murderer</t>
  </si>
  <si>
    <t>murderous</t>
  </si>
  <si>
    <t>murderously</t>
  </si>
  <si>
    <t>murky</t>
  </si>
  <si>
    <t>muscle-flexing</t>
  </si>
  <si>
    <t>mushy</t>
  </si>
  <si>
    <t>musty</t>
  </si>
  <si>
    <t>mysterious</t>
  </si>
  <si>
    <t>mysteriously</t>
  </si>
  <si>
    <t>mystery</t>
  </si>
  <si>
    <t>mystify</t>
  </si>
  <si>
    <t>myth</t>
  </si>
  <si>
    <t>nag</t>
  </si>
  <si>
    <t>nagging</t>
  </si>
  <si>
    <t>naive</t>
  </si>
  <si>
    <t>naively</t>
  </si>
  <si>
    <t>narrower</t>
  </si>
  <si>
    <t>nastily</t>
  </si>
  <si>
    <t>nastiness</t>
  </si>
  <si>
    <t>nasty</t>
  </si>
  <si>
    <t>naughty</t>
  </si>
  <si>
    <t>nauseate</t>
  </si>
  <si>
    <t>nauseates</t>
  </si>
  <si>
    <t>nauseating</t>
  </si>
  <si>
    <t>nauseatingly</t>
  </si>
  <si>
    <t>navigable</t>
  </si>
  <si>
    <t>neat</t>
  </si>
  <si>
    <t>neatest</t>
  </si>
  <si>
    <t>neatly</t>
  </si>
  <si>
    <t>nebulous</t>
  </si>
  <si>
    <t>nebulously</t>
  </si>
  <si>
    <t>needless</t>
  </si>
  <si>
    <t>needlessly</t>
  </si>
  <si>
    <t>needy</t>
  </si>
  <si>
    <t>nefarious</t>
  </si>
  <si>
    <t>nefariously</t>
  </si>
  <si>
    <t>negate</t>
  </si>
  <si>
    <t>negation</t>
  </si>
  <si>
    <t>negatives</t>
  </si>
  <si>
    <t>negativity</t>
  </si>
  <si>
    <t>neglect</t>
  </si>
  <si>
    <t>neglected</t>
  </si>
  <si>
    <t>negligence</t>
  </si>
  <si>
    <t>negligent</t>
  </si>
  <si>
    <t>nemesis</t>
  </si>
  <si>
    <t>nepotism</t>
  </si>
  <si>
    <t>nervous</t>
  </si>
  <si>
    <t>nervously</t>
  </si>
  <si>
    <t>nervousness</t>
  </si>
  <si>
    <t>nettle</t>
  </si>
  <si>
    <t>nettlesome</t>
  </si>
  <si>
    <t>neurotic</t>
  </si>
  <si>
    <t>neurotically</t>
  </si>
  <si>
    <t>nice</t>
  </si>
  <si>
    <t>nicely</t>
  </si>
  <si>
    <t>nicer</t>
  </si>
  <si>
    <t>nicest</t>
  </si>
  <si>
    <t>nifty</t>
  </si>
  <si>
    <t>niggle</t>
  </si>
  <si>
    <t>niggles</t>
  </si>
  <si>
    <t>nightmare</t>
  </si>
  <si>
    <t>nightmarish</t>
  </si>
  <si>
    <t>nightmarishly</t>
  </si>
  <si>
    <t>nimble</t>
  </si>
  <si>
    <t>nitpick</t>
  </si>
  <si>
    <t>nitpicking</t>
  </si>
  <si>
    <t>noble</t>
  </si>
  <si>
    <t>nobly</t>
  </si>
  <si>
    <t>noise</t>
  </si>
  <si>
    <t>noiseless</t>
  </si>
  <si>
    <t>noises</t>
  </si>
  <si>
    <t>noisier</t>
  </si>
  <si>
    <t>noisy</t>
  </si>
  <si>
    <t>non-confidence</t>
  </si>
  <si>
    <t>non-violence</t>
  </si>
  <si>
    <t>non-violent</t>
  </si>
  <si>
    <t>nonexistent</t>
  </si>
  <si>
    <t>nonresponsive</t>
  </si>
  <si>
    <t>nonsense</t>
  </si>
  <si>
    <t>nosey</t>
  </si>
  <si>
    <t>notably</t>
  </si>
  <si>
    <t>noteworthy</t>
  </si>
  <si>
    <t>notoriety</t>
  </si>
  <si>
    <t>notorious</t>
  </si>
  <si>
    <t>notoriously</t>
  </si>
  <si>
    <t>nourish</t>
  </si>
  <si>
    <t>nourishing</t>
  </si>
  <si>
    <t>nourishment</t>
  </si>
  <si>
    <t>novelty</t>
  </si>
  <si>
    <t>noxious</t>
  </si>
  <si>
    <t>nuisance</t>
  </si>
  <si>
    <t>numb</t>
  </si>
  <si>
    <t>nurturing</t>
  </si>
  <si>
    <t>oasis</t>
  </si>
  <si>
    <t>obese</t>
  </si>
  <si>
    <t>object</t>
  </si>
  <si>
    <t>objection</t>
  </si>
  <si>
    <t>objectionable</t>
  </si>
  <si>
    <t>objections</t>
  </si>
  <si>
    <t>oblique</t>
  </si>
  <si>
    <t>obliterate</t>
  </si>
  <si>
    <t>obliterated</t>
  </si>
  <si>
    <t>oblivious</t>
  </si>
  <si>
    <t>obnoxious</t>
  </si>
  <si>
    <t>obnoxiously</t>
  </si>
  <si>
    <t>obscene</t>
  </si>
  <si>
    <t>obscenely</t>
  </si>
  <si>
    <t>obscenity</t>
  </si>
  <si>
    <t>obscure</t>
  </si>
  <si>
    <t>obscured</t>
  </si>
  <si>
    <t>obscures</t>
  </si>
  <si>
    <t>obscurity</t>
  </si>
  <si>
    <t>obsess</t>
  </si>
  <si>
    <t>obsession</t>
  </si>
  <si>
    <t>obsessions</t>
  </si>
  <si>
    <t>obsessive</t>
  </si>
  <si>
    <t>obsessively</t>
  </si>
  <si>
    <t>obsessiveness</t>
  </si>
  <si>
    <t>obsolete</t>
  </si>
  <si>
    <t>obstacle</t>
  </si>
  <si>
    <t>obstinate</t>
  </si>
  <si>
    <t>obstinately</t>
  </si>
  <si>
    <t>obstruct</t>
  </si>
  <si>
    <t>obstructed</t>
  </si>
  <si>
    <t>obstructing</t>
  </si>
  <si>
    <t>obstruction</t>
  </si>
  <si>
    <t>obstructs</t>
  </si>
  <si>
    <t>obtainable</t>
  </si>
  <si>
    <t>obtrusive</t>
  </si>
  <si>
    <t>obtuse</t>
  </si>
  <si>
    <t>occlude</t>
  </si>
  <si>
    <t>occluded</t>
  </si>
  <si>
    <t>occludes</t>
  </si>
  <si>
    <t>occluding</t>
  </si>
  <si>
    <t>odd</t>
  </si>
  <si>
    <t>odder</t>
  </si>
  <si>
    <t>oddest</t>
  </si>
  <si>
    <t>oddities</t>
  </si>
  <si>
    <t>oddity</t>
  </si>
  <si>
    <t>oddly</t>
  </si>
  <si>
    <t>odor</t>
  </si>
  <si>
    <t>offence</t>
  </si>
  <si>
    <t>offend</t>
  </si>
  <si>
    <t>offender</t>
  </si>
  <si>
    <t>offending</t>
  </si>
  <si>
    <t>offenses</t>
  </si>
  <si>
    <t>offensive</t>
  </si>
  <si>
    <t>offensively</t>
  </si>
  <si>
    <t>offensiveness</t>
  </si>
  <si>
    <t>officious</t>
  </si>
  <si>
    <t>ominous</t>
  </si>
  <si>
    <t>ominously</t>
  </si>
  <si>
    <t>omission</t>
  </si>
  <si>
    <t>omit</t>
  </si>
  <si>
    <t>one-sided</t>
  </si>
  <si>
    <t>onerous</t>
  </si>
  <si>
    <t>onerously</t>
  </si>
  <si>
    <t>onslaught</t>
  </si>
  <si>
    <t>openly</t>
  </si>
  <si>
    <t>openness</t>
  </si>
  <si>
    <t>opinionated</t>
  </si>
  <si>
    <t>opponent</t>
  </si>
  <si>
    <t>opportunistic</t>
  </si>
  <si>
    <t>oppose</t>
  </si>
  <si>
    <t>opposition</t>
  </si>
  <si>
    <t>oppositions</t>
  </si>
  <si>
    <t>oppress</t>
  </si>
  <si>
    <t>oppression</t>
  </si>
  <si>
    <t>oppressive</t>
  </si>
  <si>
    <t>oppressively</t>
  </si>
  <si>
    <t>oppressiveness</t>
  </si>
  <si>
    <t>oppressors</t>
  </si>
  <si>
    <t>optimal</t>
  </si>
  <si>
    <t>optimism</t>
  </si>
  <si>
    <t>optimistic</t>
  </si>
  <si>
    <t>opulent</t>
  </si>
  <si>
    <t>ordeal</t>
  </si>
  <si>
    <t>orderly</t>
  </si>
  <si>
    <t>originality</t>
  </si>
  <si>
    <t>orphan</t>
  </si>
  <si>
    <t>ostracize</t>
  </si>
  <si>
    <t>outbreak</t>
  </si>
  <si>
    <t>outburst</t>
  </si>
  <si>
    <t>outbursts</t>
  </si>
  <si>
    <t>outcast</t>
  </si>
  <si>
    <t>outcry</t>
  </si>
  <si>
    <t>outdo</t>
  </si>
  <si>
    <t>outdone</t>
  </si>
  <si>
    <t>outlaw</t>
  </si>
  <si>
    <t>outmoded</t>
  </si>
  <si>
    <t>outperform</t>
  </si>
  <si>
    <t>outperformed</t>
  </si>
  <si>
    <t>outperforming</t>
  </si>
  <si>
    <t>outperforms</t>
  </si>
  <si>
    <t>outrage</t>
  </si>
  <si>
    <t>outraged</t>
  </si>
  <si>
    <t>outrageous</t>
  </si>
  <si>
    <t>outrageously</t>
  </si>
  <si>
    <t>outrageousness</t>
  </si>
  <si>
    <t>outrages</t>
  </si>
  <si>
    <t>outshine</t>
  </si>
  <si>
    <t>outshone</t>
  </si>
  <si>
    <t>outsider</t>
  </si>
  <si>
    <t>outsmart</t>
  </si>
  <si>
    <t>outstanding</t>
  </si>
  <si>
    <t>outstandingly</t>
  </si>
  <si>
    <t>outstrip</t>
  </si>
  <si>
    <t>outwit</t>
  </si>
  <si>
    <t>ovation</t>
  </si>
  <si>
    <t>over-acted</t>
  </si>
  <si>
    <t>over-awe</t>
  </si>
  <si>
    <t>over-balanced</t>
  </si>
  <si>
    <t>over-hyped</t>
  </si>
  <si>
    <t>over-priced</t>
  </si>
  <si>
    <t>over-valuation</t>
  </si>
  <si>
    <t>overact</t>
  </si>
  <si>
    <t>overacted</t>
  </si>
  <si>
    <t>overawe</t>
  </si>
  <si>
    <t>overbalance</t>
  </si>
  <si>
    <t>overbalanced</t>
  </si>
  <si>
    <t>overbearing</t>
  </si>
  <si>
    <t>overbearingly</t>
  </si>
  <si>
    <t>overblown</t>
  </si>
  <si>
    <t>overdo</t>
  </si>
  <si>
    <t>overdone</t>
  </si>
  <si>
    <t>overdue</t>
  </si>
  <si>
    <t>overemphasize</t>
  </si>
  <si>
    <t>overheat</t>
  </si>
  <si>
    <t>overjoyed</t>
  </si>
  <si>
    <t>overkill</t>
  </si>
  <si>
    <t>overloaded</t>
  </si>
  <si>
    <t>overlook</t>
  </si>
  <si>
    <t>overpaid</t>
  </si>
  <si>
    <t>overpayed</t>
  </si>
  <si>
    <t>overplay</t>
  </si>
  <si>
    <t>overpower</t>
  </si>
  <si>
    <t>overpriced</t>
  </si>
  <si>
    <t>overrated</t>
  </si>
  <si>
    <t>overreach</t>
  </si>
  <si>
    <t>overrun</t>
  </si>
  <si>
    <t>overshadow</t>
  </si>
  <si>
    <t>oversight</t>
  </si>
  <si>
    <t>oversights</t>
  </si>
  <si>
    <t>oversimplification</t>
  </si>
  <si>
    <t>oversimplified</t>
  </si>
  <si>
    <t>oversimplify</t>
  </si>
  <si>
    <t>oversize</t>
  </si>
  <si>
    <t>overstate</t>
  </si>
  <si>
    <t>overstated</t>
  </si>
  <si>
    <t>overstatement</t>
  </si>
  <si>
    <t>overstatements</t>
  </si>
  <si>
    <t>overstates</t>
  </si>
  <si>
    <t>overtake</t>
  </si>
  <si>
    <t>overtaken</t>
  </si>
  <si>
    <t>overtakes</t>
  </si>
  <si>
    <t>overtaking</t>
  </si>
  <si>
    <t>overtaxed</t>
  </si>
  <si>
    <t>overthrow</t>
  </si>
  <si>
    <t>overthrows</t>
  </si>
  <si>
    <t>overtook</t>
  </si>
  <si>
    <t>overture</t>
  </si>
  <si>
    <t>overturn</t>
  </si>
  <si>
    <t>overweight</t>
  </si>
  <si>
    <t>overwhelm</t>
  </si>
  <si>
    <t>overwhelmed</t>
  </si>
  <si>
    <t>overwhelming</t>
  </si>
  <si>
    <t>overwhelmingly</t>
  </si>
  <si>
    <t>overwhelms</t>
  </si>
  <si>
    <t>overzealous</t>
  </si>
  <si>
    <t>overzealously</t>
  </si>
  <si>
    <t>overzelous</t>
  </si>
  <si>
    <t>pain</t>
  </si>
  <si>
    <t>pain-free</t>
  </si>
  <si>
    <t>painful</t>
  </si>
  <si>
    <t>painfull</t>
  </si>
  <si>
    <t>painfully</t>
  </si>
  <si>
    <t>painless</t>
  </si>
  <si>
    <t>painlessly</t>
  </si>
  <si>
    <t>pains</t>
  </si>
  <si>
    <t>palatial</t>
  </si>
  <si>
    <t>pale</t>
  </si>
  <si>
    <t>pales</t>
  </si>
  <si>
    <t>paltry</t>
  </si>
  <si>
    <t>pamper</t>
  </si>
  <si>
    <t>pampered</t>
  </si>
  <si>
    <t>pamperedly</t>
  </si>
  <si>
    <t>pamperedness</t>
  </si>
  <si>
    <t>pampers</t>
  </si>
  <si>
    <t>pan</t>
  </si>
  <si>
    <t>pandemonium</t>
  </si>
  <si>
    <t>pander</t>
  </si>
  <si>
    <t>pandering</t>
  </si>
  <si>
    <t>panders</t>
  </si>
  <si>
    <t>panic</t>
  </si>
  <si>
    <t>panick</t>
  </si>
  <si>
    <t>panicked</t>
  </si>
  <si>
    <t>panicking</t>
  </si>
  <si>
    <t>panicky</t>
  </si>
  <si>
    <t>panoramic</t>
  </si>
  <si>
    <t>paradise</t>
  </si>
  <si>
    <t>paradoxical</t>
  </si>
  <si>
    <t>paradoxically</t>
  </si>
  <si>
    <t>paralize</t>
  </si>
  <si>
    <t>paralyzed</t>
  </si>
  <si>
    <t>paramount</t>
  </si>
  <si>
    <t>paranoia</t>
  </si>
  <si>
    <t>paranoid</t>
  </si>
  <si>
    <t>parasite</t>
  </si>
  <si>
    <t>pardon</t>
  </si>
  <si>
    <t>pariah</t>
  </si>
  <si>
    <t>parody</t>
  </si>
  <si>
    <t>partiality</t>
  </si>
  <si>
    <t>partisan</t>
  </si>
  <si>
    <t>partisans</t>
  </si>
  <si>
    <t>passe</t>
  </si>
  <si>
    <t>passion</t>
  </si>
  <si>
    <t>passionate</t>
  </si>
  <si>
    <t>passionately</t>
  </si>
  <si>
    <t>passive</t>
  </si>
  <si>
    <t>passiveness</t>
  </si>
  <si>
    <t>pathetic</t>
  </si>
  <si>
    <t>pathetically</t>
  </si>
  <si>
    <t>patience</t>
  </si>
  <si>
    <t>patient</t>
  </si>
  <si>
    <t>patiently</t>
  </si>
  <si>
    <t>patriot</t>
  </si>
  <si>
    <t>patriotic</t>
  </si>
  <si>
    <t>patronize</t>
  </si>
  <si>
    <t>paucity</t>
  </si>
  <si>
    <t>pauper</t>
  </si>
  <si>
    <t>paupers</t>
  </si>
  <si>
    <t>payback</t>
  </si>
  <si>
    <t>peace</t>
  </si>
  <si>
    <t>peaceable</t>
  </si>
  <si>
    <t>peaceful</t>
  </si>
  <si>
    <t>peacefully</t>
  </si>
  <si>
    <t>peacekeepers</t>
  </si>
  <si>
    <t>peach</t>
  </si>
  <si>
    <t>peculiar</t>
  </si>
  <si>
    <t>peculiarly</t>
  </si>
  <si>
    <t>pedantic</t>
  </si>
  <si>
    <t>peeled</t>
  </si>
  <si>
    <t>peerless</t>
  </si>
  <si>
    <t>peeve</t>
  </si>
  <si>
    <t>peeved</t>
  </si>
  <si>
    <t>peevish</t>
  </si>
  <si>
    <t>peevishly</t>
  </si>
  <si>
    <t>penalize</t>
  </si>
  <si>
    <t>penalty</t>
  </si>
  <si>
    <t>pep</t>
  </si>
  <si>
    <t>pepped</t>
  </si>
  <si>
    <t>pepping</t>
  </si>
  <si>
    <t>peppy</t>
  </si>
  <si>
    <t>peps</t>
  </si>
  <si>
    <t>perfect</t>
  </si>
  <si>
    <t>perfection</t>
  </si>
  <si>
    <t>perfectly</t>
  </si>
  <si>
    <t>perfidious</t>
  </si>
  <si>
    <t>perfidity</t>
  </si>
  <si>
    <t>perfunctory</t>
  </si>
  <si>
    <t>peril</t>
  </si>
  <si>
    <t>perilous</t>
  </si>
  <si>
    <t>perilously</t>
  </si>
  <si>
    <t>perish</t>
  </si>
  <si>
    <t>permissible</t>
  </si>
  <si>
    <t>pernicious</t>
  </si>
  <si>
    <t>perplex</t>
  </si>
  <si>
    <t>perplexed</t>
  </si>
  <si>
    <t>perplexing</t>
  </si>
  <si>
    <t>perplexity</t>
  </si>
  <si>
    <t>persecute</t>
  </si>
  <si>
    <t>persecution</t>
  </si>
  <si>
    <t>perseverance</t>
  </si>
  <si>
    <t>persevere</t>
  </si>
  <si>
    <t>personages</t>
  </si>
  <si>
    <t>personalized</t>
  </si>
  <si>
    <t>pertinacious</t>
  </si>
  <si>
    <t>pertinaciously</t>
  </si>
  <si>
    <t>pertinacity</t>
  </si>
  <si>
    <t>perturb</t>
  </si>
  <si>
    <t>perturbed</t>
  </si>
  <si>
    <t>pervasive</t>
  </si>
  <si>
    <t>perverse</t>
  </si>
  <si>
    <t>perversely</t>
  </si>
  <si>
    <t>perversion</t>
  </si>
  <si>
    <t>perversity</t>
  </si>
  <si>
    <t>pervert</t>
  </si>
  <si>
    <t>perverted</t>
  </si>
  <si>
    <t>perverts</t>
  </si>
  <si>
    <t>pessimism</t>
  </si>
  <si>
    <t>pessimistic</t>
  </si>
  <si>
    <t>pessimistically</t>
  </si>
  <si>
    <t>pest</t>
  </si>
  <si>
    <t>pestilent</t>
  </si>
  <si>
    <t>petrified</t>
  </si>
  <si>
    <t>petrify</t>
  </si>
  <si>
    <t>pettifog</t>
  </si>
  <si>
    <t>petty</t>
  </si>
  <si>
    <t>phenomenal</t>
  </si>
  <si>
    <t>phenomenally</t>
  </si>
  <si>
    <t>phobia</t>
  </si>
  <si>
    <t>phobic</t>
  </si>
  <si>
    <t>phony</t>
  </si>
  <si>
    <t>picket</t>
  </si>
  <si>
    <t>picketed</t>
  </si>
  <si>
    <t>picketing</t>
  </si>
  <si>
    <t>pickets</t>
  </si>
  <si>
    <t>picky</t>
  </si>
  <si>
    <t>picturesque</t>
  </si>
  <si>
    <t>piety</t>
  </si>
  <si>
    <t>pig</t>
  </si>
  <si>
    <t>pigs</t>
  </si>
  <si>
    <t>pillage</t>
  </si>
  <si>
    <t>pillory</t>
  </si>
  <si>
    <t>pimple</t>
  </si>
  <si>
    <t>pinch</t>
  </si>
  <si>
    <t>pinnacle</t>
  </si>
  <si>
    <t>pique</t>
  </si>
  <si>
    <t>pitiable</t>
  </si>
  <si>
    <t>pitiful</t>
  </si>
  <si>
    <t>pitifully</t>
  </si>
  <si>
    <t>pitiless</t>
  </si>
  <si>
    <t>pitilessly</t>
  </si>
  <si>
    <t>pittance</t>
  </si>
  <si>
    <t>pity</t>
  </si>
  <si>
    <t>plagiarize</t>
  </si>
  <si>
    <t>plague</t>
  </si>
  <si>
    <t>plasticky</t>
  </si>
  <si>
    <t>playful</t>
  </si>
  <si>
    <t>playfully</t>
  </si>
  <si>
    <t>plaything</t>
  </si>
  <si>
    <t>plea</t>
  </si>
  <si>
    <t>pleas</t>
  </si>
  <si>
    <t>pleasant</t>
  </si>
  <si>
    <t>pleasantly</t>
  </si>
  <si>
    <t>pleased</t>
  </si>
  <si>
    <t>pleases</t>
  </si>
  <si>
    <t>pleasing</t>
  </si>
  <si>
    <t>pleasingly</t>
  </si>
  <si>
    <t>pleasurable</t>
  </si>
  <si>
    <t>pleasurably</t>
  </si>
  <si>
    <t>pleasure</t>
  </si>
  <si>
    <t>plebeian</t>
  </si>
  <si>
    <t>plentiful</t>
  </si>
  <si>
    <t>plight</t>
  </si>
  <si>
    <t>plot</t>
  </si>
  <si>
    <t>plotters</t>
  </si>
  <si>
    <t>ploy</t>
  </si>
  <si>
    <t>plunder</t>
  </si>
  <si>
    <t>plunderer</t>
  </si>
  <si>
    <t>pluses</t>
  </si>
  <si>
    <t>plush</t>
  </si>
  <si>
    <t>plusses</t>
  </si>
  <si>
    <t>poetic</t>
  </si>
  <si>
    <t>poeticize</t>
  </si>
  <si>
    <t>poignant</t>
  </si>
  <si>
    <t>pointless</t>
  </si>
  <si>
    <t>pointlessly</t>
  </si>
  <si>
    <t>poise</t>
  </si>
  <si>
    <t>poised</t>
  </si>
  <si>
    <t>poison</t>
  </si>
  <si>
    <t>poisonous</t>
  </si>
  <si>
    <t>poisonously</t>
  </si>
  <si>
    <t>pokey</t>
  </si>
  <si>
    <t>poky</t>
  </si>
  <si>
    <t>polarisation</t>
  </si>
  <si>
    <t>polemize</t>
  </si>
  <si>
    <t>polished</t>
  </si>
  <si>
    <t>polite</t>
  </si>
  <si>
    <t>politeness</t>
  </si>
  <si>
    <t>pollute</t>
  </si>
  <si>
    <t>polluter</t>
  </si>
  <si>
    <t>polluters</t>
  </si>
  <si>
    <t>polution</t>
  </si>
  <si>
    <t>pompous</t>
  </si>
  <si>
    <t>poor</t>
  </si>
  <si>
    <t>poorer</t>
  </si>
  <si>
    <t>poorest</t>
  </si>
  <si>
    <t>poorly</t>
  </si>
  <si>
    <t>popular</t>
  </si>
  <si>
    <t>portable</t>
  </si>
  <si>
    <t>posh</t>
  </si>
  <si>
    <t>positively</t>
  </si>
  <si>
    <t>positives</t>
  </si>
  <si>
    <t>posturing</t>
  </si>
  <si>
    <t>pout</t>
  </si>
  <si>
    <t>poverty</t>
  </si>
  <si>
    <t>powerful</t>
  </si>
  <si>
    <t>powerfully</t>
  </si>
  <si>
    <t>powerless</t>
  </si>
  <si>
    <t>praise</t>
  </si>
  <si>
    <t>praiseworthy</t>
  </si>
  <si>
    <t>praising</t>
  </si>
  <si>
    <t>prate</t>
  </si>
  <si>
    <t>pratfall</t>
  </si>
  <si>
    <t>prattle</t>
  </si>
  <si>
    <t>pre-eminent</t>
  </si>
  <si>
    <t>precarious</t>
  </si>
  <si>
    <t>precariously</t>
  </si>
  <si>
    <t>precious</t>
  </si>
  <si>
    <t>precipitate</t>
  </si>
  <si>
    <t>precipitous</t>
  </si>
  <si>
    <t>precise</t>
  </si>
  <si>
    <t>precisely</t>
  </si>
  <si>
    <t>predatory</t>
  </si>
  <si>
    <t>predicament</t>
  </si>
  <si>
    <t>preeminent</t>
  </si>
  <si>
    <t>prefer</t>
  </si>
  <si>
    <t>preferable</t>
  </si>
  <si>
    <t>preferably</t>
  </si>
  <si>
    <t>prefered</t>
  </si>
  <si>
    <t>preferes</t>
  </si>
  <si>
    <t>preferring</t>
  </si>
  <si>
    <t>prefers</t>
  </si>
  <si>
    <t>prejudge</t>
  </si>
  <si>
    <t>prejudice</t>
  </si>
  <si>
    <t>prejudices</t>
  </si>
  <si>
    <t>prejudicial</t>
  </si>
  <si>
    <t>premeditated</t>
  </si>
  <si>
    <t>premier</t>
  </si>
  <si>
    <t>preoccupy</t>
  </si>
  <si>
    <t>preposterous</t>
  </si>
  <si>
    <t>preposterously</t>
  </si>
  <si>
    <t>prestige</t>
  </si>
  <si>
    <t>prestigious</t>
  </si>
  <si>
    <t>presumptuous</t>
  </si>
  <si>
    <t>presumptuously</t>
  </si>
  <si>
    <t>pretence</t>
  </si>
  <si>
    <t>pretend</t>
  </si>
  <si>
    <t>pretense</t>
  </si>
  <si>
    <t>pretentious</t>
  </si>
  <si>
    <t>pretentiously</t>
  </si>
  <si>
    <t>prettily</t>
  </si>
  <si>
    <t>pretty</t>
  </si>
  <si>
    <t>prevaricate</t>
  </si>
  <si>
    <t>priceless</t>
  </si>
  <si>
    <t>pricey</t>
  </si>
  <si>
    <t>pricier</t>
  </si>
  <si>
    <t>prick</t>
  </si>
  <si>
    <t>prickle</t>
  </si>
  <si>
    <t>prickles</t>
  </si>
  <si>
    <t>pride</t>
  </si>
  <si>
    <t>prideful</t>
  </si>
  <si>
    <t>prik</t>
  </si>
  <si>
    <t>primitive</t>
  </si>
  <si>
    <t>principled</t>
  </si>
  <si>
    <t>prison</t>
  </si>
  <si>
    <t>prisoner</t>
  </si>
  <si>
    <t>privilege</t>
  </si>
  <si>
    <t>privileged</t>
  </si>
  <si>
    <t>prize</t>
  </si>
  <si>
    <t>proactive</t>
  </si>
  <si>
    <t>problem</t>
  </si>
  <si>
    <t>problem-free</t>
  </si>
  <si>
    <t>problem-solver</t>
  </si>
  <si>
    <t>problematic</t>
  </si>
  <si>
    <t>problems</t>
  </si>
  <si>
    <t>procrastinate</t>
  </si>
  <si>
    <t>procrastinates</t>
  </si>
  <si>
    <t>procrastination</t>
  </si>
  <si>
    <t>prodigious</t>
  </si>
  <si>
    <t>prodigiously</t>
  </si>
  <si>
    <t>prodigy</t>
  </si>
  <si>
    <t>productive</t>
  </si>
  <si>
    <t>productively</t>
  </si>
  <si>
    <t>profane</t>
  </si>
  <si>
    <t>profanity</t>
  </si>
  <si>
    <t>proficient</t>
  </si>
  <si>
    <t>proficiently</t>
  </si>
  <si>
    <t>profound</t>
  </si>
  <si>
    <t>profoundly</t>
  </si>
  <si>
    <t>profuse</t>
  </si>
  <si>
    <t>profusion</t>
  </si>
  <si>
    <t>progress</t>
  </si>
  <si>
    <t>progressive</t>
  </si>
  <si>
    <t>prohibit</t>
  </si>
  <si>
    <t>prohibitive</t>
  </si>
  <si>
    <t>prohibitively</t>
  </si>
  <si>
    <t>prolific</t>
  </si>
  <si>
    <t>prominence</t>
  </si>
  <si>
    <t>prominent</t>
  </si>
  <si>
    <t>promise</t>
  </si>
  <si>
    <t>promised</t>
  </si>
  <si>
    <t>promises</t>
  </si>
  <si>
    <t>promising</t>
  </si>
  <si>
    <t>promoter</t>
  </si>
  <si>
    <t>prompt</t>
  </si>
  <si>
    <t>promptly</t>
  </si>
  <si>
    <t>propaganda</t>
  </si>
  <si>
    <t>propagandize</t>
  </si>
  <si>
    <t>proper</t>
  </si>
  <si>
    <t>properly</t>
  </si>
  <si>
    <t>propitious</t>
  </si>
  <si>
    <t>propitiously</t>
  </si>
  <si>
    <t>proprietary</t>
  </si>
  <si>
    <t>pros</t>
  </si>
  <si>
    <t>prosecute</t>
  </si>
  <si>
    <t>prosper</t>
  </si>
  <si>
    <t>prosperity</t>
  </si>
  <si>
    <t>prosperous</t>
  </si>
  <si>
    <t>prospros</t>
  </si>
  <si>
    <t>protect</t>
  </si>
  <si>
    <t>protection</t>
  </si>
  <si>
    <t>protective</t>
  </si>
  <si>
    <t>protest</t>
  </si>
  <si>
    <t>protested</t>
  </si>
  <si>
    <t>protesting</t>
  </si>
  <si>
    <t>protests</t>
  </si>
  <si>
    <t>protracted</t>
  </si>
  <si>
    <t>proud</t>
  </si>
  <si>
    <t>proven</t>
  </si>
  <si>
    <t>proves</t>
  </si>
  <si>
    <t>providence</t>
  </si>
  <si>
    <t>proving</t>
  </si>
  <si>
    <t>provocation</t>
  </si>
  <si>
    <t>provocative</t>
  </si>
  <si>
    <t>provoke</t>
  </si>
  <si>
    <t>prowess</t>
  </si>
  <si>
    <t>prudence</t>
  </si>
  <si>
    <t>prudent</t>
  </si>
  <si>
    <t>prudently</t>
  </si>
  <si>
    <t>pry</t>
  </si>
  <si>
    <t>pugnacious</t>
  </si>
  <si>
    <t>pugnaciously</t>
  </si>
  <si>
    <t>pugnacity</t>
  </si>
  <si>
    <t>punch</t>
  </si>
  <si>
    <t>punctual</t>
  </si>
  <si>
    <t>punish</t>
  </si>
  <si>
    <t>punishable</t>
  </si>
  <si>
    <t>punitive</t>
  </si>
  <si>
    <t>punk</t>
  </si>
  <si>
    <t>puny</t>
  </si>
  <si>
    <t>puppet</t>
  </si>
  <si>
    <t>puppets</t>
  </si>
  <si>
    <t>pure</t>
  </si>
  <si>
    <t>purify</t>
  </si>
  <si>
    <t>purposeful</t>
  </si>
  <si>
    <t>puzzled</t>
  </si>
  <si>
    <t>puzzlement</t>
  </si>
  <si>
    <t>puzzling</t>
  </si>
  <si>
    <t>quack</t>
  </si>
  <si>
    <t>quaint</t>
  </si>
  <si>
    <t>qualified</t>
  </si>
  <si>
    <t>qualify</t>
  </si>
  <si>
    <t>qualm</t>
  </si>
  <si>
    <t>qualms</t>
  </si>
  <si>
    <t>quandary</t>
  </si>
  <si>
    <t>quarrel</t>
  </si>
  <si>
    <t>quarrellous</t>
  </si>
  <si>
    <t>quarrellously</t>
  </si>
  <si>
    <t>quarrels</t>
  </si>
  <si>
    <t>quarrelsome</t>
  </si>
  <si>
    <t>quash</t>
  </si>
  <si>
    <t>queer</t>
  </si>
  <si>
    <t>questionable</t>
  </si>
  <si>
    <t>quibble</t>
  </si>
  <si>
    <t>quibbles</t>
  </si>
  <si>
    <t>quicker</t>
  </si>
  <si>
    <t>quiet</t>
  </si>
  <si>
    <t>quieter</t>
  </si>
  <si>
    <t>quitter</t>
  </si>
  <si>
    <t>rabid</t>
  </si>
  <si>
    <t>racism</t>
  </si>
  <si>
    <t>racist</t>
  </si>
  <si>
    <t>racists</t>
  </si>
  <si>
    <t>racy</t>
  </si>
  <si>
    <t>radiance</t>
  </si>
  <si>
    <t>radiant</t>
  </si>
  <si>
    <t>radical</t>
  </si>
  <si>
    <t>radicalization</t>
  </si>
  <si>
    <t>radically</t>
  </si>
  <si>
    <t>radicals</t>
  </si>
  <si>
    <t>rage</t>
  </si>
  <si>
    <t>ragged</t>
  </si>
  <si>
    <t>raging</t>
  </si>
  <si>
    <t>rail</t>
  </si>
  <si>
    <t>raked</t>
  </si>
  <si>
    <t>rampage</t>
  </si>
  <si>
    <t>rampant</t>
  </si>
  <si>
    <t>ramshackle</t>
  </si>
  <si>
    <t>rancor</t>
  </si>
  <si>
    <t>randomly</t>
  </si>
  <si>
    <t>rankle</t>
  </si>
  <si>
    <t>rant</t>
  </si>
  <si>
    <t>ranted</t>
  </si>
  <si>
    <t>ranting</t>
  </si>
  <si>
    <t>rantingly</t>
  </si>
  <si>
    <t>rants</t>
  </si>
  <si>
    <t>rape</t>
  </si>
  <si>
    <t>raped</t>
  </si>
  <si>
    <t>rapid</t>
  </si>
  <si>
    <t>raping</t>
  </si>
  <si>
    <t>rapport</t>
  </si>
  <si>
    <t>rapt</t>
  </si>
  <si>
    <t>rapture</t>
  </si>
  <si>
    <t>raptureous</t>
  </si>
  <si>
    <t>raptureously</t>
  </si>
  <si>
    <t>rapturous</t>
  </si>
  <si>
    <t>rapturously</t>
  </si>
  <si>
    <t>rascal</t>
  </si>
  <si>
    <t>rascals</t>
  </si>
  <si>
    <t>rash</t>
  </si>
  <si>
    <t>rational</t>
  </si>
  <si>
    <t>rattle</t>
  </si>
  <si>
    <t>rattled</t>
  </si>
  <si>
    <t>rattles</t>
  </si>
  <si>
    <t>ravage</t>
  </si>
  <si>
    <t>raving</t>
  </si>
  <si>
    <t>razor-sharp</t>
  </si>
  <si>
    <t>reachable</t>
  </si>
  <si>
    <t>reactionary</t>
  </si>
  <si>
    <t>readable</t>
  </si>
  <si>
    <t>readily</t>
  </si>
  <si>
    <t>ready</t>
  </si>
  <si>
    <t>reaffirm</t>
  </si>
  <si>
    <t>reaffirmation</t>
  </si>
  <si>
    <t>realistic</t>
  </si>
  <si>
    <t>realizable</t>
  </si>
  <si>
    <t>reasonable</t>
  </si>
  <si>
    <t>reasonably</t>
  </si>
  <si>
    <t>reasoned</t>
  </si>
  <si>
    <t>reassurance</t>
  </si>
  <si>
    <t>reassure</t>
  </si>
  <si>
    <t>rebellious</t>
  </si>
  <si>
    <t>rebuff</t>
  </si>
  <si>
    <t>rebuke</t>
  </si>
  <si>
    <t>recalcitrant</t>
  </si>
  <si>
    <t>recant</t>
  </si>
  <si>
    <t>receptive</t>
  </si>
  <si>
    <t>recession</t>
  </si>
  <si>
    <t>recessionary</t>
  </si>
  <si>
    <t>reckless</t>
  </si>
  <si>
    <t>recklessly</t>
  </si>
  <si>
    <t>recklessness</t>
  </si>
  <si>
    <t>reclaim</t>
  </si>
  <si>
    <t>recoil</t>
  </si>
  <si>
    <t>recomend</t>
  </si>
  <si>
    <t>recommend</t>
  </si>
  <si>
    <t>recommendation</t>
  </si>
  <si>
    <t>recommendations</t>
  </si>
  <si>
    <t>recommended</t>
  </si>
  <si>
    <t>reconcile</t>
  </si>
  <si>
    <t>reconciliation</t>
  </si>
  <si>
    <t>record-setting</t>
  </si>
  <si>
    <t>recourses</t>
  </si>
  <si>
    <t>recover</t>
  </si>
  <si>
    <t>recovery</t>
  </si>
  <si>
    <t>rectification</t>
  </si>
  <si>
    <t>rectify</t>
  </si>
  <si>
    <t>rectifying</t>
  </si>
  <si>
    <t>redeem</t>
  </si>
  <si>
    <t>redeeming</t>
  </si>
  <si>
    <t>redemption</t>
  </si>
  <si>
    <t>redundancy</t>
  </si>
  <si>
    <t>redundant</t>
  </si>
  <si>
    <t>refine</t>
  </si>
  <si>
    <t>refined</t>
  </si>
  <si>
    <t>refinement</t>
  </si>
  <si>
    <t>reform</t>
  </si>
  <si>
    <t>reformed</t>
  </si>
  <si>
    <t>reforming</t>
  </si>
  <si>
    <t>reforms</t>
  </si>
  <si>
    <t>refresh</t>
  </si>
  <si>
    <t>refreshed</t>
  </si>
  <si>
    <t>refreshing</t>
  </si>
  <si>
    <t>refund</t>
  </si>
  <si>
    <t>refunded</t>
  </si>
  <si>
    <t>refusal</t>
  </si>
  <si>
    <t>refuse</t>
  </si>
  <si>
    <t>refused</t>
  </si>
  <si>
    <t>refuses</t>
  </si>
  <si>
    <t>refusing</t>
  </si>
  <si>
    <t>refutation</t>
  </si>
  <si>
    <t>refute</t>
  </si>
  <si>
    <t>refuted</t>
  </si>
  <si>
    <t>refutes</t>
  </si>
  <si>
    <t>refuting</t>
  </si>
  <si>
    <t>regal</t>
  </si>
  <si>
    <t>regally</t>
  </si>
  <si>
    <t>regard</t>
  </si>
  <si>
    <t>regress</t>
  </si>
  <si>
    <t>regression</t>
  </si>
  <si>
    <t>regressive</t>
  </si>
  <si>
    <t>regret</t>
  </si>
  <si>
    <t>regreted</t>
  </si>
  <si>
    <t>regretful</t>
  </si>
  <si>
    <t>regretfully</t>
  </si>
  <si>
    <t>regrets</t>
  </si>
  <si>
    <t>regrettable</t>
  </si>
  <si>
    <t>regrettably</t>
  </si>
  <si>
    <t>regretted</t>
  </si>
  <si>
    <t>reject</t>
  </si>
  <si>
    <t>rejected</t>
  </si>
  <si>
    <t>rejecting</t>
  </si>
  <si>
    <t>rejection</t>
  </si>
  <si>
    <t>rejects</t>
  </si>
  <si>
    <t>rejoice</t>
  </si>
  <si>
    <t>rejoicing</t>
  </si>
  <si>
    <t>rejoicingly</t>
  </si>
  <si>
    <t>rejuvenate</t>
  </si>
  <si>
    <t>rejuvenated</t>
  </si>
  <si>
    <t>rejuvenating</t>
  </si>
  <si>
    <t>relapse</t>
  </si>
  <si>
    <t>relaxed</t>
  </si>
  <si>
    <t>relent</t>
  </si>
  <si>
    <t>relentless</t>
  </si>
  <si>
    <t>relentlessly</t>
  </si>
  <si>
    <t>relentlessness</t>
  </si>
  <si>
    <t>reliable</t>
  </si>
  <si>
    <t>reliably</t>
  </si>
  <si>
    <t>relief</t>
  </si>
  <si>
    <t>relish</t>
  </si>
  <si>
    <t>reluctance</t>
  </si>
  <si>
    <t>reluctant</t>
  </si>
  <si>
    <t>reluctantly</t>
  </si>
  <si>
    <t>remarkable</t>
  </si>
  <si>
    <t>remarkably</t>
  </si>
  <si>
    <t>remedy</t>
  </si>
  <si>
    <t>remission</t>
  </si>
  <si>
    <t>remorse</t>
  </si>
  <si>
    <t>remorseful</t>
  </si>
  <si>
    <t>remorsefully</t>
  </si>
  <si>
    <t>remorseless</t>
  </si>
  <si>
    <t>remorselessly</t>
  </si>
  <si>
    <t>remorselessness</t>
  </si>
  <si>
    <t>remunerate</t>
  </si>
  <si>
    <t>renaissance</t>
  </si>
  <si>
    <t>renewed</t>
  </si>
  <si>
    <t>renounce</t>
  </si>
  <si>
    <t>renown</t>
  </si>
  <si>
    <t>renowned</t>
  </si>
  <si>
    <t>renunciation</t>
  </si>
  <si>
    <t>repel</t>
  </si>
  <si>
    <t>repetitive</t>
  </si>
  <si>
    <t>replaceable</t>
  </si>
  <si>
    <t>reprehensible</t>
  </si>
  <si>
    <t>reprehensibly</t>
  </si>
  <si>
    <t>reprehension</t>
  </si>
  <si>
    <t>reprehensive</t>
  </si>
  <si>
    <t>repress</t>
  </si>
  <si>
    <t>repression</t>
  </si>
  <si>
    <t>repressive</t>
  </si>
  <si>
    <t>reprimand</t>
  </si>
  <si>
    <t>reproach</t>
  </si>
  <si>
    <t>reproachful</t>
  </si>
  <si>
    <t>reprove</t>
  </si>
  <si>
    <t>reprovingly</t>
  </si>
  <si>
    <t>repudiate</t>
  </si>
  <si>
    <t>repudiation</t>
  </si>
  <si>
    <t>repugn</t>
  </si>
  <si>
    <t>repugnance</t>
  </si>
  <si>
    <t>repugnant</t>
  </si>
  <si>
    <t>repugnantly</t>
  </si>
  <si>
    <t>repulse</t>
  </si>
  <si>
    <t>repulsed</t>
  </si>
  <si>
    <t>repulsing</t>
  </si>
  <si>
    <t>repulsive</t>
  </si>
  <si>
    <t>repulsively</t>
  </si>
  <si>
    <t>repulsiveness</t>
  </si>
  <si>
    <t>reputable</t>
  </si>
  <si>
    <t>reputation</t>
  </si>
  <si>
    <t>resent</t>
  </si>
  <si>
    <t>resentful</t>
  </si>
  <si>
    <t>resentment</t>
  </si>
  <si>
    <t>resignation</t>
  </si>
  <si>
    <t>resigned</t>
  </si>
  <si>
    <t>resilient</t>
  </si>
  <si>
    <t>resistance</t>
  </si>
  <si>
    <t>resolute</t>
  </si>
  <si>
    <t>resound</t>
  </si>
  <si>
    <t>resounding</t>
  </si>
  <si>
    <t>resourceful</t>
  </si>
  <si>
    <t>resourcefulness</t>
  </si>
  <si>
    <t>respect</t>
  </si>
  <si>
    <t>respectable</t>
  </si>
  <si>
    <t>respectful</t>
  </si>
  <si>
    <t>respectfully</t>
  </si>
  <si>
    <t>respite</t>
  </si>
  <si>
    <t>resplendent</t>
  </si>
  <si>
    <t>responsibly</t>
  </si>
  <si>
    <t>responsive</t>
  </si>
  <si>
    <t>restful</t>
  </si>
  <si>
    <t>restless</t>
  </si>
  <si>
    <t>restlessness</t>
  </si>
  <si>
    <t>restored</t>
  </si>
  <si>
    <t>restrict</t>
  </si>
  <si>
    <t>restricted</t>
  </si>
  <si>
    <t>restriction</t>
  </si>
  <si>
    <t>restrictive</t>
  </si>
  <si>
    <t>restructure</t>
  </si>
  <si>
    <t>restructured</t>
  </si>
  <si>
    <t>restructuring</t>
  </si>
  <si>
    <t>resurgent</t>
  </si>
  <si>
    <t>retaliate</t>
  </si>
  <si>
    <t>retaliatory</t>
  </si>
  <si>
    <t>retard</t>
  </si>
  <si>
    <t>retarded</t>
  </si>
  <si>
    <t>retardedness</t>
  </si>
  <si>
    <t>retards</t>
  </si>
  <si>
    <t>reticent</t>
  </si>
  <si>
    <t>retract</t>
  </si>
  <si>
    <t>retractable</t>
  </si>
  <si>
    <t>retreat</t>
  </si>
  <si>
    <t>retreated</t>
  </si>
  <si>
    <t>revel</t>
  </si>
  <si>
    <t>revelation</t>
  </si>
  <si>
    <t>revenge</t>
  </si>
  <si>
    <t>revengeful</t>
  </si>
  <si>
    <t>revengefully</t>
  </si>
  <si>
    <t>revere</t>
  </si>
  <si>
    <t>reverence</t>
  </si>
  <si>
    <t>reverent</t>
  </si>
  <si>
    <t>reverently</t>
  </si>
  <si>
    <t>revert</t>
  </si>
  <si>
    <t>revile</t>
  </si>
  <si>
    <t>reviled</t>
  </si>
  <si>
    <t>revitalize</t>
  </si>
  <si>
    <t>revival</t>
  </si>
  <si>
    <t>revive</t>
  </si>
  <si>
    <t>revives</t>
  </si>
  <si>
    <t>revoke</t>
  </si>
  <si>
    <t>revolt</t>
  </si>
  <si>
    <t>revolting</t>
  </si>
  <si>
    <t>revoltingly</t>
  </si>
  <si>
    <t>revolutionary</t>
  </si>
  <si>
    <t>revolutionize</t>
  </si>
  <si>
    <t>revolutionized</t>
  </si>
  <si>
    <t>revolutionizes</t>
  </si>
  <si>
    <t>revulsion</t>
  </si>
  <si>
    <t>revulsive</t>
  </si>
  <si>
    <t>reward</t>
  </si>
  <si>
    <t>rewarding</t>
  </si>
  <si>
    <t>rewardingly</t>
  </si>
  <si>
    <t>rhapsodize</t>
  </si>
  <si>
    <t>rhetoric</t>
  </si>
  <si>
    <t>rhetorical</t>
  </si>
  <si>
    <t>ricer</t>
  </si>
  <si>
    <t>rich</t>
  </si>
  <si>
    <t>richer</t>
  </si>
  <si>
    <t>richly</t>
  </si>
  <si>
    <t>richness</t>
  </si>
  <si>
    <t>ridicule</t>
  </si>
  <si>
    <t>ridicules</t>
  </si>
  <si>
    <t>ridiculous</t>
  </si>
  <si>
    <t>ridiculously</t>
  </si>
  <si>
    <t>rife</t>
  </si>
  <si>
    <t>rift</t>
  </si>
  <si>
    <t>rifts</t>
  </si>
  <si>
    <t>right</t>
  </si>
  <si>
    <t>righten</t>
  </si>
  <si>
    <t>righteous</t>
  </si>
  <si>
    <t>righteously</t>
  </si>
  <si>
    <t>righteousness</t>
  </si>
  <si>
    <t>rightful</t>
  </si>
  <si>
    <t>rightfully</t>
  </si>
  <si>
    <t>rightly</t>
  </si>
  <si>
    <t>rightness</t>
  </si>
  <si>
    <t>rigid</t>
  </si>
  <si>
    <t>rigidity</t>
  </si>
  <si>
    <t>rigidness</t>
  </si>
  <si>
    <t>rile</t>
  </si>
  <si>
    <t>riled</t>
  </si>
  <si>
    <t>rip</t>
  </si>
  <si>
    <t>rip-off</t>
  </si>
  <si>
    <t>ripoff</t>
  </si>
  <si>
    <t>ripped</t>
  </si>
  <si>
    <t>risk</t>
  </si>
  <si>
    <t>risk-free</t>
  </si>
  <si>
    <t>risks</t>
  </si>
  <si>
    <t>risky</t>
  </si>
  <si>
    <t>rival</t>
  </si>
  <si>
    <t>rivalry</t>
  </si>
  <si>
    <t>roadblocks</t>
  </si>
  <si>
    <t>robust</t>
  </si>
  <si>
    <t>rock-star</t>
  </si>
  <si>
    <t>rock-stars</t>
  </si>
  <si>
    <t>rockstar</t>
  </si>
  <si>
    <t>rockstars</t>
  </si>
  <si>
    <t>rocky</t>
  </si>
  <si>
    <t>rogue</t>
  </si>
  <si>
    <t>rollercoaster</t>
  </si>
  <si>
    <t>romantic</t>
  </si>
  <si>
    <t>romantically</t>
  </si>
  <si>
    <t>romanticize</t>
  </si>
  <si>
    <t>roomier</t>
  </si>
  <si>
    <t>roomy</t>
  </si>
  <si>
    <t>rosy</t>
  </si>
  <si>
    <t>rot</t>
  </si>
  <si>
    <t>rotten</t>
  </si>
  <si>
    <t>rough</t>
  </si>
  <si>
    <t>rremediable</t>
  </si>
  <si>
    <t>rubbish</t>
  </si>
  <si>
    <t>rude</t>
  </si>
  <si>
    <t>rue</t>
  </si>
  <si>
    <t>ruffian</t>
  </si>
  <si>
    <t>ruffle</t>
  </si>
  <si>
    <t>ruin</t>
  </si>
  <si>
    <t>ruined</t>
  </si>
  <si>
    <t>ruining</t>
  </si>
  <si>
    <t>ruinous</t>
  </si>
  <si>
    <t>ruins</t>
  </si>
  <si>
    <t>rumbling</t>
  </si>
  <si>
    <t>rumor</t>
  </si>
  <si>
    <t>rumors</t>
  </si>
  <si>
    <t>rumours</t>
  </si>
  <si>
    <t>rumple</t>
  </si>
  <si>
    <t>run-down</t>
  </si>
  <si>
    <t>runaway</t>
  </si>
  <si>
    <t>rupture</t>
  </si>
  <si>
    <t>rust</t>
  </si>
  <si>
    <t>rusts</t>
  </si>
  <si>
    <t>rusty</t>
  </si>
  <si>
    <t>rut</t>
  </si>
  <si>
    <t>ruthless</t>
  </si>
  <si>
    <t>ruthlessly</t>
  </si>
  <si>
    <t>ruthlessness</t>
  </si>
  <si>
    <t>ruts</t>
  </si>
  <si>
    <t>sabotage</t>
  </si>
  <si>
    <t>sack</t>
  </si>
  <si>
    <t>sacrificed</t>
  </si>
  <si>
    <t>sad</t>
  </si>
  <si>
    <t>sadden</t>
  </si>
  <si>
    <t>sadly</t>
  </si>
  <si>
    <t>sadness</t>
  </si>
  <si>
    <t>safe</t>
  </si>
  <si>
    <t>safely</t>
  </si>
  <si>
    <t>sag</t>
  </si>
  <si>
    <t>sagacity</t>
  </si>
  <si>
    <t>sagely</t>
  </si>
  <si>
    <t>sagged</t>
  </si>
  <si>
    <t>sagging</t>
  </si>
  <si>
    <t>saggy</t>
  </si>
  <si>
    <t>sags</t>
  </si>
  <si>
    <t>saint</t>
  </si>
  <si>
    <t>saintliness</t>
  </si>
  <si>
    <t>saintly</t>
  </si>
  <si>
    <t>salacious</t>
  </si>
  <si>
    <t>salutary</t>
  </si>
  <si>
    <t>salute</t>
  </si>
  <si>
    <t>sanctimonious</t>
  </si>
  <si>
    <t>sane</t>
  </si>
  <si>
    <t>sap</t>
  </si>
  <si>
    <t>sarcasm</t>
  </si>
  <si>
    <t>sarcastic</t>
  </si>
  <si>
    <t>sarcastically</t>
  </si>
  <si>
    <t>sardonic</t>
  </si>
  <si>
    <t>sardonically</t>
  </si>
  <si>
    <t>sass</t>
  </si>
  <si>
    <t>satirical</t>
  </si>
  <si>
    <t>satirize</t>
  </si>
  <si>
    <t>satisfactorily</t>
  </si>
  <si>
    <t>satisfactory</t>
  </si>
  <si>
    <t>satisfied</t>
  </si>
  <si>
    <t>satisfies</t>
  </si>
  <si>
    <t>satisfy</t>
  </si>
  <si>
    <t>satisfying</t>
  </si>
  <si>
    <t>satisified</t>
  </si>
  <si>
    <t>savage</t>
  </si>
  <si>
    <t>savaged</t>
  </si>
  <si>
    <t>savagery</t>
  </si>
  <si>
    <t>savages</t>
  </si>
  <si>
    <t>saver</t>
  </si>
  <si>
    <t>savings</t>
  </si>
  <si>
    <t>savior</t>
  </si>
  <si>
    <t>savvy</t>
  </si>
  <si>
    <t>scaly</t>
  </si>
  <si>
    <t>scam</t>
  </si>
  <si>
    <t>scams</t>
  </si>
  <si>
    <t>scandal</t>
  </si>
  <si>
    <t>scandalize</t>
  </si>
  <si>
    <t>scandalized</t>
  </si>
  <si>
    <t>scandalous</t>
  </si>
  <si>
    <t>scandalously</t>
  </si>
  <si>
    <t>scandals</t>
  </si>
  <si>
    <t>scandel</t>
  </si>
  <si>
    <t>scandels</t>
  </si>
  <si>
    <t>scant</t>
  </si>
  <si>
    <t>scapegoat</t>
  </si>
  <si>
    <t>scar</t>
  </si>
  <si>
    <t>scarce</t>
  </si>
  <si>
    <t>scarcely</t>
  </si>
  <si>
    <t>scarcity</t>
  </si>
  <si>
    <t>scare</t>
  </si>
  <si>
    <t>scared</t>
  </si>
  <si>
    <t>scarier</t>
  </si>
  <si>
    <t>scariest</t>
  </si>
  <si>
    <t>scarily</t>
  </si>
  <si>
    <t>scarred</t>
  </si>
  <si>
    <t>scars</t>
  </si>
  <si>
    <t>scary</t>
  </si>
  <si>
    <t>scathing</t>
  </si>
  <si>
    <t>scathingly</t>
  </si>
  <si>
    <t>scenic</t>
  </si>
  <si>
    <t>sceptical</t>
  </si>
  <si>
    <t>scoff</t>
  </si>
  <si>
    <t>scoffingly</t>
  </si>
  <si>
    <t>scold</t>
  </si>
  <si>
    <t>scolded</t>
  </si>
  <si>
    <t>scolding</t>
  </si>
  <si>
    <t>scoldingly</t>
  </si>
  <si>
    <t>scorching</t>
  </si>
  <si>
    <t>scorchingly</t>
  </si>
  <si>
    <t>scorn</t>
  </si>
  <si>
    <t>scornful</t>
  </si>
  <si>
    <t>scornfully</t>
  </si>
  <si>
    <t>scoundrel</t>
  </si>
  <si>
    <t>scourge</t>
  </si>
  <si>
    <t>scowl</t>
  </si>
  <si>
    <t>scramble</t>
  </si>
  <si>
    <t>scrambled</t>
  </si>
  <si>
    <t>scrambles</t>
  </si>
  <si>
    <t>scrambling</t>
  </si>
  <si>
    <t>scrap</t>
  </si>
  <si>
    <t>scratch</t>
  </si>
  <si>
    <t>scratched</t>
  </si>
  <si>
    <t>scratches</t>
  </si>
  <si>
    <t>scratchy</t>
  </si>
  <si>
    <t>scream</t>
  </si>
  <si>
    <t>screech</t>
  </si>
  <si>
    <t>screw-up</t>
  </si>
  <si>
    <t>screwed</t>
  </si>
  <si>
    <t>screwed-up</t>
  </si>
  <si>
    <t>screwy</t>
  </si>
  <si>
    <t>scuff</t>
  </si>
  <si>
    <t>scuffs</t>
  </si>
  <si>
    <t>scum</t>
  </si>
  <si>
    <t>scummy</t>
  </si>
  <si>
    <t>seamless</t>
  </si>
  <si>
    <t>seasoned</t>
  </si>
  <si>
    <t>second-class</t>
  </si>
  <si>
    <t>second-tier</t>
  </si>
  <si>
    <t>secretive</t>
  </si>
  <si>
    <t>secure</t>
  </si>
  <si>
    <t>securely</t>
  </si>
  <si>
    <t>sedentary</t>
  </si>
  <si>
    <t>seedy</t>
  </si>
  <si>
    <t>seethe</t>
  </si>
  <si>
    <t>seething</t>
  </si>
  <si>
    <t>selective</t>
  </si>
  <si>
    <t>self-coup</t>
  </si>
  <si>
    <t>self-criticism</t>
  </si>
  <si>
    <t>self-defeating</t>
  </si>
  <si>
    <t>self-destructive</t>
  </si>
  <si>
    <t>self-determination</t>
  </si>
  <si>
    <t>self-humiliation</t>
  </si>
  <si>
    <t>self-interest</t>
  </si>
  <si>
    <t>self-interested</t>
  </si>
  <si>
    <t>self-respect</t>
  </si>
  <si>
    <t>self-satisfaction</t>
  </si>
  <si>
    <t>self-serving</t>
  </si>
  <si>
    <t>self-sufficiency</t>
  </si>
  <si>
    <t>self-sufficient</t>
  </si>
  <si>
    <t>selfinterested</t>
  </si>
  <si>
    <t>selfish</t>
  </si>
  <si>
    <t>selfishly</t>
  </si>
  <si>
    <t>selfishness</t>
  </si>
  <si>
    <t>semi-retarded</t>
  </si>
  <si>
    <t>senile</t>
  </si>
  <si>
    <t>sensation</t>
  </si>
  <si>
    <t>sensational</t>
  </si>
  <si>
    <t>sensationalize</t>
  </si>
  <si>
    <t>sensationally</t>
  </si>
  <si>
    <t>sensations</t>
  </si>
  <si>
    <t>senseless</t>
  </si>
  <si>
    <t>senselessly</t>
  </si>
  <si>
    <t>sensible</t>
  </si>
  <si>
    <t>sensibly</t>
  </si>
  <si>
    <t>sensitive</t>
  </si>
  <si>
    <t>serene</t>
  </si>
  <si>
    <t>serenity</t>
  </si>
  <si>
    <t>seriousness</t>
  </si>
  <si>
    <t>sermonize</t>
  </si>
  <si>
    <t>servitude</t>
  </si>
  <si>
    <t>set-up</t>
  </si>
  <si>
    <t>setback</t>
  </si>
  <si>
    <t>setbacks</t>
  </si>
  <si>
    <t>sever</t>
  </si>
  <si>
    <t>severe</t>
  </si>
  <si>
    <t>severity</t>
  </si>
  <si>
    <t>sexy</t>
  </si>
  <si>
    <t>sh*t</t>
  </si>
  <si>
    <t>shabby</t>
  </si>
  <si>
    <t>shadowy</t>
  </si>
  <si>
    <t>shady</t>
  </si>
  <si>
    <t>shake</t>
  </si>
  <si>
    <t>shaky</t>
  </si>
  <si>
    <t>shallow</t>
  </si>
  <si>
    <t>sham</t>
  </si>
  <si>
    <t>shambles</t>
  </si>
  <si>
    <t>shame</t>
  </si>
  <si>
    <t>shameful</t>
  </si>
  <si>
    <t>shamefully</t>
  </si>
  <si>
    <t>shamefulness</t>
  </si>
  <si>
    <t>shameless</t>
  </si>
  <si>
    <t>shamelessly</t>
  </si>
  <si>
    <t>shamelessness</t>
  </si>
  <si>
    <t>shark</t>
  </si>
  <si>
    <t>sharp</t>
  </si>
  <si>
    <t>sharper</t>
  </si>
  <si>
    <t>sharpest</t>
  </si>
  <si>
    <t>sharply</t>
  </si>
  <si>
    <t>shatter</t>
  </si>
  <si>
    <t>shemale</t>
  </si>
  <si>
    <t>shimmer</t>
  </si>
  <si>
    <t>shimmering</t>
  </si>
  <si>
    <t>shimmeringly</t>
  </si>
  <si>
    <t>shimmy</t>
  </si>
  <si>
    <t>shine</t>
  </si>
  <si>
    <t>shiny</t>
  </si>
  <si>
    <t>shipwreck</t>
  </si>
  <si>
    <t>shirk</t>
  </si>
  <si>
    <t>shirker</t>
  </si>
  <si>
    <t>shit</t>
  </si>
  <si>
    <t>shiver</t>
  </si>
  <si>
    <t>shock</t>
  </si>
  <si>
    <t>shocked</t>
  </si>
  <si>
    <t>shocking</t>
  </si>
  <si>
    <t>shockingly</t>
  </si>
  <si>
    <t>shoddy</t>
  </si>
  <si>
    <t>short-lived</t>
  </si>
  <si>
    <t>shortage</t>
  </si>
  <si>
    <t>shortchange</t>
  </si>
  <si>
    <t>shortcoming</t>
  </si>
  <si>
    <t>shortcomings</t>
  </si>
  <si>
    <t>shortness</t>
  </si>
  <si>
    <t>shortsighted</t>
  </si>
  <si>
    <t>shortsightedness</t>
  </si>
  <si>
    <t>showdown</t>
  </si>
  <si>
    <t>shrew</t>
  </si>
  <si>
    <t>shriek</t>
  </si>
  <si>
    <t>shrill</t>
  </si>
  <si>
    <t>shrilly</t>
  </si>
  <si>
    <t>shrivel</t>
  </si>
  <si>
    <t>shroud</t>
  </si>
  <si>
    <t>shrouded</t>
  </si>
  <si>
    <t>shrug</t>
  </si>
  <si>
    <t>shun</t>
  </si>
  <si>
    <t>shunned</t>
  </si>
  <si>
    <t>sick</t>
  </si>
  <si>
    <t>sicken</t>
  </si>
  <si>
    <t>sickening</t>
  </si>
  <si>
    <t>sickeningly</t>
  </si>
  <si>
    <t>sickly</t>
  </si>
  <si>
    <t>sickness</t>
  </si>
  <si>
    <t>sidetrack</t>
  </si>
  <si>
    <t>sidetracked</t>
  </si>
  <si>
    <t>siege</t>
  </si>
  <si>
    <t>significant</t>
  </si>
  <si>
    <t>silent</t>
  </si>
  <si>
    <t>sillily</t>
  </si>
  <si>
    <t>silly</t>
  </si>
  <si>
    <t>simpler</t>
  </si>
  <si>
    <t>simplest</t>
  </si>
  <si>
    <t>simplified</t>
  </si>
  <si>
    <t>simplifies</t>
  </si>
  <si>
    <t>simplify</t>
  </si>
  <si>
    <t>simplifying</t>
  </si>
  <si>
    <t>simplistic</t>
  </si>
  <si>
    <t>simplistically</t>
  </si>
  <si>
    <t>sin</t>
  </si>
  <si>
    <t>sincere</t>
  </si>
  <si>
    <t>sincerely</t>
  </si>
  <si>
    <t>sincerity</t>
  </si>
  <si>
    <t>sinful</t>
  </si>
  <si>
    <t>sinfully</t>
  </si>
  <si>
    <t>sinister</t>
  </si>
  <si>
    <t>sinisterly</t>
  </si>
  <si>
    <t>sink</t>
  </si>
  <si>
    <t>sinking</t>
  </si>
  <si>
    <t>skeletons</t>
  </si>
  <si>
    <t>skeptic</t>
  </si>
  <si>
    <t>skeptical</t>
  </si>
  <si>
    <t>skeptically</t>
  </si>
  <si>
    <t>skepticism</t>
  </si>
  <si>
    <t>sketchy</t>
  </si>
  <si>
    <t>skill</t>
  </si>
  <si>
    <t>skilled</t>
  </si>
  <si>
    <t>skillful</t>
  </si>
  <si>
    <t>skillfully</t>
  </si>
  <si>
    <t>skimpy</t>
  </si>
  <si>
    <t>skinny</t>
  </si>
  <si>
    <t>skittish</t>
  </si>
  <si>
    <t>skittishly</t>
  </si>
  <si>
    <t>skulk</t>
  </si>
  <si>
    <t>slack</t>
  </si>
  <si>
    <t>slammin</t>
  </si>
  <si>
    <t>slander</t>
  </si>
  <si>
    <t>slanderer</t>
  </si>
  <si>
    <t>slanderous</t>
  </si>
  <si>
    <t>slanderously</t>
  </si>
  <si>
    <t>slanders</t>
  </si>
  <si>
    <t>slap</t>
  </si>
  <si>
    <t>slashing</t>
  </si>
  <si>
    <t>slaughter</t>
  </si>
  <si>
    <t>slaughtered</t>
  </si>
  <si>
    <t>slave</t>
  </si>
  <si>
    <t>slaves</t>
  </si>
  <si>
    <t>sleazy</t>
  </si>
  <si>
    <t>sleek</t>
  </si>
  <si>
    <t>slick</t>
  </si>
  <si>
    <t>slime</t>
  </si>
  <si>
    <t>slog</t>
  </si>
  <si>
    <t>slogged</t>
  </si>
  <si>
    <t>slogging</t>
  </si>
  <si>
    <t>slogs</t>
  </si>
  <si>
    <t>sloooooooooooooow</t>
  </si>
  <si>
    <t>sloooow</t>
  </si>
  <si>
    <t>slooow</t>
  </si>
  <si>
    <t>sloow</t>
  </si>
  <si>
    <t>sloppily</t>
  </si>
  <si>
    <t>sloppy</t>
  </si>
  <si>
    <t>sloth</t>
  </si>
  <si>
    <t>slothful</t>
  </si>
  <si>
    <t>slow</t>
  </si>
  <si>
    <t>slow-moving</t>
  </si>
  <si>
    <t>slowed</t>
  </si>
  <si>
    <t>slower</t>
  </si>
  <si>
    <t>slowest</t>
  </si>
  <si>
    <t>slowly</t>
  </si>
  <si>
    <t>sloww</t>
  </si>
  <si>
    <t>slowww</t>
  </si>
  <si>
    <t>slowwww</t>
  </si>
  <si>
    <t>slug</t>
  </si>
  <si>
    <t>sluggish</t>
  </si>
  <si>
    <t>slump</t>
  </si>
  <si>
    <t>slumping</t>
  </si>
  <si>
    <t>slumpping</t>
  </si>
  <si>
    <t>slur</t>
  </si>
  <si>
    <t>slut</t>
  </si>
  <si>
    <t>sluts</t>
  </si>
  <si>
    <t>sly</t>
  </si>
  <si>
    <t>smack</t>
  </si>
  <si>
    <t>smallish</t>
  </si>
  <si>
    <t>smart</t>
  </si>
  <si>
    <t>smarter</t>
  </si>
  <si>
    <t>smartest</t>
  </si>
  <si>
    <t>smartly</t>
  </si>
  <si>
    <t>smash</t>
  </si>
  <si>
    <t>smear</t>
  </si>
  <si>
    <t>smell</t>
  </si>
  <si>
    <t>smelled</t>
  </si>
  <si>
    <t>smelling</t>
  </si>
  <si>
    <t>smells</t>
  </si>
  <si>
    <t>smelly</t>
  </si>
  <si>
    <t>smelt</t>
  </si>
  <si>
    <t>smile</t>
  </si>
  <si>
    <t>smiles</t>
  </si>
  <si>
    <t>smiling</t>
  </si>
  <si>
    <t>smilingly</t>
  </si>
  <si>
    <t>smitten</t>
  </si>
  <si>
    <t>smoke</t>
  </si>
  <si>
    <t>smokescreen</t>
  </si>
  <si>
    <t>smolder</t>
  </si>
  <si>
    <t>smoldering</t>
  </si>
  <si>
    <t>smooth</t>
  </si>
  <si>
    <t>smoother</t>
  </si>
  <si>
    <t>smoothes</t>
  </si>
  <si>
    <t>smoothest</t>
  </si>
  <si>
    <t>smoothly</t>
  </si>
  <si>
    <t>smother</t>
  </si>
  <si>
    <t>smoulder</t>
  </si>
  <si>
    <t>smouldering</t>
  </si>
  <si>
    <t>smudge</t>
  </si>
  <si>
    <t>smudged</t>
  </si>
  <si>
    <t>smudges</t>
  </si>
  <si>
    <t>smudging</t>
  </si>
  <si>
    <t>smug</t>
  </si>
  <si>
    <t>smugly</t>
  </si>
  <si>
    <t>smut</t>
  </si>
  <si>
    <t>smuttier</t>
  </si>
  <si>
    <t>smuttiest</t>
  </si>
  <si>
    <t>smutty</t>
  </si>
  <si>
    <t>snag</t>
  </si>
  <si>
    <t>snagged</t>
  </si>
  <si>
    <t>snagging</t>
  </si>
  <si>
    <t>snags</t>
  </si>
  <si>
    <t>snappish</t>
  </si>
  <si>
    <t>snappishly</t>
  </si>
  <si>
    <t>snappy</t>
  </si>
  <si>
    <t>snare</t>
  </si>
  <si>
    <t>snarky</t>
  </si>
  <si>
    <t>snarl</t>
  </si>
  <si>
    <t>snazzy</t>
  </si>
  <si>
    <t>sneak</t>
  </si>
  <si>
    <t>sneakily</t>
  </si>
  <si>
    <t>sneaky</t>
  </si>
  <si>
    <t>sneer</t>
  </si>
  <si>
    <t>sneering</t>
  </si>
  <si>
    <t>sneeringly</t>
  </si>
  <si>
    <t>snob</t>
  </si>
  <si>
    <t>snobbish</t>
  </si>
  <si>
    <t>snobby</t>
  </si>
  <si>
    <t>snobish</t>
  </si>
  <si>
    <t>snobs</t>
  </si>
  <si>
    <t>snub</t>
  </si>
  <si>
    <t>so-cal</t>
  </si>
  <si>
    <t>soapy</t>
  </si>
  <si>
    <t>sob</t>
  </si>
  <si>
    <t>sober</t>
  </si>
  <si>
    <t>sobering</t>
  </si>
  <si>
    <t>sociable</t>
  </si>
  <si>
    <t>soft</t>
  </si>
  <si>
    <t>softer</t>
  </si>
  <si>
    <t>solace</t>
  </si>
  <si>
    <t>solemn</t>
  </si>
  <si>
    <t>solicitous</t>
  </si>
  <si>
    <t>solicitously</t>
  </si>
  <si>
    <t>solicitude</t>
  </si>
  <si>
    <t>solid</t>
  </si>
  <si>
    <t>solidarity</t>
  </si>
  <si>
    <t>somber</t>
  </si>
  <si>
    <t>soothe</t>
  </si>
  <si>
    <t>soothingly</t>
  </si>
  <si>
    <t>sophisticated</t>
  </si>
  <si>
    <t>sore</t>
  </si>
  <si>
    <t>sorely</t>
  </si>
  <si>
    <t>soreness</t>
  </si>
  <si>
    <t>sorrow</t>
  </si>
  <si>
    <t>sorrowful</t>
  </si>
  <si>
    <t>sorrowfully</t>
  </si>
  <si>
    <t>sorry</t>
  </si>
  <si>
    <t>soulful</t>
  </si>
  <si>
    <t>soundly</t>
  </si>
  <si>
    <t>soundness</t>
  </si>
  <si>
    <t>sour</t>
  </si>
  <si>
    <t>sourly</t>
  </si>
  <si>
    <t>spacious</t>
  </si>
  <si>
    <t>spade</t>
  </si>
  <si>
    <t>spank</t>
  </si>
  <si>
    <t>sparkle</t>
  </si>
  <si>
    <t>sparkling</t>
  </si>
  <si>
    <t>spectacular</t>
  </si>
  <si>
    <t>spectacularly</t>
  </si>
  <si>
    <t>speedily</t>
  </si>
  <si>
    <t>speedy</t>
  </si>
  <si>
    <t>spellbind</t>
  </si>
  <si>
    <t>spellbinding</t>
  </si>
  <si>
    <t>spellbindingly</t>
  </si>
  <si>
    <t>spellbound</t>
  </si>
  <si>
    <t>spendy</t>
  </si>
  <si>
    <t>spew</t>
  </si>
  <si>
    <t>spewed</t>
  </si>
  <si>
    <t>spewing</t>
  </si>
  <si>
    <t>spews</t>
  </si>
  <si>
    <t>spilling</t>
  </si>
  <si>
    <t>spinster</t>
  </si>
  <si>
    <t>spirited</t>
  </si>
  <si>
    <t>spiritless</t>
  </si>
  <si>
    <t>spiritual</t>
  </si>
  <si>
    <t>spite</t>
  </si>
  <si>
    <t>spiteful</t>
  </si>
  <si>
    <t>spitefully</t>
  </si>
  <si>
    <t>spitefulness</t>
  </si>
  <si>
    <t>splatter</t>
  </si>
  <si>
    <t>splendid</t>
  </si>
  <si>
    <t>splendidly</t>
  </si>
  <si>
    <t>splendor</t>
  </si>
  <si>
    <t>split</t>
  </si>
  <si>
    <t>splitting</t>
  </si>
  <si>
    <t>spoil</t>
  </si>
  <si>
    <t>spoilage</t>
  </si>
  <si>
    <t>spoilages</t>
  </si>
  <si>
    <t>spoiled</t>
  </si>
  <si>
    <t>spoilled</t>
  </si>
  <si>
    <t>spoils</t>
  </si>
  <si>
    <t>spontaneous</t>
  </si>
  <si>
    <t>spook</t>
  </si>
  <si>
    <t>spookier</t>
  </si>
  <si>
    <t>spookiest</t>
  </si>
  <si>
    <t>spookily</t>
  </si>
  <si>
    <t>spooky</t>
  </si>
  <si>
    <t>spoon-fed</t>
  </si>
  <si>
    <t>spoon-feed</t>
  </si>
  <si>
    <t>spoonfed</t>
  </si>
  <si>
    <t>sporadic</t>
  </si>
  <si>
    <t>sporty</t>
  </si>
  <si>
    <t>spotless</t>
  </si>
  <si>
    <t>spotty</t>
  </si>
  <si>
    <t>sprightly</t>
  </si>
  <si>
    <t>spurious</t>
  </si>
  <si>
    <t>spurn</t>
  </si>
  <si>
    <t>sputter</t>
  </si>
  <si>
    <t>squabble</t>
  </si>
  <si>
    <t>squabbling</t>
  </si>
  <si>
    <t>squander</t>
  </si>
  <si>
    <t>squash</t>
  </si>
  <si>
    <t>squeak</t>
  </si>
  <si>
    <t>squeaks</t>
  </si>
  <si>
    <t>squeaky</t>
  </si>
  <si>
    <t>squeal</t>
  </si>
  <si>
    <t>squealing</t>
  </si>
  <si>
    <t>squeals</t>
  </si>
  <si>
    <t>squirm</t>
  </si>
  <si>
    <t>stab</t>
  </si>
  <si>
    <t>stability</t>
  </si>
  <si>
    <t>stabilize</t>
  </si>
  <si>
    <t>stable</t>
  </si>
  <si>
    <t>stagnant</t>
  </si>
  <si>
    <t>stagnate</t>
  </si>
  <si>
    <t>stagnation</t>
  </si>
  <si>
    <t>staid</t>
  </si>
  <si>
    <t>stain</t>
  </si>
  <si>
    <t>stainless</t>
  </si>
  <si>
    <t>stains</t>
  </si>
  <si>
    <t>stale</t>
  </si>
  <si>
    <t>stalemate</t>
  </si>
  <si>
    <t>stall</t>
  </si>
  <si>
    <t>stalls</t>
  </si>
  <si>
    <t>stammer</t>
  </si>
  <si>
    <t>stampede</t>
  </si>
  <si>
    <t>standout</t>
  </si>
  <si>
    <t>standstill</t>
  </si>
  <si>
    <t>stark</t>
  </si>
  <si>
    <t>starkly</t>
  </si>
  <si>
    <t>startle</t>
  </si>
  <si>
    <t>startling</t>
  </si>
  <si>
    <t>startlingly</t>
  </si>
  <si>
    <t>starvation</t>
  </si>
  <si>
    <t>starve</t>
  </si>
  <si>
    <t>state-of-the-art</t>
  </si>
  <si>
    <t>stately</t>
  </si>
  <si>
    <t>static</t>
  </si>
  <si>
    <t>statuesque</t>
  </si>
  <si>
    <t>staunch</t>
  </si>
  <si>
    <t>staunchly</t>
  </si>
  <si>
    <t>staunchness</t>
  </si>
  <si>
    <t>steadfast</t>
  </si>
  <si>
    <t>steadfastly</t>
  </si>
  <si>
    <t>steadfastness</t>
  </si>
  <si>
    <t>steadiest</t>
  </si>
  <si>
    <t>steadiness</t>
  </si>
  <si>
    <t>steady</t>
  </si>
  <si>
    <t>steal</t>
  </si>
  <si>
    <t>stealing</t>
  </si>
  <si>
    <t>steals</t>
  </si>
  <si>
    <t>steep</t>
  </si>
  <si>
    <t>steeply</t>
  </si>
  <si>
    <t>stellar</t>
  </si>
  <si>
    <t>stellarly</t>
  </si>
  <si>
    <t>stench</t>
  </si>
  <si>
    <t>stereotype</t>
  </si>
  <si>
    <t>stereotypical</t>
  </si>
  <si>
    <t>stereotypically</t>
  </si>
  <si>
    <t>stern</t>
  </si>
  <si>
    <t>stew</t>
  </si>
  <si>
    <t>sticky</t>
  </si>
  <si>
    <t>stiff</t>
  </si>
  <si>
    <t>stiffness</t>
  </si>
  <si>
    <t>stifle</t>
  </si>
  <si>
    <t>stifling</t>
  </si>
  <si>
    <t>stiflingly</t>
  </si>
  <si>
    <t>stigma</t>
  </si>
  <si>
    <t>stigmatize</t>
  </si>
  <si>
    <t>stimulate</t>
  </si>
  <si>
    <t>stimulates</t>
  </si>
  <si>
    <t>stimulating</t>
  </si>
  <si>
    <t>stimulative</t>
  </si>
  <si>
    <t>sting</t>
  </si>
  <si>
    <t>stinging</t>
  </si>
  <si>
    <t>stingingly</t>
  </si>
  <si>
    <t>stingy</t>
  </si>
  <si>
    <t>stink</t>
  </si>
  <si>
    <t>stinks</t>
  </si>
  <si>
    <t>stirringly</t>
  </si>
  <si>
    <t>stodgy</t>
  </si>
  <si>
    <t>stole</t>
  </si>
  <si>
    <t>stolen</t>
  </si>
  <si>
    <t>stooge</t>
  </si>
  <si>
    <t>stooges</t>
  </si>
  <si>
    <t>stormy</t>
  </si>
  <si>
    <t>straggle</t>
  </si>
  <si>
    <t>straggler</t>
  </si>
  <si>
    <t>straighten</t>
  </si>
  <si>
    <t>straightforward</t>
  </si>
  <si>
    <t>strain</t>
  </si>
  <si>
    <t>strained</t>
  </si>
  <si>
    <t>straining</t>
  </si>
  <si>
    <t>strange</t>
  </si>
  <si>
    <t>strangely</t>
  </si>
  <si>
    <t>stranger</t>
  </si>
  <si>
    <t>strangest</t>
  </si>
  <si>
    <t>strangle</t>
  </si>
  <si>
    <t>streaky</t>
  </si>
  <si>
    <t>streamlined</t>
  </si>
  <si>
    <t>strenuous</t>
  </si>
  <si>
    <t>stress</t>
  </si>
  <si>
    <t>stresses</t>
  </si>
  <si>
    <t>stressful</t>
  </si>
  <si>
    <t>stressfully</t>
  </si>
  <si>
    <t>stricken</t>
  </si>
  <si>
    <t>strict</t>
  </si>
  <si>
    <t>strictly</t>
  </si>
  <si>
    <t>strident</t>
  </si>
  <si>
    <t>stridently</t>
  </si>
  <si>
    <t>strife</t>
  </si>
  <si>
    <t>strike</t>
  </si>
  <si>
    <t>striking</t>
  </si>
  <si>
    <t>strikingly</t>
  </si>
  <si>
    <t>stringent</t>
  </si>
  <si>
    <t>stringently</t>
  </si>
  <si>
    <t>striving</t>
  </si>
  <si>
    <t>strong</t>
  </si>
  <si>
    <t>stronger</t>
  </si>
  <si>
    <t>strongest</t>
  </si>
  <si>
    <t>struck</t>
  </si>
  <si>
    <t>struggle</t>
  </si>
  <si>
    <t>struggled</t>
  </si>
  <si>
    <t>struggles</t>
  </si>
  <si>
    <t>struggling</t>
  </si>
  <si>
    <t>strut</t>
  </si>
  <si>
    <t>stubborn</t>
  </si>
  <si>
    <t>stubbornly</t>
  </si>
  <si>
    <t>stubbornness</t>
  </si>
  <si>
    <t>stuck</t>
  </si>
  <si>
    <t>stuffy</t>
  </si>
  <si>
    <t>stumble</t>
  </si>
  <si>
    <t>stumbled</t>
  </si>
  <si>
    <t>stumbles</t>
  </si>
  <si>
    <t>stump</t>
  </si>
  <si>
    <t>stumped</t>
  </si>
  <si>
    <t>stumps</t>
  </si>
  <si>
    <t>stun</t>
  </si>
  <si>
    <t>stunned</t>
  </si>
  <si>
    <t>stunning</t>
  </si>
  <si>
    <t>stunningly</t>
  </si>
  <si>
    <t>stunt</t>
  </si>
  <si>
    <t>stunted</t>
  </si>
  <si>
    <t>stupendous</t>
  </si>
  <si>
    <t>stupendously</t>
  </si>
  <si>
    <t>stupid</t>
  </si>
  <si>
    <t>stupidest</t>
  </si>
  <si>
    <t>stupidity</t>
  </si>
  <si>
    <t>stupidly</t>
  </si>
  <si>
    <t>stupified</t>
  </si>
  <si>
    <t>stupify</t>
  </si>
  <si>
    <t>stupor</t>
  </si>
  <si>
    <t>sturdier</t>
  </si>
  <si>
    <t>sturdy</t>
  </si>
  <si>
    <t>stutter</t>
  </si>
  <si>
    <t>stuttered</t>
  </si>
  <si>
    <t>stuttering</t>
  </si>
  <si>
    <t>stutters</t>
  </si>
  <si>
    <t>sty</t>
  </si>
  <si>
    <t>stylish</t>
  </si>
  <si>
    <t>stylishly</t>
  </si>
  <si>
    <t>stylized</t>
  </si>
  <si>
    <t>stymied</t>
  </si>
  <si>
    <t>suave</t>
  </si>
  <si>
    <t>suavely</t>
  </si>
  <si>
    <t>sub-par</t>
  </si>
  <si>
    <t>subdued</t>
  </si>
  <si>
    <t>subjected</t>
  </si>
  <si>
    <t>subjection</t>
  </si>
  <si>
    <t>subjugate</t>
  </si>
  <si>
    <t>subjugation</t>
  </si>
  <si>
    <t>sublime</t>
  </si>
  <si>
    <t>submissive</t>
  </si>
  <si>
    <t>subordinate</t>
  </si>
  <si>
    <t>subpoena</t>
  </si>
  <si>
    <t>subpoenas</t>
  </si>
  <si>
    <t>subservience</t>
  </si>
  <si>
    <t>subservient</t>
  </si>
  <si>
    <t>subsidize</t>
  </si>
  <si>
    <t>subsidized</t>
  </si>
  <si>
    <t>subsidizes</t>
  </si>
  <si>
    <t>subsidizing</t>
  </si>
  <si>
    <t>substandard</t>
  </si>
  <si>
    <t>substantive</t>
  </si>
  <si>
    <t>subtract</t>
  </si>
  <si>
    <t>subversion</t>
  </si>
  <si>
    <t>subversive</t>
  </si>
  <si>
    <t>subversively</t>
  </si>
  <si>
    <t>subvert</t>
  </si>
  <si>
    <t>succeed</t>
  </si>
  <si>
    <t>succeeded</t>
  </si>
  <si>
    <t>succeeding</t>
  </si>
  <si>
    <t>succeeds</t>
  </si>
  <si>
    <t>succes</t>
  </si>
  <si>
    <t>success</t>
  </si>
  <si>
    <t>successes</t>
  </si>
  <si>
    <t>successful</t>
  </si>
  <si>
    <t>successfully</t>
  </si>
  <si>
    <t>succumb</t>
  </si>
  <si>
    <t>suck</t>
  </si>
  <si>
    <t>sucked</t>
  </si>
  <si>
    <t>sucker</t>
  </si>
  <si>
    <t>sucks</t>
  </si>
  <si>
    <t>sucky</t>
  </si>
  <si>
    <t>sue</t>
  </si>
  <si>
    <t>sued</t>
  </si>
  <si>
    <t>sueing</t>
  </si>
  <si>
    <t>sues</t>
  </si>
  <si>
    <t>suffer</t>
  </si>
  <si>
    <t>suffered</t>
  </si>
  <si>
    <t>sufferer</t>
  </si>
  <si>
    <t>sufferers</t>
  </si>
  <si>
    <t>suffering</t>
  </si>
  <si>
    <t>suffers</t>
  </si>
  <si>
    <t>suffice</t>
  </si>
  <si>
    <t>sufficed</t>
  </si>
  <si>
    <t>suffices</t>
  </si>
  <si>
    <t>sufficient</t>
  </si>
  <si>
    <t>sufficiently</t>
  </si>
  <si>
    <t>suffocate</t>
  </si>
  <si>
    <t>sugar-coat</t>
  </si>
  <si>
    <t>sugar-coated</t>
  </si>
  <si>
    <t>sugarcoated</t>
  </si>
  <si>
    <t>suicidal</t>
  </si>
  <si>
    <t>suicide</t>
  </si>
  <si>
    <t>suitable</t>
  </si>
  <si>
    <t>sulk</t>
  </si>
  <si>
    <t>sullen</t>
  </si>
  <si>
    <t>sully</t>
  </si>
  <si>
    <t>sumptuous</t>
  </si>
  <si>
    <t>sumptuously</t>
  </si>
  <si>
    <t>sumptuousness</t>
  </si>
  <si>
    <t>sunder</t>
  </si>
  <si>
    <t>sunk</t>
  </si>
  <si>
    <t>sunken</t>
  </si>
  <si>
    <t>super</t>
  </si>
  <si>
    <t>superb</t>
  </si>
  <si>
    <t>superbly</t>
  </si>
  <si>
    <t>superficial</t>
  </si>
  <si>
    <t>superficiality</t>
  </si>
  <si>
    <t>superficially</t>
  </si>
  <si>
    <t>superfluous</t>
  </si>
  <si>
    <t>superior</t>
  </si>
  <si>
    <t>superiority</t>
  </si>
  <si>
    <t>superstition</t>
  </si>
  <si>
    <t>superstitious</t>
  </si>
  <si>
    <t>supple</t>
  </si>
  <si>
    <t>support</t>
  </si>
  <si>
    <t>supported</t>
  </si>
  <si>
    <t>supporter</t>
  </si>
  <si>
    <t>supporting</t>
  </si>
  <si>
    <t>supportive</t>
  </si>
  <si>
    <t>supports</t>
  </si>
  <si>
    <t>suppress</t>
  </si>
  <si>
    <t>suppression</t>
  </si>
  <si>
    <t>supremacy</t>
  </si>
  <si>
    <t>supreme</t>
  </si>
  <si>
    <t>supremely</t>
  </si>
  <si>
    <t>supurb</t>
  </si>
  <si>
    <t>supurbly</t>
  </si>
  <si>
    <t>surmount</t>
  </si>
  <si>
    <t>surpass</t>
  </si>
  <si>
    <t>surreal</t>
  </si>
  <si>
    <t>surrender</t>
  </si>
  <si>
    <t>survival</t>
  </si>
  <si>
    <t>survivor</t>
  </si>
  <si>
    <t>susceptible</t>
  </si>
  <si>
    <t>suspect</t>
  </si>
  <si>
    <t>suspicion</t>
  </si>
  <si>
    <t>suspicions</t>
  </si>
  <si>
    <t>suspicious</t>
  </si>
  <si>
    <t>suspiciously</t>
  </si>
  <si>
    <t>sustainability</t>
  </si>
  <si>
    <t>sustainable</t>
  </si>
  <si>
    <t>swagger</t>
  </si>
  <si>
    <t>swamped</t>
  </si>
  <si>
    <t>swank</t>
  </si>
  <si>
    <t>swankier</t>
  </si>
  <si>
    <t>swankiest</t>
  </si>
  <si>
    <t>swanky</t>
  </si>
  <si>
    <t>sweaty</t>
  </si>
  <si>
    <t>sweeping</t>
  </si>
  <si>
    <t>sweet</t>
  </si>
  <si>
    <t>sweeten</t>
  </si>
  <si>
    <t>sweetheart</t>
  </si>
  <si>
    <t>sweetly</t>
  </si>
  <si>
    <t>sweetness</t>
  </si>
  <si>
    <t>swelled</t>
  </si>
  <si>
    <t>swelling</t>
  </si>
  <si>
    <t>swift</t>
  </si>
  <si>
    <t>swiftness</t>
  </si>
  <si>
    <t>swindle</t>
  </si>
  <si>
    <t>swipe</t>
  </si>
  <si>
    <t>swollen</t>
  </si>
  <si>
    <t>symptom</t>
  </si>
  <si>
    <t>symptoms</t>
  </si>
  <si>
    <t>syndrome</t>
  </si>
  <si>
    <t>taboo</t>
  </si>
  <si>
    <t>tacky</t>
  </si>
  <si>
    <t>taint</t>
  </si>
  <si>
    <t>tainted</t>
  </si>
  <si>
    <t>talent</t>
  </si>
  <si>
    <t>talented</t>
  </si>
  <si>
    <t>talents</t>
  </si>
  <si>
    <t>tamper</t>
  </si>
  <si>
    <t>tangle</t>
  </si>
  <si>
    <t>tangled</t>
  </si>
  <si>
    <t>tangles</t>
  </si>
  <si>
    <t>tank</t>
  </si>
  <si>
    <t>tanked</t>
  </si>
  <si>
    <t>tanks</t>
  </si>
  <si>
    <t>tantalize</t>
  </si>
  <si>
    <t>tantalizing</t>
  </si>
  <si>
    <t>tantalizingly</t>
  </si>
  <si>
    <t>tantrum</t>
  </si>
  <si>
    <t>tardy</t>
  </si>
  <si>
    <t>tarnish</t>
  </si>
  <si>
    <t>tarnished</t>
  </si>
  <si>
    <t>tarnishes</t>
  </si>
  <si>
    <t>tarnishing</t>
  </si>
  <si>
    <t>tattered</t>
  </si>
  <si>
    <t>taunt</t>
  </si>
  <si>
    <t>taunting</t>
  </si>
  <si>
    <t>tauntingly</t>
  </si>
  <si>
    <t>taunts</t>
  </si>
  <si>
    <t>taut</t>
  </si>
  <si>
    <t>tawdry</t>
  </si>
  <si>
    <t>taxing</t>
  </si>
  <si>
    <t>tease</t>
  </si>
  <si>
    <t>teasingly</t>
  </si>
  <si>
    <t>tedious</t>
  </si>
  <si>
    <t>tediously</t>
  </si>
  <si>
    <t>temerity</t>
  </si>
  <si>
    <t>temper</t>
  </si>
  <si>
    <t>tempest</t>
  </si>
  <si>
    <t>tempt</t>
  </si>
  <si>
    <t>temptation</t>
  </si>
  <si>
    <t>tempting</t>
  </si>
  <si>
    <t>temptingly</t>
  </si>
  <si>
    <t>tenacious</t>
  </si>
  <si>
    <t>tenaciously</t>
  </si>
  <si>
    <t>tenacity</t>
  </si>
  <si>
    <t>tender</t>
  </si>
  <si>
    <t>tenderly</t>
  </si>
  <si>
    <t>tenderness</t>
  </si>
  <si>
    <t>tense</t>
  </si>
  <si>
    <t>tension</t>
  </si>
  <si>
    <t>tentative</t>
  </si>
  <si>
    <t>tentatively</t>
  </si>
  <si>
    <t>tenuous</t>
  </si>
  <si>
    <t>tenuously</t>
  </si>
  <si>
    <t>tepid</t>
  </si>
  <si>
    <t>terrible</t>
  </si>
  <si>
    <t>terribleness</t>
  </si>
  <si>
    <t>terribly</t>
  </si>
  <si>
    <t>terrific</t>
  </si>
  <si>
    <t>terrifically</t>
  </si>
  <si>
    <t>terror</t>
  </si>
  <si>
    <t>terror-genic</t>
  </si>
  <si>
    <t>terrorism</t>
  </si>
  <si>
    <t>terrorize</t>
  </si>
  <si>
    <t>testily</t>
  </si>
  <si>
    <t>testy</t>
  </si>
  <si>
    <t>tetchily</t>
  </si>
  <si>
    <t>tetchy</t>
  </si>
  <si>
    <t>thank</t>
  </si>
  <si>
    <t>thankful</t>
  </si>
  <si>
    <t>thankless</t>
  </si>
  <si>
    <t>thicker</t>
  </si>
  <si>
    <t>thinner</t>
  </si>
  <si>
    <t>thirst</t>
  </si>
  <si>
    <t>thorny</t>
  </si>
  <si>
    <t>thoughtful</t>
  </si>
  <si>
    <t>thoughtfully</t>
  </si>
  <si>
    <t>thoughtfulness</t>
  </si>
  <si>
    <t>thoughtless</t>
  </si>
  <si>
    <t>thoughtlessly</t>
  </si>
  <si>
    <t>thoughtlessness</t>
  </si>
  <si>
    <t>thrash</t>
  </si>
  <si>
    <t>threat</t>
  </si>
  <si>
    <t>threaten</t>
  </si>
  <si>
    <t>threatening</t>
  </si>
  <si>
    <t>threats</t>
  </si>
  <si>
    <t>threesome</t>
  </si>
  <si>
    <t>thrift</t>
  </si>
  <si>
    <t>thrifty</t>
  </si>
  <si>
    <t>thrill</t>
  </si>
  <si>
    <t>thrilled</t>
  </si>
  <si>
    <t>thrilling</t>
  </si>
  <si>
    <t>thrillingly</t>
  </si>
  <si>
    <t>thrills</t>
  </si>
  <si>
    <t>thrive</t>
  </si>
  <si>
    <t>thriving</t>
  </si>
  <si>
    <t>throb</t>
  </si>
  <si>
    <t>throbbed</t>
  </si>
  <si>
    <t>throbbing</t>
  </si>
  <si>
    <t>throbs</t>
  </si>
  <si>
    <t>throttle</t>
  </si>
  <si>
    <t>thug</t>
  </si>
  <si>
    <t>thumb-down</t>
  </si>
  <si>
    <t>thumb-up</t>
  </si>
  <si>
    <t>thumbs-down</t>
  </si>
  <si>
    <t>thumbs-up</t>
  </si>
  <si>
    <t>thwart</t>
  </si>
  <si>
    <t>tickle</t>
  </si>
  <si>
    <t>tidy</t>
  </si>
  <si>
    <t>time-consuming</t>
  </si>
  <si>
    <t>time-honored</t>
  </si>
  <si>
    <t>timely</t>
  </si>
  <si>
    <t>timid</t>
  </si>
  <si>
    <t>timidity</t>
  </si>
  <si>
    <t>timidly</t>
  </si>
  <si>
    <t>timidness</t>
  </si>
  <si>
    <t>tin-y</t>
  </si>
  <si>
    <t>tingle</t>
  </si>
  <si>
    <t>tingled</t>
  </si>
  <si>
    <t>tingling</t>
  </si>
  <si>
    <t>tired</t>
  </si>
  <si>
    <t>tiresome</t>
  </si>
  <si>
    <t>tiring</t>
  </si>
  <si>
    <t>tiringly</t>
  </si>
  <si>
    <t>titillate</t>
  </si>
  <si>
    <t>titillating</t>
  </si>
  <si>
    <t>titillatingly</t>
  </si>
  <si>
    <t>togetherness</t>
  </si>
  <si>
    <t>toil</t>
  </si>
  <si>
    <t>tolerable</t>
  </si>
  <si>
    <t>toll</t>
  </si>
  <si>
    <t>toll-free</t>
  </si>
  <si>
    <t>top</t>
  </si>
  <si>
    <t>top-heavy</t>
  </si>
  <si>
    <t>top-notch</t>
  </si>
  <si>
    <t>top-quality</t>
  </si>
  <si>
    <t>topnotch</t>
  </si>
  <si>
    <t>topple</t>
  </si>
  <si>
    <t>tops</t>
  </si>
  <si>
    <t>torment</t>
  </si>
  <si>
    <t>tormented</t>
  </si>
  <si>
    <t>torrent</t>
  </si>
  <si>
    <t>tortuous</t>
  </si>
  <si>
    <t>torture</t>
  </si>
  <si>
    <t>tortured</t>
  </si>
  <si>
    <t>tortures</t>
  </si>
  <si>
    <t>torturing</t>
  </si>
  <si>
    <t>torturous</t>
  </si>
  <si>
    <t>torturously</t>
  </si>
  <si>
    <t>totalitarian</t>
  </si>
  <si>
    <t>touchy</t>
  </si>
  <si>
    <t>tough</t>
  </si>
  <si>
    <t>tougher</t>
  </si>
  <si>
    <t>toughest</t>
  </si>
  <si>
    <t>toughness</t>
  </si>
  <si>
    <t>tout</t>
  </si>
  <si>
    <t>touted</t>
  </si>
  <si>
    <t>touts</t>
  </si>
  <si>
    <t>toxic</t>
  </si>
  <si>
    <t>traction</t>
  </si>
  <si>
    <t>traduce</t>
  </si>
  <si>
    <t>tragedy</t>
  </si>
  <si>
    <t>tragic</t>
  </si>
  <si>
    <t>tragically</t>
  </si>
  <si>
    <t>traitor</t>
  </si>
  <si>
    <t>traitorous</t>
  </si>
  <si>
    <t>traitorously</t>
  </si>
  <si>
    <t>tramp</t>
  </si>
  <si>
    <t>trample</t>
  </si>
  <si>
    <t>tranquil</t>
  </si>
  <si>
    <t>tranquility</t>
  </si>
  <si>
    <t>transgress</t>
  </si>
  <si>
    <t>transgression</t>
  </si>
  <si>
    <t>transparent</t>
  </si>
  <si>
    <t>trap</t>
  </si>
  <si>
    <t>traped</t>
  </si>
  <si>
    <t>trapped</t>
  </si>
  <si>
    <t>trash</t>
  </si>
  <si>
    <t>trashed</t>
  </si>
  <si>
    <t>trashy</t>
  </si>
  <si>
    <t>trauma</t>
  </si>
  <si>
    <t>traumatic</t>
  </si>
  <si>
    <t>traumatically</t>
  </si>
  <si>
    <t>traumatize</t>
  </si>
  <si>
    <t>traumatized</t>
  </si>
  <si>
    <t>travesties</t>
  </si>
  <si>
    <t>travesty</t>
  </si>
  <si>
    <t>treacherous</t>
  </si>
  <si>
    <t>treacherously</t>
  </si>
  <si>
    <t>treachery</t>
  </si>
  <si>
    <t>treason</t>
  </si>
  <si>
    <t>treasonous</t>
  </si>
  <si>
    <t>treasure</t>
  </si>
  <si>
    <t>tremendously</t>
  </si>
  <si>
    <t>trendy</t>
  </si>
  <si>
    <t>trick</t>
  </si>
  <si>
    <t>tricked</t>
  </si>
  <si>
    <t>trickery</t>
  </si>
  <si>
    <t>tricky</t>
  </si>
  <si>
    <t>triumph</t>
  </si>
  <si>
    <t>triumphal</t>
  </si>
  <si>
    <t>triumphant</t>
  </si>
  <si>
    <t>triumphantly</t>
  </si>
  <si>
    <t>trivial</t>
  </si>
  <si>
    <t>trivialize</t>
  </si>
  <si>
    <t>trivially</t>
  </si>
  <si>
    <t>trophy</t>
  </si>
  <si>
    <t>trouble</t>
  </si>
  <si>
    <t>trouble-free</t>
  </si>
  <si>
    <t>troubled</t>
  </si>
  <si>
    <t>troublemaker</t>
  </si>
  <si>
    <t>troubles</t>
  </si>
  <si>
    <t>troublesome</t>
  </si>
  <si>
    <t>troublesomely</t>
  </si>
  <si>
    <t>troubling</t>
  </si>
  <si>
    <t>troublingly</t>
  </si>
  <si>
    <t>truant</t>
  </si>
  <si>
    <t>trump</t>
  </si>
  <si>
    <t>trumpet</t>
  </si>
  <si>
    <t>trust</t>
  </si>
  <si>
    <t>trusted</t>
  </si>
  <si>
    <t>trusting</t>
  </si>
  <si>
    <t>trustingly</t>
  </si>
  <si>
    <t>trustworthiness</t>
  </si>
  <si>
    <t>trustworthy</t>
  </si>
  <si>
    <t>trusty</t>
  </si>
  <si>
    <t>truthful</t>
  </si>
  <si>
    <t>truthfully</t>
  </si>
  <si>
    <t>truthfulness</t>
  </si>
  <si>
    <t>tumble</t>
  </si>
  <si>
    <t>tumbled</t>
  </si>
  <si>
    <t>tumbles</t>
  </si>
  <si>
    <t>tumultuous</t>
  </si>
  <si>
    <t>turbulent</t>
  </si>
  <si>
    <t>turmoil</t>
  </si>
  <si>
    <t>twinkly</t>
  </si>
  <si>
    <t>twist</t>
  </si>
  <si>
    <t>twisted</t>
  </si>
  <si>
    <t>twists</t>
  </si>
  <si>
    <t>two-faced</t>
  </si>
  <si>
    <t>two-faces</t>
  </si>
  <si>
    <t>tyrannical</t>
  </si>
  <si>
    <t>tyrannically</t>
  </si>
  <si>
    <t>tyranny</t>
  </si>
  <si>
    <t>tyrant</t>
  </si>
  <si>
    <t>ugh</t>
  </si>
  <si>
    <t>uglier</t>
  </si>
  <si>
    <t>ugliest</t>
  </si>
  <si>
    <t>ugliness</t>
  </si>
  <si>
    <t>ugly</t>
  </si>
  <si>
    <t>ulterior</t>
  </si>
  <si>
    <t>ultimatum</t>
  </si>
  <si>
    <t>ultimatums</t>
  </si>
  <si>
    <t>ultra-crisp</t>
  </si>
  <si>
    <t>ultra-hardline</t>
  </si>
  <si>
    <t>un-viewable</t>
  </si>
  <si>
    <t>unabashed</t>
  </si>
  <si>
    <t>unabashedly</t>
  </si>
  <si>
    <t>unable</t>
  </si>
  <si>
    <t>unacceptable</t>
  </si>
  <si>
    <t>unacceptablely</t>
  </si>
  <si>
    <t>unacceptably</t>
  </si>
  <si>
    <t>unaccessible</t>
  </si>
  <si>
    <t>unaccustomed</t>
  </si>
  <si>
    <t>unachievable</t>
  </si>
  <si>
    <t>unaffected</t>
  </si>
  <si>
    <t>unaffordable</t>
  </si>
  <si>
    <t>unappealing</t>
  </si>
  <si>
    <t>unassailable</t>
  </si>
  <si>
    <t>unattractive</t>
  </si>
  <si>
    <t>unauthentic</t>
  </si>
  <si>
    <t>unavailable</t>
  </si>
  <si>
    <t>unavoidably</t>
  </si>
  <si>
    <t>unbearable</t>
  </si>
  <si>
    <t>unbearablely</t>
  </si>
  <si>
    <t>unbeatable</t>
  </si>
  <si>
    <t>unbelievable</t>
  </si>
  <si>
    <t>unbelievably</t>
  </si>
  <si>
    <t>unbiased</t>
  </si>
  <si>
    <t>unbound</t>
  </si>
  <si>
    <t>uncaring</t>
  </si>
  <si>
    <t>uncertain</t>
  </si>
  <si>
    <t>uncivil</t>
  </si>
  <si>
    <t>uncivilized</t>
  </si>
  <si>
    <t>unclean</t>
  </si>
  <si>
    <t>unclear</t>
  </si>
  <si>
    <t>uncollectible</t>
  </si>
  <si>
    <t>uncomfortable</t>
  </si>
  <si>
    <t>uncomfortably</t>
  </si>
  <si>
    <t>uncomfy</t>
  </si>
  <si>
    <t>uncompetitive</t>
  </si>
  <si>
    <t>uncomplicated</t>
  </si>
  <si>
    <t>uncompromising</t>
  </si>
  <si>
    <t>uncompromisingly</t>
  </si>
  <si>
    <t>unconditional</t>
  </si>
  <si>
    <t>unconfirmed</t>
  </si>
  <si>
    <t>unconstitutional</t>
  </si>
  <si>
    <t>uncontrolled</t>
  </si>
  <si>
    <t>unconvincing</t>
  </si>
  <si>
    <t>unconvincingly</t>
  </si>
  <si>
    <t>uncooperative</t>
  </si>
  <si>
    <t>uncouth</t>
  </si>
  <si>
    <t>uncreative</t>
  </si>
  <si>
    <t>undamaged</t>
  </si>
  <si>
    <t>undaunted</t>
  </si>
  <si>
    <t>undecided</t>
  </si>
  <si>
    <t>undefined</t>
  </si>
  <si>
    <t>undependability</t>
  </si>
  <si>
    <t>undependable</t>
  </si>
  <si>
    <t>undercut</t>
  </si>
  <si>
    <t>undercuts</t>
  </si>
  <si>
    <t>undercutting</t>
  </si>
  <si>
    <t>underdog</t>
  </si>
  <si>
    <t>underestimate</t>
  </si>
  <si>
    <t>underlings</t>
  </si>
  <si>
    <t>undermine</t>
  </si>
  <si>
    <t>undermined</t>
  </si>
  <si>
    <t>undermines</t>
  </si>
  <si>
    <t>undermining</t>
  </si>
  <si>
    <t>underpaid</t>
  </si>
  <si>
    <t>underpowered</t>
  </si>
  <si>
    <t>undersized</t>
  </si>
  <si>
    <t>understandable</t>
  </si>
  <si>
    <t>undesirable</t>
  </si>
  <si>
    <t>undetermined</t>
  </si>
  <si>
    <t>undid</t>
  </si>
  <si>
    <t>undignified</t>
  </si>
  <si>
    <t>undisputable</t>
  </si>
  <si>
    <t>undisputably</t>
  </si>
  <si>
    <t>undisputed</t>
  </si>
  <si>
    <t>undissolved</t>
  </si>
  <si>
    <t>undocumented</t>
  </si>
  <si>
    <t>undone</t>
  </si>
  <si>
    <t>undue</t>
  </si>
  <si>
    <t>unease</t>
  </si>
  <si>
    <t>uneasily</t>
  </si>
  <si>
    <t>uneasiness</t>
  </si>
  <si>
    <t>uneasy</t>
  </si>
  <si>
    <t>uneconomical</t>
  </si>
  <si>
    <t>unemployed</t>
  </si>
  <si>
    <t>unencumbered</t>
  </si>
  <si>
    <t>unequal</t>
  </si>
  <si>
    <t>unequivocal</t>
  </si>
  <si>
    <t>unequivocally</t>
  </si>
  <si>
    <t>unethical</t>
  </si>
  <si>
    <t>uneven</t>
  </si>
  <si>
    <t>uneventful</t>
  </si>
  <si>
    <t>unexpected</t>
  </si>
  <si>
    <t>unexpectedly</t>
  </si>
  <si>
    <t>unexplained</t>
  </si>
  <si>
    <t>unfairly</t>
  </si>
  <si>
    <t>unfaithful</t>
  </si>
  <si>
    <t>unfaithfully</t>
  </si>
  <si>
    <t>unfamiliar</t>
  </si>
  <si>
    <t>unfavorable</t>
  </si>
  <si>
    <t>unfazed</t>
  </si>
  <si>
    <t>unfeeling</t>
  </si>
  <si>
    <t>unfettered</t>
  </si>
  <si>
    <t>unfinished</t>
  </si>
  <si>
    <t>unfit</t>
  </si>
  <si>
    <t>unforeseen</t>
  </si>
  <si>
    <t>unforgettable</t>
  </si>
  <si>
    <t>unforgiving</t>
  </si>
  <si>
    <t>unfortunate</t>
  </si>
  <si>
    <t>unfortunately</t>
  </si>
  <si>
    <t>unfounded</t>
  </si>
  <si>
    <t>unfriendly</t>
  </si>
  <si>
    <t>unfulfilled</t>
  </si>
  <si>
    <t>unfunded</t>
  </si>
  <si>
    <t>ungovernable</t>
  </si>
  <si>
    <t>ungrateful</t>
  </si>
  <si>
    <t>unhappily</t>
  </si>
  <si>
    <t>unhappiness</t>
  </si>
  <si>
    <t>unhappy</t>
  </si>
  <si>
    <t>unhealthy</t>
  </si>
  <si>
    <t>unhelpful</t>
  </si>
  <si>
    <t>unilateralism</t>
  </si>
  <si>
    <t>unimaginable</t>
  </si>
  <si>
    <t>unimaginably</t>
  </si>
  <si>
    <t>unimportant</t>
  </si>
  <si>
    <t>uninformed</t>
  </si>
  <si>
    <t>uninsured</t>
  </si>
  <si>
    <t>unintelligible</t>
  </si>
  <si>
    <t>unintelligile</t>
  </si>
  <si>
    <t>unipolar</t>
  </si>
  <si>
    <t>unity</t>
  </si>
  <si>
    <t>unjust</t>
  </si>
  <si>
    <t>unjustifiable</t>
  </si>
  <si>
    <t>unjustifiably</t>
  </si>
  <si>
    <t>unjustified</t>
  </si>
  <si>
    <t>unjustly</t>
  </si>
  <si>
    <t>unkind</t>
  </si>
  <si>
    <t>unkindly</t>
  </si>
  <si>
    <t>unknown</t>
  </si>
  <si>
    <t>unlamentable</t>
  </si>
  <si>
    <t>unlamentably</t>
  </si>
  <si>
    <t>unlawful</t>
  </si>
  <si>
    <t>unlawfully</t>
  </si>
  <si>
    <t>unlawfulness</t>
  </si>
  <si>
    <t>unleash</t>
  </si>
  <si>
    <t>unlicensed</t>
  </si>
  <si>
    <t>unlikely</t>
  </si>
  <si>
    <t>unlimited</t>
  </si>
  <si>
    <t>unlucky</t>
  </si>
  <si>
    <t>unmatched</t>
  </si>
  <si>
    <t>unmoved</t>
  </si>
  <si>
    <t>unnatural</t>
  </si>
  <si>
    <t>unnaturally</t>
  </si>
  <si>
    <t>unnecessary</t>
  </si>
  <si>
    <t>unneeded</t>
  </si>
  <si>
    <t>unnerve</t>
  </si>
  <si>
    <t>unnerved</t>
  </si>
  <si>
    <t>unnerving</t>
  </si>
  <si>
    <t>unnervingly</t>
  </si>
  <si>
    <t>unnoticed</t>
  </si>
  <si>
    <t>unobserved</t>
  </si>
  <si>
    <t>unorthodox</t>
  </si>
  <si>
    <t>unorthodoxy</t>
  </si>
  <si>
    <t>unparalleled</t>
  </si>
  <si>
    <t>unpleasant</t>
  </si>
  <si>
    <t>unpleasantries</t>
  </si>
  <si>
    <t>unpopular</t>
  </si>
  <si>
    <t>unpredictable</t>
  </si>
  <si>
    <t>unprepared</t>
  </si>
  <si>
    <t>unproductive</t>
  </si>
  <si>
    <t>unprofitable</t>
  </si>
  <si>
    <t>unprove</t>
  </si>
  <si>
    <t>unproved</t>
  </si>
  <si>
    <t>unproven</t>
  </si>
  <si>
    <t>unproves</t>
  </si>
  <si>
    <t>unproving</t>
  </si>
  <si>
    <t>unqualified</t>
  </si>
  <si>
    <t>unquestionable</t>
  </si>
  <si>
    <t>unquestionably</t>
  </si>
  <si>
    <t>unravel</t>
  </si>
  <si>
    <t>unraveled</t>
  </si>
  <si>
    <t>unreachable</t>
  </si>
  <si>
    <t>unreadable</t>
  </si>
  <si>
    <t>unreal</t>
  </si>
  <si>
    <t>unrealistic</t>
  </si>
  <si>
    <t>unreasonable</t>
  </si>
  <si>
    <t>unreasonably</t>
  </si>
  <si>
    <t>unrelenting</t>
  </si>
  <si>
    <t>unrelentingly</t>
  </si>
  <si>
    <t>unreliability</t>
  </si>
  <si>
    <t>unreliable</t>
  </si>
  <si>
    <t>unresolved</t>
  </si>
  <si>
    <t>unresponsive</t>
  </si>
  <si>
    <t>unrest</t>
  </si>
  <si>
    <t>unrestricted</t>
  </si>
  <si>
    <t>unrivaled</t>
  </si>
  <si>
    <t>unruly</t>
  </si>
  <si>
    <t>unsafe</t>
  </si>
  <si>
    <t>unsatisfactory</t>
  </si>
  <si>
    <t>unsavory</t>
  </si>
  <si>
    <t>unscrupulous</t>
  </si>
  <si>
    <t>unscrupulously</t>
  </si>
  <si>
    <t>unsecure</t>
  </si>
  <si>
    <t>unseemly</t>
  </si>
  <si>
    <t>unselfish</t>
  </si>
  <si>
    <t>unsettle</t>
  </si>
  <si>
    <t>unsettled</t>
  </si>
  <si>
    <t>unsettling</t>
  </si>
  <si>
    <t>unsettlingly</t>
  </si>
  <si>
    <t>unskilled</t>
  </si>
  <si>
    <t>unsophisticated</t>
  </si>
  <si>
    <t>unsound</t>
  </si>
  <si>
    <t>unspeakable</t>
  </si>
  <si>
    <t>unspeakablely</t>
  </si>
  <si>
    <t>unspecified</t>
  </si>
  <si>
    <t>unstable</t>
  </si>
  <si>
    <t>unsteadily</t>
  </si>
  <si>
    <t>unsteadiness</t>
  </si>
  <si>
    <t>unsteady</t>
  </si>
  <si>
    <t>unsuccessful</t>
  </si>
  <si>
    <t>unsuccessfully</t>
  </si>
  <si>
    <t>unsupported</t>
  </si>
  <si>
    <t>unsupportive</t>
  </si>
  <si>
    <t>unsure</t>
  </si>
  <si>
    <t>unsuspecting</t>
  </si>
  <si>
    <t>unsustainable</t>
  </si>
  <si>
    <t>untenable</t>
  </si>
  <si>
    <t>untested</t>
  </si>
  <si>
    <t>unthinkable</t>
  </si>
  <si>
    <t>unthinkably</t>
  </si>
  <si>
    <t>untimely</t>
  </si>
  <si>
    <t>untouched</t>
  </si>
  <si>
    <t>untrue</t>
  </si>
  <si>
    <t>untrustworthy</t>
  </si>
  <si>
    <t>untruthful</t>
  </si>
  <si>
    <t>unusable</t>
  </si>
  <si>
    <t>unusably</t>
  </si>
  <si>
    <t>unuseable</t>
  </si>
  <si>
    <t>unuseably</t>
  </si>
  <si>
    <t>unusual</t>
  </si>
  <si>
    <t>unusually</t>
  </si>
  <si>
    <t>unviewable</t>
  </si>
  <si>
    <t>unwanted</t>
  </si>
  <si>
    <t>unwarranted</t>
  </si>
  <si>
    <t>unwatchable</t>
  </si>
  <si>
    <t>unwavering</t>
  </si>
  <si>
    <t>unwelcome</t>
  </si>
  <si>
    <t>unwell</t>
  </si>
  <si>
    <t>unwieldy</t>
  </si>
  <si>
    <t>unwilling</t>
  </si>
  <si>
    <t>unwillingly</t>
  </si>
  <si>
    <t>unwillingness</t>
  </si>
  <si>
    <t>unwise</t>
  </si>
  <si>
    <t>unwisely</t>
  </si>
  <si>
    <t>unworkable</t>
  </si>
  <si>
    <t>unworthy</t>
  </si>
  <si>
    <t>unyielding</t>
  </si>
  <si>
    <t>upbeat</t>
  </si>
  <si>
    <t>upbraid</t>
  </si>
  <si>
    <t>upgradable</t>
  </si>
  <si>
    <t>upgradeable</t>
  </si>
  <si>
    <t>upgraded</t>
  </si>
  <si>
    <t>upheaval</t>
  </si>
  <si>
    <t>upheld</t>
  </si>
  <si>
    <t>uphold</t>
  </si>
  <si>
    <t>uplift</t>
  </si>
  <si>
    <t>uplifting</t>
  </si>
  <si>
    <t>upliftingly</t>
  </si>
  <si>
    <t>upliftment</t>
  </si>
  <si>
    <t>uprising</t>
  </si>
  <si>
    <t>uproar</t>
  </si>
  <si>
    <t>uproarious</t>
  </si>
  <si>
    <t>uproariously</t>
  </si>
  <si>
    <t>uproarous</t>
  </si>
  <si>
    <t>uproarously</t>
  </si>
  <si>
    <t>uproot</t>
  </si>
  <si>
    <t>upscale</t>
  </si>
  <si>
    <t>upset</t>
  </si>
  <si>
    <t>upseting</t>
  </si>
  <si>
    <t>upsets</t>
  </si>
  <si>
    <t>upsetting</t>
  </si>
  <si>
    <t>upsettingly</t>
  </si>
  <si>
    <t>urgent</t>
  </si>
  <si>
    <t>usable</t>
  </si>
  <si>
    <t>useable</t>
  </si>
  <si>
    <t>useful</t>
  </si>
  <si>
    <t>useless</t>
  </si>
  <si>
    <t>user-friendly</t>
  </si>
  <si>
    <t>user-replaceable</t>
  </si>
  <si>
    <t>usurp</t>
  </si>
  <si>
    <t>usurper</t>
  </si>
  <si>
    <t>utterly</t>
  </si>
  <si>
    <t>vagrant</t>
  </si>
  <si>
    <t>vague</t>
  </si>
  <si>
    <t>vagueness</t>
  </si>
  <si>
    <t>vain</t>
  </si>
  <si>
    <t>vainly</t>
  </si>
  <si>
    <t>valiant</t>
  </si>
  <si>
    <t>valiantly</t>
  </si>
  <si>
    <t>valor</t>
  </si>
  <si>
    <t>valuable</t>
  </si>
  <si>
    <t>vanity</t>
  </si>
  <si>
    <t>variety</t>
  </si>
  <si>
    <t>vehement</t>
  </si>
  <si>
    <t>vehemently</t>
  </si>
  <si>
    <t>venerate</t>
  </si>
  <si>
    <t>vengeance</t>
  </si>
  <si>
    <t>vengeful</t>
  </si>
  <si>
    <t>vengefully</t>
  </si>
  <si>
    <t>vengefulness</t>
  </si>
  <si>
    <t>venom</t>
  </si>
  <si>
    <t>venomous</t>
  </si>
  <si>
    <t>venomously</t>
  </si>
  <si>
    <t>vent</t>
  </si>
  <si>
    <t>verifiable</t>
  </si>
  <si>
    <t>veritable</t>
  </si>
  <si>
    <t>versatile</t>
  </si>
  <si>
    <t>versatility</t>
  </si>
  <si>
    <t>vestiges</t>
  </si>
  <si>
    <t>vex</t>
  </si>
  <si>
    <t>vexation</t>
  </si>
  <si>
    <t>vexing</t>
  </si>
  <si>
    <t>vexingly</t>
  </si>
  <si>
    <t>vibrant</t>
  </si>
  <si>
    <t>vibrantly</t>
  </si>
  <si>
    <t>vibrate</t>
  </si>
  <si>
    <t>vibrated</t>
  </si>
  <si>
    <t>vibrates</t>
  </si>
  <si>
    <t>vibrating</t>
  </si>
  <si>
    <t>vibration</t>
  </si>
  <si>
    <t>vice</t>
  </si>
  <si>
    <t>vicious</t>
  </si>
  <si>
    <t>viciously</t>
  </si>
  <si>
    <t>viciousness</t>
  </si>
  <si>
    <t>victimize</t>
  </si>
  <si>
    <t>victorious</t>
  </si>
  <si>
    <t>victory</t>
  </si>
  <si>
    <t>viewable</t>
  </si>
  <si>
    <t>vigilance</t>
  </si>
  <si>
    <t>vigilant</t>
  </si>
  <si>
    <t>vile</t>
  </si>
  <si>
    <t>vileness</t>
  </si>
  <si>
    <t>vilify</t>
  </si>
  <si>
    <t>villainous</t>
  </si>
  <si>
    <t>villainously</t>
  </si>
  <si>
    <t>villains</t>
  </si>
  <si>
    <t>villian</t>
  </si>
  <si>
    <t>villianous</t>
  </si>
  <si>
    <t>villianously</t>
  </si>
  <si>
    <t>villify</t>
  </si>
  <si>
    <t>vindictive</t>
  </si>
  <si>
    <t>vindictively</t>
  </si>
  <si>
    <t>vindictiveness</t>
  </si>
  <si>
    <t>violate</t>
  </si>
  <si>
    <t>violation</t>
  </si>
  <si>
    <t>violator</t>
  </si>
  <si>
    <t>violators</t>
  </si>
  <si>
    <t>violent</t>
  </si>
  <si>
    <t>violently</t>
  </si>
  <si>
    <t>viper</t>
  </si>
  <si>
    <t>virtue</t>
  </si>
  <si>
    <t>virtuous</t>
  </si>
  <si>
    <t>virtuously</t>
  </si>
  <si>
    <t>virulence</t>
  </si>
  <si>
    <t>virulent</t>
  </si>
  <si>
    <t>virulently</t>
  </si>
  <si>
    <t>virus</t>
  </si>
  <si>
    <t>visionary</t>
  </si>
  <si>
    <t>vivacious</t>
  </si>
  <si>
    <t>vivid</t>
  </si>
  <si>
    <t>vociferous</t>
  </si>
  <si>
    <t>vociferously</t>
  </si>
  <si>
    <t>volatile</t>
  </si>
  <si>
    <t>volatility</t>
  </si>
  <si>
    <t>vomit</t>
  </si>
  <si>
    <t>vomited</t>
  </si>
  <si>
    <t>vomiting</t>
  </si>
  <si>
    <t>vomits</t>
  </si>
  <si>
    <t>vouch</t>
  </si>
  <si>
    <t>vouchsafe</t>
  </si>
  <si>
    <t>vulgar</t>
  </si>
  <si>
    <t>vulnerable</t>
  </si>
  <si>
    <t>wack</t>
  </si>
  <si>
    <t>wail</t>
  </si>
  <si>
    <t>wallow</t>
  </si>
  <si>
    <t>wane</t>
  </si>
  <si>
    <t>waning</t>
  </si>
  <si>
    <t>wanton</t>
  </si>
  <si>
    <t>war-like</t>
  </si>
  <si>
    <t>warily</t>
  </si>
  <si>
    <t>wariness</t>
  </si>
  <si>
    <t>warlike</t>
  </si>
  <si>
    <t>warm</t>
  </si>
  <si>
    <t>warmer</t>
  </si>
  <si>
    <t>warmhearted</t>
  </si>
  <si>
    <t>warmly</t>
  </si>
  <si>
    <t>warmth</t>
  </si>
  <si>
    <t>warned</t>
  </si>
  <si>
    <t>warning</t>
  </si>
  <si>
    <t>warp</t>
  </si>
  <si>
    <t>warped</t>
  </si>
  <si>
    <t>wary</t>
  </si>
  <si>
    <t>washed-out</t>
  </si>
  <si>
    <t>waste</t>
  </si>
  <si>
    <t>wasted</t>
  </si>
  <si>
    <t>wasteful</t>
  </si>
  <si>
    <t>wastefulness</t>
  </si>
  <si>
    <t>wasting</t>
  </si>
  <si>
    <t>water-down</t>
  </si>
  <si>
    <t>watered-down</t>
  </si>
  <si>
    <t>wayward</t>
  </si>
  <si>
    <t>weak</t>
  </si>
  <si>
    <t>weaken</t>
  </si>
  <si>
    <t>weakening</t>
  </si>
  <si>
    <t>weaker</t>
  </si>
  <si>
    <t>weakness</t>
  </si>
  <si>
    <t>weaknesses</t>
  </si>
  <si>
    <t>wealthy</t>
  </si>
  <si>
    <t>weariness</t>
  </si>
  <si>
    <t>wearisome</t>
  </si>
  <si>
    <t>weary</t>
  </si>
  <si>
    <t>wedge</t>
  </si>
  <si>
    <t>weed</t>
  </si>
  <si>
    <t>weep</t>
  </si>
  <si>
    <t>weird</t>
  </si>
  <si>
    <t>weirdly</t>
  </si>
  <si>
    <t>welcome</t>
  </si>
  <si>
    <t>well</t>
  </si>
  <si>
    <t>well-backlit</t>
  </si>
  <si>
    <t>well-balanced</t>
  </si>
  <si>
    <t>well-behaved</t>
  </si>
  <si>
    <t>well-being</t>
  </si>
  <si>
    <t>well-bred</t>
  </si>
  <si>
    <t>well-connected</t>
  </si>
  <si>
    <t>well-educated</t>
  </si>
  <si>
    <t>well-established</t>
  </si>
  <si>
    <t>well-informed</t>
  </si>
  <si>
    <t>well-intentioned</t>
  </si>
  <si>
    <t>well-known</t>
  </si>
  <si>
    <t>well-made</t>
  </si>
  <si>
    <t>well-managed</t>
  </si>
  <si>
    <t>well-mannered</t>
  </si>
  <si>
    <t>well-positioned</t>
  </si>
  <si>
    <t>well-received</t>
  </si>
  <si>
    <t>well-regarded</t>
  </si>
  <si>
    <t>well-rounded</t>
  </si>
  <si>
    <t>well-run</t>
  </si>
  <si>
    <t>well-wishers</t>
  </si>
  <si>
    <t>wellbeing</t>
  </si>
  <si>
    <t>wheedle</t>
  </si>
  <si>
    <t>whimper</t>
  </si>
  <si>
    <t>whine</t>
  </si>
  <si>
    <t>whining</t>
  </si>
  <si>
    <t>whiny</t>
  </si>
  <si>
    <t>whips</t>
  </si>
  <si>
    <t>whoa</t>
  </si>
  <si>
    <t>wholeheartedly</t>
  </si>
  <si>
    <t>wholesome</t>
  </si>
  <si>
    <t>whooa</t>
  </si>
  <si>
    <t>whoooa</t>
  </si>
  <si>
    <t>whore</t>
  </si>
  <si>
    <t>whores</t>
  </si>
  <si>
    <t>wicked</t>
  </si>
  <si>
    <t>wickedly</t>
  </si>
  <si>
    <t>wickedness</t>
  </si>
  <si>
    <t>wieldy</t>
  </si>
  <si>
    <t>wild</t>
  </si>
  <si>
    <t>wildly</t>
  </si>
  <si>
    <t>wiles</t>
  </si>
  <si>
    <t>willing</t>
  </si>
  <si>
    <t>willingly</t>
  </si>
  <si>
    <t>willingness</t>
  </si>
  <si>
    <t>wilt</t>
  </si>
  <si>
    <t>wily</t>
  </si>
  <si>
    <t>wimpy</t>
  </si>
  <si>
    <t>win</t>
  </si>
  <si>
    <t>wince</t>
  </si>
  <si>
    <t>windfall</t>
  </si>
  <si>
    <t>winnable</t>
  </si>
  <si>
    <t>winner</t>
  </si>
  <si>
    <t>winners</t>
  </si>
  <si>
    <t>winning</t>
  </si>
  <si>
    <t>wins</t>
  </si>
  <si>
    <t>wisdom</t>
  </si>
  <si>
    <t>wise</t>
  </si>
  <si>
    <t>wisely</t>
  </si>
  <si>
    <t>witty</t>
  </si>
  <si>
    <t>wobble</t>
  </si>
  <si>
    <t>wobbled</t>
  </si>
  <si>
    <t>wobbles</t>
  </si>
  <si>
    <t>woe</t>
  </si>
  <si>
    <t>woebegone</t>
  </si>
  <si>
    <t>woeful</t>
  </si>
  <si>
    <t>woefully</t>
  </si>
  <si>
    <t>womanizer</t>
  </si>
  <si>
    <t>womanizing</t>
  </si>
  <si>
    <t>won</t>
  </si>
  <si>
    <t>wonder</t>
  </si>
  <si>
    <t>wonderful</t>
  </si>
  <si>
    <t>wonderfully</t>
  </si>
  <si>
    <t>wonderous</t>
  </si>
  <si>
    <t>wonderously</t>
  </si>
  <si>
    <t>wonders</t>
  </si>
  <si>
    <t>wondrous</t>
  </si>
  <si>
    <t>woo</t>
  </si>
  <si>
    <t>work</t>
  </si>
  <si>
    <t>workable</t>
  </si>
  <si>
    <t>worked</t>
  </si>
  <si>
    <t>works</t>
  </si>
  <si>
    <t>world-famous</t>
  </si>
  <si>
    <t>worn</t>
  </si>
  <si>
    <t>worried</t>
  </si>
  <si>
    <t>worriedly</t>
  </si>
  <si>
    <t>worrier</t>
  </si>
  <si>
    <t>worries</t>
  </si>
  <si>
    <t>worrisome</t>
  </si>
  <si>
    <t>worry</t>
  </si>
  <si>
    <t>worrying</t>
  </si>
  <si>
    <t>worryingly</t>
  </si>
  <si>
    <t>worse</t>
  </si>
  <si>
    <t>worsen</t>
  </si>
  <si>
    <t>worsening</t>
  </si>
  <si>
    <t>worst</t>
  </si>
  <si>
    <t>worth</t>
  </si>
  <si>
    <t>worth-while</t>
  </si>
  <si>
    <t>worthiness</t>
  </si>
  <si>
    <t>worthless</t>
  </si>
  <si>
    <t>worthlessly</t>
  </si>
  <si>
    <t>worthlessness</t>
  </si>
  <si>
    <t>worthwhile</t>
  </si>
  <si>
    <t>worthy</t>
  </si>
  <si>
    <t>wound</t>
  </si>
  <si>
    <t>wounds</t>
  </si>
  <si>
    <t>wow</t>
  </si>
  <si>
    <t>wowed</t>
  </si>
  <si>
    <t>wowing</t>
  </si>
  <si>
    <t>wows</t>
  </si>
  <si>
    <t>wrangle</t>
  </si>
  <si>
    <t>wrath</t>
  </si>
  <si>
    <t>wreak</t>
  </si>
  <si>
    <t>wreaked</t>
  </si>
  <si>
    <t>wreaks</t>
  </si>
  <si>
    <t>wreck</t>
  </si>
  <si>
    <t>wrest</t>
  </si>
  <si>
    <t>wrestle</t>
  </si>
  <si>
    <t>wretch</t>
  </si>
  <si>
    <t>wretched</t>
  </si>
  <si>
    <t>wretchedly</t>
  </si>
  <si>
    <t>wretchedness</t>
  </si>
  <si>
    <t>wrinkle</t>
  </si>
  <si>
    <t>wrinkled</t>
  </si>
  <si>
    <t>wrinkles</t>
  </si>
  <si>
    <t>wrip</t>
  </si>
  <si>
    <t>wripped</t>
  </si>
  <si>
    <t>wripping</t>
  </si>
  <si>
    <t>writhe</t>
  </si>
  <si>
    <t>wrong</t>
  </si>
  <si>
    <t>wrongful</t>
  </si>
  <si>
    <t>wrongly</t>
  </si>
  <si>
    <t>wrought</t>
  </si>
  <si>
    <t>yawn</t>
  </si>
  <si>
    <t>yay</t>
  </si>
  <si>
    <t>youthful</t>
  </si>
  <si>
    <t>zap</t>
  </si>
  <si>
    <t>zapped</t>
  </si>
  <si>
    <t>zaps</t>
  </si>
  <si>
    <t>zeal</t>
  </si>
  <si>
    <t>zealot</t>
  </si>
  <si>
    <t>zealous</t>
  </si>
  <si>
    <t>zealously</t>
  </si>
  <si>
    <t>zenith</t>
  </si>
  <si>
    <t>zest</t>
  </si>
  <si>
    <t>zippy</t>
  </si>
  <si>
    <t>zombie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</si>
</sst>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7.63"/>
  </cols>
  <sheetData>
    <row r="1">
      <c r="A1" s="1" t="s">
        <v>0</v>
      </c>
      <c r="B1" s="1" t="s">
        <v>1</v>
      </c>
      <c r="C1" s="1" t="str">
        <f>IFERROR(__xludf.DUMMYFUNCTION("GOOGLETRANSLATE(A1,""en"",""pt-br"")"),"palavra")</f>
        <v>palavra</v>
      </c>
      <c r="D1" s="1" t="str">
        <f>IFERROR(__xludf.DUMMYFUNCTION("GOOGLETRANSLATE(B1,""en"",""pt-br"")"),"sentimento")</f>
        <v>sentimento</v>
      </c>
      <c r="E1" s="1"/>
      <c r="F1" s="1"/>
    </row>
    <row r="2">
      <c r="A2" s="2" t="s">
        <v>2</v>
      </c>
      <c r="B2" s="2" t="s">
        <v>3</v>
      </c>
      <c r="C2" s="1" t="str">
        <f>IFERROR(__xludf.DUMMYFUNCTION("GOOGLETRANSLATE(A2,""en"",""pt-br"")"),"2-faces")</f>
        <v>2-faces</v>
      </c>
      <c r="D2" s="1" t="str">
        <f>IFERROR(__xludf.DUMMYFUNCTION("GOOGLETRANSLATE(B2,""en"",""pt-br"")"),"negativo")</f>
        <v>negativo</v>
      </c>
    </row>
    <row r="3">
      <c r="A3" s="2" t="s">
        <v>4</v>
      </c>
      <c r="B3" s="2" t="s">
        <v>3</v>
      </c>
      <c r="C3" s="1" t="str">
        <f>IFERROR(__xludf.DUMMYFUNCTION("GOOGLETRANSLATE(A3,""en"",""pt-br"")"),"anormal")</f>
        <v>anormal</v>
      </c>
      <c r="D3" s="1" t="str">
        <f>IFERROR(__xludf.DUMMYFUNCTION("GOOGLETRANSLATE(B3,""en"",""pt-br"")"),"negativo")</f>
        <v>negativo</v>
      </c>
    </row>
    <row r="4">
      <c r="A4" s="2" t="s">
        <v>5</v>
      </c>
      <c r="B4" s="2" t="s">
        <v>3</v>
      </c>
      <c r="C4" s="1" t="str">
        <f>IFERROR(__xludf.DUMMYFUNCTION("GOOGLETRANSLATE(A4,""en"",""pt-br"")"),"abolir")</f>
        <v>abolir</v>
      </c>
      <c r="D4" s="1" t="str">
        <f>IFERROR(__xludf.DUMMYFUNCTION("GOOGLETRANSLATE(B4,""en"",""pt-br"")"),"negativo")</f>
        <v>negativo</v>
      </c>
    </row>
    <row r="5">
      <c r="A5" s="2" t="s">
        <v>6</v>
      </c>
      <c r="B5" s="2" t="s">
        <v>3</v>
      </c>
      <c r="C5" s="1" t="str">
        <f>IFERROR(__xludf.DUMMYFUNCTION("GOOGLETRANSLATE(A5,""en"",""pt-br"")"),"abominável")</f>
        <v>abominável</v>
      </c>
      <c r="D5" s="1" t="str">
        <f>IFERROR(__xludf.DUMMYFUNCTION("GOOGLETRANSLATE(B5,""en"",""pt-br"")"),"negativo")</f>
        <v>negativo</v>
      </c>
    </row>
    <row r="6">
      <c r="A6" s="2" t="s">
        <v>7</v>
      </c>
      <c r="B6" s="2" t="s">
        <v>3</v>
      </c>
      <c r="C6" s="1" t="str">
        <f>IFERROR(__xludf.DUMMYFUNCTION("GOOGLETRANSLATE(A6,""en"",""pt-br"")"),"abominavelmente")</f>
        <v>abominavelmente</v>
      </c>
      <c r="D6" s="1" t="str">
        <f>IFERROR(__xludf.DUMMYFUNCTION("GOOGLETRANSLATE(B6,""en"",""pt-br"")"),"negativo")</f>
        <v>negativo</v>
      </c>
    </row>
    <row r="7">
      <c r="A7" s="2" t="s">
        <v>8</v>
      </c>
      <c r="B7" s="2" t="s">
        <v>3</v>
      </c>
      <c r="C7" s="1" t="str">
        <f>IFERROR(__xludf.DUMMYFUNCTION("GOOGLETRANSLATE(A7,""en"",""pt-br"")"),"abominar")</f>
        <v>abominar</v>
      </c>
      <c r="D7" s="1" t="str">
        <f>IFERROR(__xludf.DUMMYFUNCTION("GOOGLETRANSLATE(B7,""en"",""pt-br"")"),"negativo")</f>
        <v>negativo</v>
      </c>
    </row>
    <row r="8">
      <c r="A8" s="2" t="s">
        <v>9</v>
      </c>
      <c r="B8" s="2" t="s">
        <v>3</v>
      </c>
      <c r="C8" s="1" t="str">
        <f>IFERROR(__xludf.DUMMYFUNCTION("GOOGLETRANSLATE(A8,""en"",""pt-br"")"),"abominação")</f>
        <v>abominação</v>
      </c>
      <c r="D8" s="1" t="str">
        <f>IFERROR(__xludf.DUMMYFUNCTION("GOOGLETRANSLATE(B8,""en"",""pt-br"")"),"negativo")</f>
        <v>negativo</v>
      </c>
    </row>
    <row r="9">
      <c r="A9" s="2" t="s">
        <v>10</v>
      </c>
      <c r="B9" s="2" t="s">
        <v>3</v>
      </c>
      <c r="C9" s="1" t="str">
        <f>IFERROR(__xludf.DUMMYFUNCTION("GOOGLETRANSLATE(A9,""en"",""pt-br"")"),"abortar")</f>
        <v>abortar</v>
      </c>
      <c r="D9" s="1" t="str">
        <f>IFERROR(__xludf.DUMMYFUNCTION("GOOGLETRANSLATE(B9,""en"",""pt-br"")"),"negativo")</f>
        <v>negativo</v>
      </c>
    </row>
    <row r="10">
      <c r="A10" s="2" t="s">
        <v>11</v>
      </c>
      <c r="B10" s="2" t="s">
        <v>3</v>
      </c>
      <c r="C10" s="1" t="str">
        <f>IFERROR(__xludf.DUMMYFUNCTION("GOOGLETRANSLATE(A10,""en"",""pt-br"")"),"abortado")</f>
        <v>abortado</v>
      </c>
      <c r="D10" s="1" t="str">
        <f>IFERROR(__xludf.DUMMYFUNCTION("GOOGLETRANSLATE(B10,""en"",""pt-br"")"),"negativo")</f>
        <v>negativo</v>
      </c>
    </row>
    <row r="11">
      <c r="A11" s="2" t="s">
        <v>12</v>
      </c>
      <c r="B11" s="2" t="s">
        <v>3</v>
      </c>
      <c r="C11" s="1" t="str">
        <f>IFERROR(__xludf.DUMMYFUNCTION("GOOGLETRANSLATE(A11,""en"",""pt-br"")"),"aborts")</f>
        <v>aborts</v>
      </c>
      <c r="D11" s="1" t="str">
        <f>IFERROR(__xludf.DUMMYFUNCTION("GOOGLETRANSLATE(B11,""en"",""pt-br"")"),"negativo")</f>
        <v>negativo</v>
      </c>
    </row>
    <row r="12">
      <c r="A12" s="2" t="s">
        <v>13</v>
      </c>
      <c r="B12" s="2" t="s">
        <v>14</v>
      </c>
      <c r="C12" s="1" t="str">
        <f>IFERROR(__xludf.DUMMYFUNCTION("GOOGLETRANSLATE(A12,""en"",""pt-br"")"),"abundam")</f>
        <v>abundam</v>
      </c>
      <c r="D12" s="1" t="str">
        <f>IFERROR(__xludf.DUMMYFUNCTION("GOOGLETRANSLATE(B12,""en"",""pt-br"")"),"positivo")</f>
        <v>positivo</v>
      </c>
    </row>
    <row r="13">
      <c r="A13" s="2" t="s">
        <v>15</v>
      </c>
      <c r="B13" s="2" t="s">
        <v>14</v>
      </c>
      <c r="C13" s="1" t="str">
        <f>IFERROR(__xludf.DUMMYFUNCTION("GOOGLETRANSLATE(A13,""en"",""pt-br"")"),"abunda")</f>
        <v>abunda</v>
      </c>
      <c r="D13" s="1" t="str">
        <f>IFERROR(__xludf.DUMMYFUNCTION("GOOGLETRANSLATE(B13,""en"",""pt-br"")"),"positivo")</f>
        <v>positivo</v>
      </c>
    </row>
    <row r="14">
      <c r="A14" s="2" t="s">
        <v>16</v>
      </c>
      <c r="B14" s="2" t="s">
        <v>3</v>
      </c>
      <c r="C14" s="1" t="str">
        <f>IFERROR(__xludf.DUMMYFUNCTION("GOOGLETRANSLATE(A14,""en"",""pt-br"")"),"abrade")</f>
        <v>abrade</v>
      </c>
      <c r="D14" s="1" t="str">
        <f>IFERROR(__xludf.DUMMYFUNCTION("GOOGLETRANSLATE(B14,""en"",""pt-br"")"),"negativo")</f>
        <v>negativo</v>
      </c>
    </row>
    <row r="15">
      <c r="A15" s="2" t="s">
        <v>17</v>
      </c>
      <c r="B15" s="2" t="s">
        <v>3</v>
      </c>
      <c r="C15" s="1" t="str">
        <f>IFERROR(__xludf.DUMMYFUNCTION("GOOGLETRANSLATE(A15,""en"",""pt-br"")"),"abrasivo")</f>
        <v>abrasivo</v>
      </c>
      <c r="D15" s="1" t="str">
        <f>IFERROR(__xludf.DUMMYFUNCTION("GOOGLETRANSLATE(B15,""en"",""pt-br"")"),"negativo")</f>
        <v>negativo</v>
      </c>
    </row>
    <row r="16">
      <c r="A16" s="2" t="s">
        <v>18</v>
      </c>
      <c r="B16" s="2" t="s">
        <v>3</v>
      </c>
      <c r="C16" s="1" t="str">
        <f>IFERROR(__xludf.DUMMYFUNCTION("GOOGLETRANSLATE(A16,""en"",""pt-br"")"),"abrupto")</f>
        <v>abrupto</v>
      </c>
      <c r="D16" s="1" t="str">
        <f>IFERROR(__xludf.DUMMYFUNCTION("GOOGLETRANSLATE(B16,""en"",""pt-br"")"),"negativo")</f>
        <v>negativo</v>
      </c>
    </row>
    <row r="17">
      <c r="A17" s="2" t="s">
        <v>19</v>
      </c>
      <c r="B17" s="2" t="s">
        <v>3</v>
      </c>
      <c r="C17" s="1" t="str">
        <f>IFERROR(__xludf.DUMMYFUNCTION("GOOGLETRANSLATE(A17,""en"",""pt-br"")"),"abruptamente")</f>
        <v>abruptamente</v>
      </c>
      <c r="D17" s="1" t="str">
        <f>IFERROR(__xludf.DUMMYFUNCTION("GOOGLETRANSLATE(B17,""en"",""pt-br"")"),"negativo")</f>
        <v>negativo</v>
      </c>
    </row>
    <row r="18">
      <c r="A18" s="2" t="s">
        <v>20</v>
      </c>
      <c r="B18" s="2" t="s">
        <v>3</v>
      </c>
      <c r="C18" s="1" t="str">
        <f>IFERROR(__xludf.DUMMYFUNCTION("GOOGLETRANSLATE(A18,""en"",""pt-br"")"),"fugir")</f>
        <v>fugir</v>
      </c>
      <c r="D18" s="1" t="str">
        <f>IFERROR(__xludf.DUMMYFUNCTION("GOOGLETRANSLATE(B18,""en"",""pt-br"")"),"negativo")</f>
        <v>negativo</v>
      </c>
    </row>
    <row r="19">
      <c r="A19" s="2" t="s">
        <v>21</v>
      </c>
      <c r="B19" s="2" t="s">
        <v>3</v>
      </c>
      <c r="C19" s="1" t="str">
        <f>IFERROR(__xludf.DUMMYFUNCTION("GOOGLETRANSLATE(A19,""en"",""pt-br"")"),"ausência")</f>
        <v>ausência</v>
      </c>
      <c r="D19" s="1" t="str">
        <f>IFERROR(__xludf.DUMMYFUNCTION("GOOGLETRANSLATE(B19,""en"",""pt-br"")"),"negativo")</f>
        <v>negativo</v>
      </c>
    </row>
    <row r="20">
      <c r="A20" s="2" t="s">
        <v>22</v>
      </c>
      <c r="B20" s="2" t="s">
        <v>3</v>
      </c>
      <c r="C20" s="1" t="str">
        <f>IFERROR(__xludf.DUMMYFUNCTION("GOOGLETRANSLATE(A20,""en"",""pt-br"")"),"distraído")</f>
        <v>distraído</v>
      </c>
      <c r="D20" s="1" t="str">
        <f>IFERROR(__xludf.DUMMYFUNCTION("GOOGLETRANSLATE(B20,""en"",""pt-br"")"),"negativo")</f>
        <v>negativo</v>
      </c>
    </row>
    <row r="21" ht="15.75" customHeight="1">
      <c r="A21" s="2" t="s">
        <v>23</v>
      </c>
      <c r="B21" s="2" t="s">
        <v>3</v>
      </c>
      <c r="C21" s="1" t="str">
        <f>IFERROR(__xludf.DUMMYFUNCTION("GOOGLETRANSLATE(A21,""en"",""pt-br"")"),"absentista")</f>
        <v>absentista</v>
      </c>
      <c r="D21" s="1" t="str">
        <f>IFERROR(__xludf.DUMMYFUNCTION("GOOGLETRANSLATE(B21,""en"",""pt-br"")"),"negativo")</f>
        <v>negativo</v>
      </c>
    </row>
    <row r="22" ht="15.75" customHeight="1">
      <c r="A22" s="2" t="s">
        <v>24</v>
      </c>
      <c r="B22" s="2" t="s">
        <v>3</v>
      </c>
      <c r="C22" s="1" t="str">
        <f>IFERROR(__xludf.DUMMYFUNCTION("GOOGLETRANSLATE(A22,""en"",""pt-br"")"),"absurdo")</f>
        <v>absurdo</v>
      </c>
      <c r="D22" s="1" t="str">
        <f>IFERROR(__xludf.DUMMYFUNCTION("GOOGLETRANSLATE(B22,""en"",""pt-br"")"),"negativo")</f>
        <v>negativo</v>
      </c>
    </row>
    <row r="23" ht="15.75" customHeight="1">
      <c r="A23" s="2" t="s">
        <v>25</v>
      </c>
      <c r="B23" s="2" t="s">
        <v>3</v>
      </c>
      <c r="C23" s="1" t="str">
        <f>IFERROR(__xludf.DUMMYFUNCTION("GOOGLETRANSLATE(A23,""en"",""pt-br"")"),"absurdo")</f>
        <v>absurdo</v>
      </c>
      <c r="D23" s="1" t="str">
        <f>IFERROR(__xludf.DUMMYFUNCTION("GOOGLETRANSLATE(B23,""en"",""pt-br"")"),"negativo")</f>
        <v>negativo</v>
      </c>
    </row>
    <row r="24" ht="15.75" customHeight="1">
      <c r="A24" s="2" t="s">
        <v>26</v>
      </c>
      <c r="B24" s="2" t="s">
        <v>3</v>
      </c>
      <c r="C24" s="1" t="str">
        <f>IFERROR(__xludf.DUMMYFUNCTION("GOOGLETRANSLATE(A24,""en"",""pt-br"")"),"absurdamente")</f>
        <v>absurdamente</v>
      </c>
      <c r="D24" s="1" t="str">
        <f>IFERROR(__xludf.DUMMYFUNCTION("GOOGLETRANSLATE(B24,""en"",""pt-br"")"),"negativo")</f>
        <v>negativo</v>
      </c>
    </row>
    <row r="25" ht="15.75" customHeight="1">
      <c r="A25" s="2" t="s">
        <v>27</v>
      </c>
      <c r="B25" s="2" t="s">
        <v>3</v>
      </c>
      <c r="C25" s="1" t="str">
        <f>IFERROR(__xludf.DUMMYFUNCTION("GOOGLETRANSLATE(A25,""en"",""pt-br"")"),"absurdness")</f>
        <v>absurdness</v>
      </c>
      <c r="D25" s="1" t="str">
        <f>IFERROR(__xludf.DUMMYFUNCTION("GOOGLETRANSLATE(B25,""en"",""pt-br"")"),"negativo")</f>
        <v>negativo</v>
      </c>
    </row>
    <row r="26" ht="15.75" customHeight="1">
      <c r="A26" s="2" t="s">
        <v>28</v>
      </c>
      <c r="B26" s="2" t="s">
        <v>14</v>
      </c>
      <c r="C26" s="1" t="str">
        <f>IFERROR(__xludf.DUMMYFUNCTION("GOOGLETRANSLATE(A26,""en"",""pt-br"")"),"abundância")</f>
        <v>abundância</v>
      </c>
      <c r="D26" s="1" t="str">
        <f>IFERROR(__xludf.DUMMYFUNCTION("GOOGLETRANSLATE(B26,""en"",""pt-br"")"),"positivo")</f>
        <v>positivo</v>
      </c>
    </row>
    <row r="27" ht="15.75" customHeight="1">
      <c r="A27" s="2" t="s">
        <v>29</v>
      </c>
      <c r="B27" s="2" t="s">
        <v>14</v>
      </c>
      <c r="C27" s="1" t="str">
        <f>IFERROR(__xludf.DUMMYFUNCTION("GOOGLETRANSLATE(A27,""en"",""pt-br"")"),"abundante")</f>
        <v>abundante</v>
      </c>
      <c r="D27" s="1" t="str">
        <f>IFERROR(__xludf.DUMMYFUNCTION("GOOGLETRANSLATE(B27,""en"",""pt-br"")"),"positivo")</f>
        <v>positivo</v>
      </c>
    </row>
    <row r="28" ht="15.75" customHeight="1">
      <c r="A28" s="2" t="s">
        <v>30</v>
      </c>
      <c r="B28" s="2" t="s">
        <v>3</v>
      </c>
      <c r="C28" s="1" t="str">
        <f>IFERROR(__xludf.DUMMYFUNCTION("GOOGLETRANSLATE(A28,""en"",""pt-br"")"),"Abuso")</f>
        <v>Abuso</v>
      </c>
      <c r="D28" s="1" t="str">
        <f>IFERROR(__xludf.DUMMYFUNCTION("GOOGLETRANSLATE(B28,""en"",""pt-br"")"),"negativo")</f>
        <v>negativo</v>
      </c>
    </row>
    <row r="29" ht="15.75" customHeight="1">
      <c r="A29" s="2" t="s">
        <v>31</v>
      </c>
      <c r="B29" s="2" t="s">
        <v>3</v>
      </c>
      <c r="C29" s="1" t="str">
        <f>IFERROR(__xludf.DUMMYFUNCTION("GOOGLETRANSLATE(A29,""en"",""pt-br"")"),"abusado")</f>
        <v>abusado</v>
      </c>
      <c r="D29" s="1" t="str">
        <f>IFERROR(__xludf.DUMMYFUNCTION("GOOGLETRANSLATE(B29,""en"",""pt-br"")"),"negativo")</f>
        <v>negativo</v>
      </c>
    </row>
    <row r="30" ht="15.75" customHeight="1">
      <c r="A30" s="2" t="s">
        <v>32</v>
      </c>
      <c r="B30" s="2" t="s">
        <v>3</v>
      </c>
      <c r="C30" s="1" t="str">
        <f>IFERROR(__xludf.DUMMYFUNCTION("GOOGLETRANSLATE(A30,""en"",""pt-br"")"),"abusos")</f>
        <v>abusos</v>
      </c>
      <c r="D30" s="1" t="str">
        <f>IFERROR(__xludf.DUMMYFUNCTION("GOOGLETRANSLATE(B30,""en"",""pt-br"")"),"negativo")</f>
        <v>negativo</v>
      </c>
    </row>
    <row r="31" ht="15.75" customHeight="1">
      <c r="A31" s="2" t="s">
        <v>33</v>
      </c>
      <c r="B31" s="2" t="s">
        <v>3</v>
      </c>
      <c r="C31" s="1" t="str">
        <f>IFERROR(__xludf.DUMMYFUNCTION("GOOGLETRANSLATE(A31,""en"",""pt-br"")"),"abusivo")</f>
        <v>abusivo</v>
      </c>
      <c r="D31" s="1" t="str">
        <f>IFERROR(__xludf.DUMMYFUNCTION("GOOGLETRANSLATE(B31,""en"",""pt-br"")"),"negativo")</f>
        <v>negativo</v>
      </c>
    </row>
    <row r="32" ht="15.75" customHeight="1">
      <c r="A32" s="2" t="s">
        <v>34</v>
      </c>
      <c r="B32" s="2" t="s">
        <v>3</v>
      </c>
      <c r="C32" s="1" t="str">
        <f>IFERROR(__xludf.DUMMYFUNCTION("GOOGLETRANSLATE(A32,""en"",""pt-br"")"),"abismal")</f>
        <v>abismal</v>
      </c>
      <c r="D32" s="1" t="str">
        <f>IFERROR(__xludf.DUMMYFUNCTION("GOOGLETRANSLATE(B32,""en"",""pt-br"")"),"negativo")</f>
        <v>negativo</v>
      </c>
    </row>
    <row r="33" ht="15.75" customHeight="1">
      <c r="A33" s="2" t="s">
        <v>35</v>
      </c>
      <c r="B33" s="2" t="s">
        <v>3</v>
      </c>
      <c r="C33" s="1" t="str">
        <f>IFERROR(__xludf.DUMMYFUNCTION("GOOGLETRANSLATE(A33,""en"",""pt-br"")"),"abysmally")</f>
        <v>abysmally</v>
      </c>
      <c r="D33" s="1" t="str">
        <f>IFERROR(__xludf.DUMMYFUNCTION("GOOGLETRANSLATE(B33,""en"",""pt-br"")"),"negativo")</f>
        <v>negativo</v>
      </c>
    </row>
    <row r="34" ht="15.75" customHeight="1">
      <c r="A34" s="2" t="s">
        <v>36</v>
      </c>
      <c r="B34" s="2" t="s">
        <v>3</v>
      </c>
      <c r="C34" s="1" t="str">
        <f>IFERROR(__xludf.DUMMYFUNCTION("GOOGLETRANSLATE(A34,""en"",""pt-br"")"),"abismo")</f>
        <v>abismo</v>
      </c>
      <c r="D34" s="1" t="str">
        <f>IFERROR(__xludf.DUMMYFUNCTION("GOOGLETRANSLATE(B34,""en"",""pt-br"")"),"negativo")</f>
        <v>negativo</v>
      </c>
    </row>
    <row r="35" ht="15.75" customHeight="1">
      <c r="A35" s="2" t="s">
        <v>37</v>
      </c>
      <c r="B35" s="2" t="s">
        <v>14</v>
      </c>
      <c r="C35" s="1" t="str">
        <f>IFERROR(__xludf.DUMMYFUNCTION("GOOGLETRANSLATE(A35,""en"",""pt-br"")"),"acessível")</f>
        <v>acessível</v>
      </c>
      <c r="D35" s="1" t="str">
        <f>IFERROR(__xludf.DUMMYFUNCTION("GOOGLETRANSLATE(B35,""en"",""pt-br"")"),"positivo")</f>
        <v>positivo</v>
      </c>
    </row>
    <row r="36" ht="15.75" customHeight="1">
      <c r="A36" s="2" t="s">
        <v>38</v>
      </c>
      <c r="B36" s="2" t="s">
        <v>14</v>
      </c>
      <c r="C36" s="1" t="str">
        <f>IFERROR(__xludf.DUMMYFUNCTION("GOOGLETRANSLATE(A36,""en"",""pt-br"")"),"acessível")</f>
        <v>acessível</v>
      </c>
      <c r="D36" s="1" t="str">
        <f>IFERROR(__xludf.DUMMYFUNCTION("GOOGLETRANSLATE(B36,""en"",""pt-br"")"),"positivo")</f>
        <v>positivo</v>
      </c>
    </row>
    <row r="37" ht="15.75" customHeight="1">
      <c r="A37" s="2" t="s">
        <v>39</v>
      </c>
      <c r="B37" s="2" t="s">
        <v>3</v>
      </c>
      <c r="C37" s="1" t="str">
        <f>IFERROR(__xludf.DUMMYFUNCTION("GOOGLETRANSLATE(A37,""en"",""pt-br"")"),"acidental")</f>
        <v>acidental</v>
      </c>
      <c r="D37" s="1" t="str">
        <f>IFERROR(__xludf.DUMMYFUNCTION("GOOGLETRANSLATE(B37,""en"",""pt-br"")"),"negativo")</f>
        <v>negativo</v>
      </c>
    </row>
    <row r="38" ht="15.75" customHeight="1">
      <c r="A38" s="2" t="s">
        <v>40</v>
      </c>
      <c r="B38" s="2" t="s">
        <v>14</v>
      </c>
      <c r="C38" s="1" t="str">
        <f>IFERROR(__xludf.DUMMYFUNCTION("GOOGLETRANSLATE(A38,""en"",""pt-br"")"),"aclamação")</f>
        <v>aclamação</v>
      </c>
      <c r="D38" s="1" t="str">
        <f>IFERROR(__xludf.DUMMYFUNCTION("GOOGLETRANSLATE(B38,""en"",""pt-br"")"),"positivo")</f>
        <v>positivo</v>
      </c>
    </row>
    <row r="39" ht="15.75" customHeight="1">
      <c r="A39" s="2" t="s">
        <v>41</v>
      </c>
      <c r="B39" s="2" t="s">
        <v>14</v>
      </c>
      <c r="C39" s="1" t="str">
        <f>IFERROR(__xludf.DUMMYFUNCTION("GOOGLETRANSLATE(A39,""en"",""pt-br"")"),"aclamado")</f>
        <v>aclamado</v>
      </c>
      <c r="D39" s="1" t="str">
        <f>IFERROR(__xludf.DUMMYFUNCTION("GOOGLETRANSLATE(B39,""en"",""pt-br"")"),"positivo")</f>
        <v>positivo</v>
      </c>
    </row>
    <row r="40" ht="15.75" customHeight="1">
      <c r="A40" s="2" t="s">
        <v>42</v>
      </c>
      <c r="B40" s="2" t="s">
        <v>14</v>
      </c>
      <c r="C40" s="1" t="str">
        <f>IFERROR(__xludf.DUMMYFUNCTION("GOOGLETRANSLATE(A40,""en"",""pt-br"")"),"aclamação")</f>
        <v>aclamação</v>
      </c>
      <c r="D40" s="1" t="str">
        <f>IFERROR(__xludf.DUMMYFUNCTION("GOOGLETRANSLATE(B40,""en"",""pt-br"")"),"positivo")</f>
        <v>positivo</v>
      </c>
    </row>
    <row r="41" ht="15.75" customHeight="1">
      <c r="A41" s="2" t="s">
        <v>43</v>
      </c>
      <c r="B41" s="2" t="s">
        <v>14</v>
      </c>
      <c r="C41" s="1" t="str">
        <f>IFERROR(__xludf.DUMMYFUNCTION("GOOGLETRANSLATE(A41,""en"",""pt-br"")"),"elogio")</f>
        <v>elogio</v>
      </c>
      <c r="D41" s="1" t="str">
        <f>IFERROR(__xludf.DUMMYFUNCTION("GOOGLETRANSLATE(B41,""en"",""pt-br"")"),"positivo")</f>
        <v>positivo</v>
      </c>
    </row>
    <row r="42" ht="15.75" customHeight="1">
      <c r="A42" s="2" t="s">
        <v>44</v>
      </c>
      <c r="B42" s="2" t="s">
        <v>14</v>
      </c>
      <c r="C42" s="1" t="str">
        <f>IFERROR(__xludf.DUMMYFUNCTION("GOOGLETRANSLATE(A42,""en"",""pt-br"")"),"elogios")</f>
        <v>elogios</v>
      </c>
      <c r="D42" s="1" t="str">
        <f>IFERROR(__xludf.DUMMYFUNCTION("GOOGLETRANSLATE(B42,""en"",""pt-br"")"),"positivo")</f>
        <v>positivo</v>
      </c>
    </row>
    <row r="43" ht="15.75" customHeight="1">
      <c r="A43" s="2" t="s">
        <v>45</v>
      </c>
      <c r="B43" s="2" t="s">
        <v>14</v>
      </c>
      <c r="C43" s="1" t="str">
        <f>IFERROR(__xludf.DUMMYFUNCTION("GOOGLETRANSLATE(A43,""en"",""pt-br"")"),"acomodatício")</f>
        <v>acomodatício</v>
      </c>
      <c r="D43" s="1" t="str">
        <f>IFERROR(__xludf.DUMMYFUNCTION("GOOGLETRANSLATE(B43,""en"",""pt-br"")"),"positivo")</f>
        <v>positivo</v>
      </c>
    </row>
    <row r="44" ht="15.75" customHeight="1">
      <c r="A44" s="2" t="s">
        <v>46</v>
      </c>
      <c r="B44" s="2" t="s">
        <v>14</v>
      </c>
      <c r="C44" s="1" t="str">
        <f>IFERROR(__xludf.DUMMYFUNCTION("GOOGLETRANSLATE(A44,""en"",""pt-br"")"),"accomodative")</f>
        <v>accomodative</v>
      </c>
      <c r="D44" s="1" t="str">
        <f>IFERROR(__xludf.DUMMYFUNCTION("GOOGLETRANSLATE(B44,""en"",""pt-br"")"),"positivo")</f>
        <v>positivo</v>
      </c>
    </row>
    <row r="45" ht="15.75" customHeight="1">
      <c r="A45" s="2" t="s">
        <v>47</v>
      </c>
      <c r="B45" s="2" t="s">
        <v>14</v>
      </c>
      <c r="C45" s="1" t="str">
        <f>IFERROR(__xludf.DUMMYFUNCTION("GOOGLETRANSLATE(A45,""en"",""pt-br"")"),"realizar")</f>
        <v>realizar</v>
      </c>
      <c r="D45" s="1" t="str">
        <f>IFERROR(__xludf.DUMMYFUNCTION("GOOGLETRANSLATE(B45,""en"",""pt-br"")"),"positivo")</f>
        <v>positivo</v>
      </c>
    </row>
    <row r="46" ht="15.75" customHeight="1">
      <c r="A46" s="2" t="s">
        <v>48</v>
      </c>
      <c r="B46" s="2" t="s">
        <v>14</v>
      </c>
      <c r="C46" s="1" t="str">
        <f>IFERROR(__xludf.DUMMYFUNCTION("GOOGLETRANSLATE(A46,""en"",""pt-br"")"),"realizado")</f>
        <v>realizado</v>
      </c>
      <c r="D46" s="1" t="str">
        <f>IFERROR(__xludf.DUMMYFUNCTION("GOOGLETRANSLATE(B46,""en"",""pt-br"")"),"positivo")</f>
        <v>positivo</v>
      </c>
    </row>
    <row r="47" ht="15.75" customHeight="1">
      <c r="A47" s="2" t="s">
        <v>49</v>
      </c>
      <c r="B47" s="2" t="s">
        <v>14</v>
      </c>
      <c r="C47" s="1" t="str">
        <f>IFERROR(__xludf.DUMMYFUNCTION("GOOGLETRANSLATE(A47,""en"",""pt-br"")"),"realização")</f>
        <v>realização</v>
      </c>
      <c r="D47" s="1" t="str">
        <f>IFERROR(__xludf.DUMMYFUNCTION("GOOGLETRANSLATE(B47,""en"",""pt-br"")"),"positivo")</f>
        <v>positivo</v>
      </c>
    </row>
    <row r="48" ht="15.75" customHeight="1">
      <c r="A48" s="2" t="s">
        <v>50</v>
      </c>
      <c r="B48" s="2" t="s">
        <v>14</v>
      </c>
      <c r="C48" s="1" t="str">
        <f>IFERROR(__xludf.DUMMYFUNCTION("GOOGLETRANSLATE(A48,""en"",""pt-br"")"),"conquistas")</f>
        <v>conquistas</v>
      </c>
      <c r="D48" s="1" t="str">
        <f>IFERROR(__xludf.DUMMYFUNCTION("GOOGLETRANSLATE(B48,""en"",""pt-br"")"),"positivo")</f>
        <v>positivo</v>
      </c>
    </row>
    <row r="49" ht="15.75" customHeight="1">
      <c r="A49" s="2" t="s">
        <v>51</v>
      </c>
      <c r="B49" s="2" t="s">
        <v>3</v>
      </c>
      <c r="C49" s="1" t="str">
        <f>IFERROR(__xludf.DUMMYFUNCTION("GOOGLETRANSLATE(A49,""en"",""pt-br"")"),"accost")</f>
        <v>accost</v>
      </c>
      <c r="D49" s="1" t="str">
        <f>IFERROR(__xludf.DUMMYFUNCTION("GOOGLETRANSLATE(B49,""en"",""pt-br"")"),"negativo")</f>
        <v>negativo</v>
      </c>
    </row>
    <row r="50" ht="15.75" customHeight="1">
      <c r="A50" s="2" t="s">
        <v>52</v>
      </c>
      <c r="B50" s="2" t="s">
        <v>14</v>
      </c>
      <c r="C50" s="1" t="str">
        <f>IFERROR(__xludf.DUMMYFUNCTION("GOOGLETRANSLATE(A50,""en"",""pt-br"")"),"preciso")</f>
        <v>preciso</v>
      </c>
      <c r="D50" s="1" t="str">
        <f>IFERROR(__xludf.DUMMYFUNCTION("GOOGLETRANSLATE(B50,""en"",""pt-br"")"),"positivo")</f>
        <v>positivo</v>
      </c>
    </row>
    <row r="51" ht="15.75" customHeight="1">
      <c r="A51" s="2" t="s">
        <v>53</v>
      </c>
      <c r="B51" s="2" t="s">
        <v>14</v>
      </c>
      <c r="C51" s="1" t="str">
        <f>IFERROR(__xludf.DUMMYFUNCTION("GOOGLETRANSLATE(A51,""en"",""pt-br"")"),"precisamente")</f>
        <v>precisamente</v>
      </c>
      <c r="D51" s="1" t="str">
        <f>IFERROR(__xludf.DUMMYFUNCTION("GOOGLETRANSLATE(B51,""en"",""pt-br"")"),"positivo")</f>
        <v>positivo</v>
      </c>
    </row>
    <row r="52" ht="15.75" customHeight="1">
      <c r="A52" s="2" t="s">
        <v>54</v>
      </c>
      <c r="B52" s="2" t="s">
        <v>3</v>
      </c>
      <c r="C52" s="1" t="str">
        <f>IFERROR(__xludf.DUMMYFUNCTION("GOOGLETRANSLATE(A52,""en"",""pt-br"")"),"amaldiçoado")</f>
        <v>amaldiçoado</v>
      </c>
      <c r="D52" s="1" t="str">
        <f>IFERROR(__xludf.DUMMYFUNCTION("GOOGLETRANSLATE(B52,""en"",""pt-br"")"),"negativo")</f>
        <v>negativo</v>
      </c>
    </row>
    <row r="53" ht="15.75" customHeight="1">
      <c r="A53" s="2" t="s">
        <v>55</v>
      </c>
      <c r="B53" s="2" t="s">
        <v>3</v>
      </c>
      <c r="C53" s="1" t="str">
        <f>IFERROR(__xludf.DUMMYFUNCTION("GOOGLETRANSLATE(A53,""en"",""pt-br"")"),"acusação")</f>
        <v>acusação</v>
      </c>
      <c r="D53" s="1" t="str">
        <f>IFERROR(__xludf.DUMMYFUNCTION("GOOGLETRANSLATE(B53,""en"",""pt-br"")"),"negativo")</f>
        <v>negativo</v>
      </c>
    </row>
    <row r="54" ht="15.75" customHeight="1">
      <c r="A54" s="2" t="s">
        <v>56</v>
      </c>
      <c r="B54" s="2" t="s">
        <v>3</v>
      </c>
      <c r="C54" s="1" t="str">
        <f>IFERROR(__xludf.DUMMYFUNCTION("GOOGLETRANSLATE(A54,""en"",""pt-br"")"),"acusações")</f>
        <v>acusações</v>
      </c>
      <c r="D54" s="1" t="str">
        <f>IFERROR(__xludf.DUMMYFUNCTION("GOOGLETRANSLATE(B54,""en"",""pt-br"")"),"negativo")</f>
        <v>negativo</v>
      </c>
    </row>
    <row r="55" ht="15.75" customHeight="1">
      <c r="A55" s="2" t="s">
        <v>57</v>
      </c>
      <c r="B55" s="2" t="s">
        <v>3</v>
      </c>
      <c r="C55" s="1" t="str">
        <f>IFERROR(__xludf.DUMMYFUNCTION("GOOGLETRANSLATE(A55,""en"",""pt-br"")"),"acusar")</f>
        <v>acusar</v>
      </c>
      <c r="D55" s="1" t="str">
        <f>IFERROR(__xludf.DUMMYFUNCTION("GOOGLETRANSLATE(B55,""en"",""pt-br"")"),"negativo")</f>
        <v>negativo</v>
      </c>
    </row>
    <row r="56" ht="15.75" customHeight="1">
      <c r="A56" s="2" t="s">
        <v>58</v>
      </c>
      <c r="B56" s="2" t="s">
        <v>3</v>
      </c>
      <c r="C56" s="1" t="str">
        <f>IFERROR(__xludf.DUMMYFUNCTION("GOOGLETRANSLATE(A56,""en"",""pt-br"")"),"acusa")</f>
        <v>acusa</v>
      </c>
      <c r="D56" s="1" t="str">
        <f>IFERROR(__xludf.DUMMYFUNCTION("GOOGLETRANSLATE(B56,""en"",""pt-br"")"),"negativo")</f>
        <v>negativo</v>
      </c>
    </row>
    <row r="57" ht="15.75" customHeight="1">
      <c r="A57" s="2" t="s">
        <v>59</v>
      </c>
      <c r="B57" s="2" t="s">
        <v>3</v>
      </c>
      <c r="C57" s="1" t="str">
        <f>IFERROR(__xludf.DUMMYFUNCTION("GOOGLETRANSLATE(A57,""en"",""pt-br"")"),"acusador")</f>
        <v>acusador</v>
      </c>
      <c r="D57" s="1" t="str">
        <f>IFERROR(__xludf.DUMMYFUNCTION("GOOGLETRANSLATE(B57,""en"",""pt-br"")"),"negativo")</f>
        <v>negativo</v>
      </c>
    </row>
    <row r="58" ht="15.75" customHeight="1">
      <c r="A58" s="2" t="s">
        <v>60</v>
      </c>
      <c r="B58" s="2" t="s">
        <v>3</v>
      </c>
      <c r="C58" s="1" t="str">
        <f>IFERROR(__xludf.DUMMYFUNCTION("GOOGLETRANSLATE(A58,""en"",""pt-br"")"),"acusatoriamente")</f>
        <v>acusatoriamente</v>
      </c>
      <c r="D58" s="1" t="str">
        <f>IFERROR(__xludf.DUMMYFUNCTION("GOOGLETRANSLATE(B58,""en"",""pt-br"")"),"negativo")</f>
        <v>negativo</v>
      </c>
    </row>
    <row r="59" ht="15.75" customHeight="1">
      <c r="A59" s="2" t="s">
        <v>61</v>
      </c>
      <c r="B59" s="2" t="s">
        <v>3</v>
      </c>
      <c r="C59" s="1" t="str">
        <f>IFERROR(__xludf.DUMMYFUNCTION("GOOGLETRANSLATE(A59,""en"",""pt-br"")"),"exacerbar")</f>
        <v>exacerbar</v>
      </c>
      <c r="D59" s="1" t="str">
        <f>IFERROR(__xludf.DUMMYFUNCTION("GOOGLETRANSLATE(B59,""en"",""pt-br"")"),"negativo")</f>
        <v>negativo</v>
      </c>
    </row>
    <row r="60" ht="15.75" customHeight="1">
      <c r="A60" s="2" t="s">
        <v>62</v>
      </c>
      <c r="B60" s="2" t="s">
        <v>3</v>
      </c>
      <c r="C60" s="1" t="str">
        <f>IFERROR(__xludf.DUMMYFUNCTION("GOOGLETRANSLATE(A60,""en"",""pt-br"")"),"acerbic")</f>
        <v>acerbic</v>
      </c>
      <c r="D60" s="1" t="str">
        <f>IFERROR(__xludf.DUMMYFUNCTION("GOOGLETRANSLATE(B60,""en"",""pt-br"")"),"negativo")</f>
        <v>negativo</v>
      </c>
    </row>
    <row r="61" ht="15.75" customHeight="1">
      <c r="A61" s="2" t="s">
        <v>63</v>
      </c>
      <c r="B61" s="2" t="s">
        <v>3</v>
      </c>
      <c r="C61" s="1" t="str">
        <f>IFERROR(__xludf.DUMMYFUNCTION("GOOGLETRANSLATE(A61,""en"",""pt-br"")"),"acerbamente")</f>
        <v>acerbamente</v>
      </c>
      <c r="D61" s="1" t="str">
        <f>IFERROR(__xludf.DUMMYFUNCTION("GOOGLETRANSLATE(B61,""en"",""pt-br"")"),"negativo")</f>
        <v>negativo</v>
      </c>
    </row>
    <row r="62" ht="15.75" customHeight="1">
      <c r="A62" s="2" t="s">
        <v>64</v>
      </c>
      <c r="B62" s="2" t="s">
        <v>3</v>
      </c>
      <c r="C62" s="1" t="str">
        <f>IFERROR(__xludf.DUMMYFUNCTION("GOOGLETRANSLATE(A62,""en"",""pt-br"")"),"dor")</f>
        <v>dor</v>
      </c>
      <c r="D62" s="1" t="str">
        <f>IFERROR(__xludf.DUMMYFUNCTION("GOOGLETRANSLATE(B62,""en"",""pt-br"")"),"negativo")</f>
        <v>negativo</v>
      </c>
    </row>
    <row r="63" ht="15.75" customHeight="1">
      <c r="A63" s="2" t="s">
        <v>65</v>
      </c>
      <c r="B63" s="2" t="s">
        <v>3</v>
      </c>
      <c r="C63" s="1" t="str">
        <f>IFERROR(__xludf.DUMMYFUNCTION("GOOGLETRANSLATE(A63,""en"",""pt-br"")"),"doía")</f>
        <v>doía</v>
      </c>
      <c r="D63" s="1" t="str">
        <f>IFERROR(__xludf.DUMMYFUNCTION("GOOGLETRANSLATE(B63,""en"",""pt-br"")"),"negativo")</f>
        <v>negativo</v>
      </c>
    </row>
    <row r="64" ht="15.75" customHeight="1">
      <c r="A64" s="2" t="s">
        <v>66</v>
      </c>
      <c r="B64" s="2" t="s">
        <v>3</v>
      </c>
      <c r="C64" s="1" t="str">
        <f>IFERROR(__xludf.DUMMYFUNCTION("GOOGLETRANSLATE(A64,""en"",""pt-br"")"),"dores")</f>
        <v>dores</v>
      </c>
      <c r="D64" s="1" t="str">
        <f>IFERROR(__xludf.DUMMYFUNCTION("GOOGLETRANSLATE(B64,""en"",""pt-br"")"),"negativo")</f>
        <v>negativo</v>
      </c>
    </row>
    <row r="65" ht="15.75" customHeight="1">
      <c r="A65" s="2" t="s">
        <v>67</v>
      </c>
      <c r="B65" s="2" t="s">
        <v>3</v>
      </c>
      <c r="C65" s="1" t="str">
        <f>IFERROR(__xludf.DUMMYFUNCTION("GOOGLETRANSLATE(A65,""en"",""pt-br"")"),"achey")</f>
        <v>achey</v>
      </c>
      <c r="D65" s="1" t="str">
        <f>IFERROR(__xludf.DUMMYFUNCTION("GOOGLETRANSLATE(B65,""en"",""pt-br"")"),"negativo")</f>
        <v>negativo</v>
      </c>
    </row>
    <row r="66" ht="15.75" customHeight="1">
      <c r="A66" s="2" t="s">
        <v>68</v>
      </c>
      <c r="B66" s="2" t="s">
        <v>14</v>
      </c>
      <c r="C66" s="1" t="str">
        <f>IFERROR(__xludf.DUMMYFUNCTION("GOOGLETRANSLATE(A66,""en"",""pt-br"")"),"realizável")</f>
        <v>realizável</v>
      </c>
      <c r="D66" s="1" t="str">
        <f>IFERROR(__xludf.DUMMYFUNCTION("GOOGLETRANSLATE(B66,""en"",""pt-br"")"),"positivo")</f>
        <v>positivo</v>
      </c>
    </row>
    <row r="67" ht="15.75" customHeight="1">
      <c r="A67" s="2" t="s">
        <v>69</v>
      </c>
      <c r="B67" s="2" t="s">
        <v>14</v>
      </c>
      <c r="C67" s="1" t="str">
        <f>IFERROR(__xludf.DUMMYFUNCTION("GOOGLETRANSLATE(A67,""en"",""pt-br"")"),"realização")</f>
        <v>realização</v>
      </c>
      <c r="D67" s="1" t="str">
        <f>IFERROR(__xludf.DUMMYFUNCTION("GOOGLETRANSLATE(B67,""en"",""pt-br"")"),"positivo")</f>
        <v>positivo</v>
      </c>
    </row>
    <row r="68" ht="15.75" customHeight="1">
      <c r="A68" s="2" t="s">
        <v>70</v>
      </c>
      <c r="B68" s="2" t="s">
        <v>14</v>
      </c>
      <c r="C68" s="1" t="str">
        <f>IFERROR(__xludf.DUMMYFUNCTION("GOOGLETRANSLATE(A68,""en"",""pt-br"")"),"realizações")</f>
        <v>realizações</v>
      </c>
      <c r="D68" s="1" t="str">
        <f>IFERROR(__xludf.DUMMYFUNCTION("GOOGLETRANSLATE(B68,""en"",""pt-br"")"),"positivo")</f>
        <v>positivo</v>
      </c>
    </row>
    <row r="69" ht="15.75" customHeight="1">
      <c r="A69" s="2" t="s">
        <v>71</v>
      </c>
      <c r="B69" s="2" t="s">
        <v>14</v>
      </c>
      <c r="C69" s="1" t="str">
        <f>IFERROR(__xludf.DUMMYFUNCTION("GOOGLETRANSLATE(A69,""en"",""pt-br"")"),"achievible")</f>
        <v>achievible</v>
      </c>
      <c r="D69" s="1" t="str">
        <f>IFERROR(__xludf.DUMMYFUNCTION("GOOGLETRANSLATE(B69,""en"",""pt-br"")"),"positivo")</f>
        <v>positivo</v>
      </c>
    </row>
    <row r="70" ht="15.75" customHeight="1">
      <c r="A70" s="2" t="s">
        <v>72</v>
      </c>
      <c r="B70" s="2" t="s">
        <v>3</v>
      </c>
      <c r="C70" s="1" t="str">
        <f>IFERROR(__xludf.DUMMYFUNCTION("GOOGLETRANSLATE(A70,""en"",""pt-br"")"),"doendo")</f>
        <v>doendo</v>
      </c>
      <c r="D70" s="1" t="str">
        <f>IFERROR(__xludf.DUMMYFUNCTION("GOOGLETRANSLATE(B70,""en"",""pt-br"")"),"negativo")</f>
        <v>negativo</v>
      </c>
    </row>
    <row r="71" ht="15.75" customHeight="1">
      <c r="A71" s="2" t="s">
        <v>73</v>
      </c>
      <c r="B71" s="2" t="s">
        <v>3</v>
      </c>
      <c r="C71" s="1" t="str">
        <f>IFERROR(__xludf.DUMMYFUNCTION("GOOGLETRANSLATE(A71,""en"",""pt-br"")"),"acre")</f>
        <v>acre</v>
      </c>
      <c r="D71" s="1" t="str">
        <f>IFERROR(__xludf.DUMMYFUNCTION("GOOGLETRANSLATE(B71,""en"",""pt-br"")"),"negativo")</f>
        <v>negativo</v>
      </c>
    </row>
    <row r="72" ht="15.75" customHeight="1">
      <c r="A72" s="2" t="s">
        <v>74</v>
      </c>
      <c r="B72" s="2" t="s">
        <v>3</v>
      </c>
      <c r="C72" s="1" t="str">
        <f>IFERROR(__xludf.DUMMYFUNCTION("GOOGLETRANSLATE(A72,""en"",""pt-br"")"),"acridly")</f>
        <v>acridly</v>
      </c>
      <c r="D72" s="1" t="str">
        <f>IFERROR(__xludf.DUMMYFUNCTION("GOOGLETRANSLATE(B72,""en"",""pt-br"")"),"negativo")</f>
        <v>negativo</v>
      </c>
    </row>
    <row r="73" ht="15.75" customHeight="1">
      <c r="A73" s="2" t="s">
        <v>75</v>
      </c>
      <c r="B73" s="2" t="s">
        <v>3</v>
      </c>
      <c r="C73" s="1" t="str">
        <f>IFERROR(__xludf.DUMMYFUNCTION("GOOGLETRANSLATE(A73,""en"",""pt-br"")"),"acridness")</f>
        <v>acridness</v>
      </c>
      <c r="D73" s="1" t="str">
        <f>IFERROR(__xludf.DUMMYFUNCTION("GOOGLETRANSLATE(B73,""en"",""pt-br"")"),"negativo")</f>
        <v>negativo</v>
      </c>
    </row>
    <row r="74" ht="15.75" customHeight="1">
      <c r="A74" s="2" t="s">
        <v>76</v>
      </c>
      <c r="B74" s="2" t="s">
        <v>3</v>
      </c>
      <c r="C74" s="1" t="str">
        <f>IFERROR(__xludf.DUMMYFUNCTION("GOOGLETRANSLATE(A74,""en"",""pt-br"")"),"acrimonioso")</f>
        <v>acrimonioso</v>
      </c>
      <c r="D74" s="1" t="str">
        <f>IFERROR(__xludf.DUMMYFUNCTION("GOOGLETRANSLATE(B74,""en"",""pt-br"")"),"negativo")</f>
        <v>negativo</v>
      </c>
    </row>
    <row r="75" ht="15.75" customHeight="1">
      <c r="A75" s="2" t="s">
        <v>77</v>
      </c>
      <c r="B75" s="2" t="s">
        <v>3</v>
      </c>
      <c r="C75" s="1" t="str">
        <f>IFERROR(__xludf.DUMMYFUNCTION("GOOGLETRANSLATE(A75,""en"",""pt-br"")"),"acrimoniosamente")</f>
        <v>acrimoniosamente</v>
      </c>
      <c r="D75" s="1" t="str">
        <f>IFERROR(__xludf.DUMMYFUNCTION("GOOGLETRANSLATE(B75,""en"",""pt-br"")"),"negativo")</f>
        <v>negativo</v>
      </c>
    </row>
    <row r="76" ht="15.75" customHeight="1">
      <c r="A76" s="2" t="s">
        <v>78</v>
      </c>
      <c r="B76" s="2" t="s">
        <v>3</v>
      </c>
      <c r="C76" s="1" t="str">
        <f>IFERROR(__xludf.DUMMYFUNCTION("GOOGLETRANSLATE(A76,""en"",""pt-br"")"),"acrimônia")</f>
        <v>acrimônia</v>
      </c>
      <c r="D76" s="1" t="str">
        <f>IFERROR(__xludf.DUMMYFUNCTION("GOOGLETRANSLATE(B76,""en"",""pt-br"")"),"negativo")</f>
        <v>negativo</v>
      </c>
    </row>
    <row r="77" ht="15.75" customHeight="1">
      <c r="A77" s="2" t="s">
        <v>79</v>
      </c>
      <c r="B77" s="2" t="s">
        <v>14</v>
      </c>
      <c r="C77" s="1" t="str">
        <f>IFERROR(__xludf.DUMMYFUNCTION("GOOGLETRANSLATE(A77,""en"",""pt-br"")"),"perspicácia")</f>
        <v>perspicácia</v>
      </c>
      <c r="D77" s="1" t="str">
        <f>IFERROR(__xludf.DUMMYFUNCTION("GOOGLETRANSLATE(B77,""en"",""pt-br"")"),"positivo")</f>
        <v>positivo</v>
      </c>
    </row>
    <row r="78" ht="15.75" customHeight="1">
      <c r="A78" s="2" t="s">
        <v>80</v>
      </c>
      <c r="B78" s="2" t="s">
        <v>3</v>
      </c>
      <c r="C78" s="1" t="str">
        <f>IFERROR(__xludf.DUMMYFUNCTION("GOOGLETRANSLATE(A78,""en"",""pt-br"")"),"diamante")</f>
        <v>diamante</v>
      </c>
      <c r="D78" s="1" t="str">
        <f>IFERROR(__xludf.DUMMYFUNCTION("GOOGLETRANSLATE(B78,""en"",""pt-br"")"),"negativo")</f>
        <v>negativo</v>
      </c>
    </row>
    <row r="79" ht="15.75" customHeight="1">
      <c r="A79" s="2" t="s">
        <v>81</v>
      </c>
      <c r="B79" s="2" t="s">
        <v>3</v>
      </c>
      <c r="C79" s="1" t="str">
        <f>IFERROR(__xludf.DUMMYFUNCTION("GOOGLETRANSLATE(A79,""en"",""pt-br"")"),"inflexível")</f>
        <v>inflexível</v>
      </c>
      <c r="D79" s="1" t="str">
        <f>IFERROR(__xludf.DUMMYFUNCTION("GOOGLETRANSLATE(B79,""en"",""pt-br"")"),"negativo")</f>
        <v>negativo</v>
      </c>
    </row>
    <row r="80" ht="15.75" customHeight="1">
      <c r="A80" s="2" t="s">
        <v>82</v>
      </c>
      <c r="B80" s="2" t="s">
        <v>14</v>
      </c>
      <c r="C80" s="1" t="str">
        <f>IFERROR(__xludf.DUMMYFUNCTION("GOOGLETRANSLATE(A80,""en"",""pt-br"")"),"adaptável")</f>
        <v>adaptável</v>
      </c>
      <c r="D80" s="1" t="str">
        <f>IFERROR(__xludf.DUMMYFUNCTION("GOOGLETRANSLATE(B80,""en"",""pt-br"")"),"positivo")</f>
        <v>positivo</v>
      </c>
    </row>
    <row r="81" ht="15.75" customHeight="1">
      <c r="A81" s="2" t="s">
        <v>83</v>
      </c>
      <c r="B81" s="2" t="s">
        <v>14</v>
      </c>
      <c r="C81" s="1" t="str">
        <f>IFERROR(__xludf.DUMMYFUNCTION("GOOGLETRANSLATE(A81,""en"",""pt-br"")"),"adaptativo")</f>
        <v>adaptativo</v>
      </c>
      <c r="D81" s="1" t="str">
        <f>IFERROR(__xludf.DUMMYFUNCTION("GOOGLETRANSLATE(B81,""en"",""pt-br"")"),"positivo")</f>
        <v>positivo</v>
      </c>
    </row>
    <row r="82" ht="15.75" customHeight="1">
      <c r="A82" s="2" t="s">
        <v>84</v>
      </c>
      <c r="B82" s="2" t="s">
        <v>3</v>
      </c>
      <c r="C82" s="1" t="str">
        <f>IFERROR(__xludf.DUMMYFUNCTION("GOOGLETRANSLATE(A82,""en"",""pt-br"")"),"viciado")</f>
        <v>viciado</v>
      </c>
      <c r="D82" s="1" t="str">
        <f>IFERROR(__xludf.DUMMYFUNCTION("GOOGLETRANSLATE(B82,""en"",""pt-br"")"),"negativo")</f>
        <v>negativo</v>
      </c>
    </row>
    <row r="83" ht="15.75" customHeight="1">
      <c r="A83" s="2" t="s">
        <v>85</v>
      </c>
      <c r="B83" s="2" t="s">
        <v>3</v>
      </c>
      <c r="C83" s="1" t="str">
        <f>IFERROR(__xludf.DUMMYFUNCTION("GOOGLETRANSLATE(A83,""en"",""pt-br"")"),"viciado")</f>
        <v>viciado</v>
      </c>
      <c r="D83" s="1" t="str">
        <f>IFERROR(__xludf.DUMMYFUNCTION("GOOGLETRANSLATE(B83,""en"",""pt-br"")"),"negativo")</f>
        <v>negativo</v>
      </c>
    </row>
    <row r="84" ht="15.75" customHeight="1">
      <c r="A84" s="2" t="s">
        <v>86</v>
      </c>
      <c r="B84" s="2" t="s">
        <v>3</v>
      </c>
      <c r="C84" s="1" t="str">
        <f>IFERROR(__xludf.DUMMYFUNCTION("GOOGLETRANSLATE(A84,""en"",""pt-br"")"),"viciante")</f>
        <v>viciante</v>
      </c>
      <c r="D84" s="1" t="str">
        <f>IFERROR(__xludf.DUMMYFUNCTION("GOOGLETRANSLATE(B84,""en"",""pt-br"")"),"negativo")</f>
        <v>negativo</v>
      </c>
    </row>
    <row r="85" ht="15.75" customHeight="1">
      <c r="A85" s="2" t="s">
        <v>87</v>
      </c>
      <c r="B85" s="2" t="s">
        <v>3</v>
      </c>
      <c r="C85" s="1" t="str">
        <f>IFERROR(__xludf.DUMMYFUNCTION("GOOGLETRANSLATE(A85,""en"",""pt-br"")"),"viciados")</f>
        <v>viciados</v>
      </c>
      <c r="D85" s="1" t="str">
        <f>IFERROR(__xludf.DUMMYFUNCTION("GOOGLETRANSLATE(B85,""en"",""pt-br"")"),"negativo")</f>
        <v>negativo</v>
      </c>
    </row>
    <row r="86" ht="15.75" customHeight="1">
      <c r="A86" s="2" t="s">
        <v>88</v>
      </c>
      <c r="B86" s="2" t="s">
        <v>14</v>
      </c>
      <c r="C86" s="1" t="str">
        <f>IFERROR(__xludf.DUMMYFUNCTION("GOOGLETRANSLATE(A86,""en"",""pt-br"")"),"adequado")</f>
        <v>adequado</v>
      </c>
      <c r="D86" s="1" t="str">
        <f>IFERROR(__xludf.DUMMYFUNCTION("GOOGLETRANSLATE(B86,""en"",""pt-br"")"),"positivo")</f>
        <v>positivo</v>
      </c>
    </row>
    <row r="87" ht="15.75" customHeight="1">
      <c r="A87" s="2" t="s">
        <v>89</v>
      </c>
      <c r="B87" s="2" t="s">
        <v>14</v>
      </c>
      <c r="C87" s="1" t="str">
        <f>IFERROR(__xludf.DUMMYFUNCTION("GOOGLETRANSLATE(A87,""en"",""pt-br"")"),"ajustável")</f>
        <v>ajustável</v>
      </c>
      <c r="D87" s="1" t="str">
        <f>IFERROR(__xludf.DUMMYFUNCTION("GOOGLETRANSLATE(B87,""en"",""pt-br"")"),"positivo")</f>
        <v>positivo</v>
      </c>
    </row>
    <row r="88" ht="15.75" customHeight="1">
      <c r="A88" s="2" t="s">
        <v>90</v>
      </c>
      <c r="B88" s="2" t="s">
        <v>14</v>
      </c>
      <c r="C88" s="1" t="str">
        <f>IFERROR(__xludf.DUMMYFUNCTION("GOOGLETRANSLATE(A88,""en"",""pt-br"")"),"admirável")</f>
        <v>admirável</v>
      </c>
      <c r="D88" s="1" t="str">
        <f>IFERROR(__xludf.DUMMYFUNCTION("GOOGLETRANSLATE(B88,""en"",""pt-br"")"),"positivo")</f>
        <v>positivo</v>
      </c>
    </row>
    <row r="89" ht="15.75" customHeight="1">
      <c r="A89" s="2" t="s">
        <v>91</v>
      </c>
      <c r="B89" s="2" t="s">
        <v>14</v>
      </c>
      <c r="C89" s="1" t="str">
        <f>IFERROR(__xludf.DUMMYFUNCTION("GOOGLETRANSLATE(A89,""en"",""pt-br"")"),"admiravelmente")</f>
        <v>admiravelmente</v>
      </c>
      <c r="D89" s="1" t="str">
        <f>IFERROR(__xludf.DUMMYFUNCTION("GOOGLETRANSLATE(B89,""en"",""pt-br"")"),"positivo")</f>
        <v>positivo</v>
      </c>
    </row>
    <row r="90" ht="15.75" customHeight="1">
      <c r="A90" s="2" t="s">
        <v>92</v>
      </c>
      <c r="B90" s="2" t="s">
        <v>14</v>
      </c>
      <c r="C90" s="1" t="str">
        <f>IFERROR(__xludf.DUMMYFUNCTION("GOOGLETRANSLATE(A90,""en"",""pt-br"")"),"admiração")</f>
        <v>admiração</v>
      </c>
      <c r="D90" s="1" t="str">
        <f>IFERROR(__xludf.DUMMYFUNCTION("GOOGLETRANSLATE(B90,""en"",""pt-br"")"),"positivo")</f>
        <v>positivo</v>
      </c>
    </row>
    <row r="91" ht="15.75" customHeight="1">
      <c r="A91" s="2" t="s">
        <v>93</v>
      </c>
      <c r="B91" s="2" t="s">
        <v>14</v>
      </c>
      <c r="C91" s="1" t="str">
        <f>IFERROR(__xludf.DUMMYFUNCTION("GOOGLETRANSLATE(A91,""en"",""pt-br"")"),"admirar")</f>
        <v>admirar</v>
      </c>
      <c r="D91" s="1" t="str">
        <f>IFERROR(__xludf.DUMMYFUNCTION("GOOGLETRANSLATE(B91,""en"",""pt-br"")"),"positivo")</f>
        <v>positivo</v>
      </c>
    </row>
    <row r="92" ht="15.75" customHeight="1">
      <c r="A92" s="2" t="s">
        <v>94</v>
      </c>
      <c r="B92" s="2" t="s">
        <v>14</v>
      </c>
      <c r="C92" s="1" t="str">
        <f>IFERROR(__xludf.DUMMYFUNCTION("GOOGLETRANSLATE(A92,""en"",""pt-br"")"),"admirador")</f>
        <v>admirador</v>
      </c>
      <c r="D92" s="1" t="str">
        <f>IFERROR(__xludf.DUMMYFUNCTION("GOOGLETRANSLATE(B92,""en"",""pt-br"")"),"positivo")</f>
        <v>positivo</v>
      </c>
    </row>
    <row r="93" ht="15.75" customHeight="1">
      <c r="A93" s="2" t="s">
        <v>95</v>
      </c>
      <c r="B93" s="2" t="s">
        <v>14</v>
      </c>
      <c r="C93" s="1" t="str">
        <f>IFERROR(__xludf.DUMMYFUNCTION("GOOGLETRANSLATE(A93,""en"",""pt-br"")"),"admirando")</f>
        <v>admirando</v>
      </c>
      <c r="D93" s="1" t="str">
        <f>IFERROR(__xludf.DUMMYFUNCTION("GOOGLETRANSLATE(B93,""en"",""pt-br"")"),"positivo")</f>
        <v>positivo</v>
      </c>
    </row>
    <row r="94" ht="15.75" customHeight="1">
      <c r="A94" s="2" t="s">
        <v>96</v>
      </c>
      <c r="B94" s="2" t="s">
        <v>14</v>
      </c>
      <c r="C94" s="1" t="str">
        <f>IFERROR(__xludf.DUMMYFUNCTION("GOOGLETRANSLATE(A94,""en"",""pt-br"")"),"admiradoramente")</f>
        <v>admiradoramente</v>
      </c>
      <c r="D94" s="1" t="str">
        <f>IFERROR(__xludf.DUMMYFUNCTION("GOOGLETRANSLATE(B94,""en"",""pt-br"")"),"positivo")</f>
        <v>positivo</v>
      </c>
    </row>
    <row r="95" ht="15.75" customHeight="1">
      <c r="A95" s="2" t="s">
        <v>97</v>
      </c>
      <c r="B95" s="2" t="s">
        <v>3</v>
      </c>
      <c r="C95" s="1" t="str">
        <f>IFERROR(__xludf.DUMMYFUNCTION("GOOGLETRANSLATE(A95,""en"",""pt-br"")"),"admoestar")</f>
        <v>admoestar</v>
      </c>
      <c r="D95" s="1" t="str">
        <f>IFERROR(__xludf.DUMMYFUNCTION("GOOGLETRANSLATE(B95,""en"",""pt-br"")"),"negativo")</f>
        <v>negativo</v>
      </c>
    </row>
    <row r="96" ht="15.75" customHeight="1">
      <c r="A96" s="2" t="s">
        <v>98</v>
      </c>
      <c r="B96" s="2" t="s">
        <v>3</v>
      </c>
      <c r="C96" s="1" t="str">
        <f>IFERROR(__xludf.DUMMYFUNCTION("GOOGLETRANSLATE(A96,""en"",""pt-br"")"),"admoestador")</f>
        <v>admoestador</v>
      </c>
      <c r="D96" s="1" t="str">
        <f>IFERROR(__xludf.DUMMYFUNCTION("GOOGLETRANSLATE(B96,""en"",""pt-br"")"),"negativo")</f>
        <v>negativo</v>
      </c>
    </row>
    <row r="97" ht="15.75" customHeight="1">
      <c r="A97" s="2" t="s">
        <v>99</v>
      </c>
      <c r="B97" s="2" t="s">
        <v>3</v>
      </c>
      <c r="C97" s="1" t="str">
        <f>IFERROR(__xludf.DUMMYFUNCTION("GOOGLETRANSLATE(A97,""en"",""pt-br"")"),"admonishingly")</f>
        <v>admonishingly</v>
      </c>
      <c r="D97" s="1" t="str">
        <f>IFERROR(__xludf.DUMMYFUNCTION("GOOGLETRANSLATE(B97,""en"",""pt-br"")"),"negativo")</f>
        <v>negativo</v>
      </c>
    </row>
    <row r="98" ht="15.75" customHeight="1">
      <c r="A98" s="2" t="s">
        <v>100</v>
      </c>
      <c r="B98" s="2" t="s">
        <v>3</v>
      </c>
      <c r="C98" s="1" t="str">
        <f>IFERROR(__xludf.DUMMYFUNCTION("GOOGLETRANSLATE(A98,""en"",""pt-br"")"),"admoestação")</f>
        <v>admoestação</v>
      </c>
      <c r="D98" s="1" t="str">
        <f>IFERROR(__xludf.DUMMYFUNCTION("GOOGLETRANSLATE(B98,""en"",""pt-br"")"),"negativo")</f>
        <v>negativo</v>
      </c>
    </row>
    <row r="99" ht="15.75" customHeight="1">
      <c r="A99" s="2" t="s">
        <v>101</v>
      </c>
      <c r="B99" s="2" t="s">
        <v>3</v>
      </c>
      <c r="C99" s="1" t="str">
        <f>IFERROR(__xludf.DUMMYFUNCTION("GOOGLETRANSLATE(A99,""en"",""pt-br"")"),"admoestação")</f>
        <v>admoestação</v>
      </c>
      <c r="D99" s="1" t="str">
        <f>IFERROR(__xludf.DUMMYFUNCTION("GOOGLETRANSLATE(B99,""en"",""pt-br"")"),"negativo")</f>
        <v>negativo</v>
      </c>
    </row>
    <row r="100" ht="15.75" customHeight="1">
      <c r="A100" s="2" t="s">
        <v>102</v>
      </c>
      <c r="B100" s="2" t="s">
        <v>14</v>
      </c>
      <c r="C100" s="1" t="str">
        <f>IFERROR(__xludf.DUMMYFUNCTION("GOOGLETRANSLATE(A100,""en"",""pt-br"")"),"adorável")</f>
        <v>adorável</v>
      </c>
      <c r="D100" s="1" t="str">
        <f>IFERROR(__xludf.DUMMYFUNCTION("GOOGLETRANSLATE(B100,""en"",""pt-br"")"),"positivo")</f>
        <v>positivo</v>
      </c>
    </row>
    <row r="101" ht="15.75" customHeight="1">
      <c r="A101" s="2" t="s">
        <v>103</v>
      </c>
      <c r="B101" s="2" t="s">
        <v>14</v>
      </c>
      <c r="C101" s="1" t="str">
        <f>IFERROR(__xludf.DUMMYFUNCTION("GOOGLETRANSLATE(A101,""en"",""pt-br"")"),"adore")</f>
        <v>adore</v>
      </c>
      <c r="D101" s="1" t="str">
        <f>IFERROR(__xludf.DUMMYFUNCTION("GOOGLETRANSLATE(B101,""en"",""pt-br"")"),"positivo")</f>
        <v>positivo</v>
      </c>
    </row>
    <row r="102" ht="15.75" customHeight="1">
      <c r="A102" s="2" t="s">
        <v>104</v>
      </c>
      <c r="B102" s="2" t="s">
        <v>14</v>
      </c>
      <c r="C102" s="1" t="str">
        <f>IFERROR(__xludf.DUMMYFUNCTION("GOOGLETRANSLATE(A102,""en"",""pt-br"")"),"adorado")</f>
        <v>adorado</v>
      </c>
      <c r="D102" s="1" t="str">
        <f>IFERROR(__xludf.DUMMYFUNCTION("GOOGLETRANSLATE(B102,""en"",""pt-br"")"),"positivo")</f>
        <v>positivo</v>
      </c>
    </row>
    <row r="103" ht="15.75" customHeight="1">
      <c r="A103" s="2" t="s">
        <v>105</v>
      </c>
      <c r="B103" s="2" t="s">
        <v>14</v>
      </c>
      <c r="C103" s="1" t="str">
        <f>IFERROR(__xludf.DUMMYFUNCTION("GOOGLETRANSLATE(A103,""en"",""pt-br"")"),"adorador")</f>
        <v>adorador</v>
      </c>
      <c r="D103" s="1" t="str">
        <f>IFERROR(__xludf.DUMMYFUNCTION("GOOGLETRANSLATE(B103,""en"",""pt-br"")"),"positivo")</f>
        <v>positivo</v>
      </c>
    </row>
    <row r="104" ht="15.75" customHeight="1">
      <c r="A104" s="2" t="s">
        <v>106</v>
      </c>
      <c r="B104" s="2" t="s">
        <v>14</v>
      </c>
      <c r="C104" s="1" t="str">
        <f>IFERROR(__xludf.DUMMYFUNCTION("GOOGLETRANSLATE(A104,""en"",""pt-br"")"),"adorador")</f>
        <v>adorador</v>
      </c>
      <c r="D104" s="1" t="str">
        <f>IFERROR(__xludf.DUMMYFUNCTION("GOOGLETRANSLATE(B104,""en"",""pt-br"")"),"positivo")</f>
        <v>positivo</v>
      </c>
    </row>
    <row r="105" ht="15.75" customHeight="1">
      <c r="A105" s="2" t="s">
        <v>107</v>
      </c>
      <c r="B105" s="2" t="s">
        <v>14</v>
      </c>
      <c r="C105" s="1" t="str">
        <f>IFERROR(__xludf.DUMMYFUNCTION("GOOGLETRANSLATE(A105,""en"",""pt-br"")"),"adoração")</f>
        <v>adoração</v>
      </c>
      <c r="D105" s="1" t="str">
        <f>IFERROR(__xludf.DUMMYFUNCTION("GOOGLETRANSLATE(B105,""en"",""pt-br"")"),"positivo")</f>
        <v>positivo</v>
      </c>
    </row>
    <row r="106" ht="15.75" customHeight="1">
      <c r="A106" s="2" t="s">
        <v>108</v>
      </c>
      <c r="B106" s="2" t="s">
        <v>14</v>
      </c>
      <c r="C106" s="1" t="str">
        <f>IFERROR(__xludf.DUMMYFUNCTION("GOOGLETRANSLATE(A106,""en"",""pt-br"")"),"hábil")</f>
        <v>hábil</v>
      </c>
      <c r="D106" s="1" t="str">
        <f>IFERROR(__xludf.DUMMYFUNCTION("GOOGLETRANSLATE(B106,""en"",""pt-br"")"),"positivo")</f>
        <v>positivo</v>
      </c>
    </row>
    <row r="107" ht="15.75" customHeight="1">
      <c r="A107" s="2" t="s">
        <v>109</v>
      </c>
      <c r="B107" s="2" t="s">
        <v>14</v>
      </c>
      <c r="C107" s="1" t="str">
        <f>IFERROR(__xludf.DUMMYFUNCTION("GOOGLETRANSLATE(A107,""en"",""pt-br"")"),"adroitly")</f>
        <v>adroitly</v>
      </c>
      <c r="D107" s="1" t="str">
        <f>IFERROR(__xludf.DUMMYFUNCTION("GOOGLETRANSLATE(B107,""en"",""pt-br"")"),"positivo")</f>
        <v>positivo</v>
      </c>
    </row>
    <row r="108" ht="15.75" customHeight="1">
      <c r="A108" s="2" t="s">
        <v>110</v>
      </c>
      <c r="B108" s="2" t="s">
        <v>14</v>
      </c>
      <c r="C108" s="1" t="str">
        <f>IFERROR(__xludf.DUMMYFUNCTION("GOOGLETRANSLATE(A108,""en"",""pt-br"")"),"adular")</f>
        <v>adular</v>
      </c>
      <c r="D108" s="1" t="str">
        <f>IFERROR(__xludf.DUMMYFUNCTION("GOOGLETRANSLATE(B108,""en"",""pt-br"")"),"positivo")</f>
        <v>positivo</v>
      </c>
    </row>
    <row r="109" ht="15.75" customHeight="1">
      <c r="A109" s="2" t="s">
        <v>111</v>
      </c>
      <c r="B109" s="2" t="s">
        <v>14</v>
      </c>
      <c r="C109" s="1" t="str">
        <f>IFERROR(__xludf.DUMMYFUNCTION("GOOGLETRANSLATE(A109,""en"",""pt-br"")"),"adulação")</f>
        <v>adulação</v>
      </c>
      <c r="D109" s="1" t="str">
        <f>IFERROR(__xludf.DUMMYFUNCTION("GOOGLETRANSLATE(B109,""en"",""pt-br"")"),"positivo")</f>
        <v>positivo</v>
      </c>
    </row>
    <row r="110" ht="15.75" customHeight="1">
      <c r="A110" s="2" t="s">
        <v>112</v>
      </c>
      <c r="B110" s="2" t="s">
        <v>14</v>
      </c>
      <c r="C110" s="1" t="str">
        <f>IFERROR(__xludf.DUMMYFUNCTION("GOOGLETRANSLATE(A110,""en"",""pt-br"")"),"adulador")</f>
        <v>adulador</v>
      </c>
      <c r="D110" s="1" t="str">
        <f>IFERROR(__xludf.DUMMYFUNCTION("GOOGLETRANSLATE(B110,""en"",""pt-br"")"),"positivo")</f>
        <v>positivo</v>
      </c>
    </row>
    <row r="111" ht="15.75" customHeight="1">
      <c r="A111" s="2" t="s">
        <v>113</v>
      </c>
      <c r="B111" s="2" t="s">
        <v>3</v>
      </c>
      <c r="C111" s="1" t="str">
        <f>IFERROR(__xludf.DUMMYFUNCTION("GOOGLETRANSLATE(A111,""en"",""pt-br"")"),"adulterar")</f>
        <v>adulterar</v>
      </c>
      <c r="D111" s="1" t="str">
        <f>IFERROR(__xludf.DUMMYFUNCTION("GOOGLETRANSLATE(B111,""en"",""pt-br"")"),"negativo")</f>
        <v>negativo</v>
      </c>
    </row>
    <row r="112" ht="15.75" customHeight="1">
      <c r="A112" s="2" t="s">
        <v>114</v>
      </c>
      <c r="B112" s="2" t="s">
        <v>3</v>
      </c>
      <c r="C112" s="1" t="str">
        <f>IFERROR(__xludf.DUMMYFUNCTION("GOOGLETRANSLATE(A112,""en"",""pt-br"")"),"adulterado")</f>
        <v>adulterado</v>
      </c>
      <c r="D112" s="1" t="str">
        <f>IFERROR(__xludf.DUMMYFUNCTION("GOOGLETRANSLATE(B112,""en"",""pt-br"")"),"negativo")</f>
        <v>negativo</v>
      </c>
    </row>
    <row r="113" ht="15.75" customHeight="1">
      <c r="A113" s="2" t="s">
        <v>115</v>
      </c>
      <c r="B113" s="2" t="s">
        <v>3</v>
      </c>
      <c r="C113" s="1" t="str">
        <f>IFERROR(__xludf.DUMMYFUNCTION("GOOGLETRANSLATE(A113,""en"",""pt-br"")"),"adulteração")</f>
        <v>adulteração</v>
      </c>
      <c r="D113" s="1" t="str">
        <f>IFERROR(__xludf.DUMMYFUNCTION("GOOGLETRANSLATE(B113,""en"",""pt-br"")"),"negativo")</f>
        <v>negativo</v>
      </c>
    </row>
    <row r="114" ht="15.75" customHeight="1">
      <c r="A114" s="2" t="s">
        <v>116</v>
      </c>
      <c r="B114" s="2" t="s">
        <v>3</v>
      </c>
      <c r="C114" s="1" t="str">
        <f>IFERROR(__xludf.DUMMYFUNCTION("GOOGLETRANSLATE(A114,""en"",""pt-br"")"),"adulterier")</f>
        <v>adulterier</v>
      </c>
      <c r="D114" s="1" t="str">
        <f>IFERROR(__xludf.DUMMYFUNCTION("GOOGLETRANSLATE(B114,""en"",""pt-br"")"),"negativo")</f>
        <v>negativo</v>
      </c>
    </row>
    <row r="115" ht="15.75" customHeight="1">
      <c r="A115" s="2" t="s">
        <v>117</v>
      </c>
      <c r="B115" s="2" t="s">
        <v>14</v>
      </c>
      <c r="C115" s="1" t="str">
        <f>IFERROR(__xludf.DUMMYFUNCTION("GOOGLETRANSLATE(A115,""en"",""pt-br"")"),"avançado")</f>
        <v>avançado</v>
      </c>
      <c r="D115" s="1" t="str">
        <f>IFERROR(__xludf.DUMMYFUNCTION("GOOGLETRANSLATE(B115,""en"",""pt-br"")"),"positivo")</f>
        <v>positivo</v>
      </c>
    </row>
    <row r="116" ht="15.75" customHeight="1">
      <c r="A116" s="2" t="s">
        <v>118</v>
      </c>
      <c r="B116" s="2" t="s">
        <v>14</v>
      </c>
      <c r="C116" s="1" t="str">
        <f>IFERROR(__xludf.DUMMYFUNCTION("GOOGLETRANSLATE(A116,""en"",""pt-br"")"),"vantagem")</f>
        <v>vantagem</v>
      </c>
      <c r="D116" s="1" t="str">
        <f>IFERROR(__xludf.DUMMYFUNCTION("GOOGLETRANSLATE(B116,""en"",""pt-br"")"),"positivo")</f>
        <v>positivo</v>
      </c>
    </row>
    <row r="117" ht="15.75" customHeight="1">
      <c r="A117" s="2" t="s">
        <v>119</v>
      </c>
      <c r="B117" s="2" t="s">
        <v>14</v>
      </c>
      <c r="C117" s="1" t="str">
        <f>IFERROR(__xludf.DUMMYFUNCTION("GOOGLETRANSLATE(A117,""en"",""pt-br"")"),"vantajoso")</f>
        <v>vantajoso</v>
      </c>
      <c r="D117" s="1" t="str">
        <f>IFERROR(__xludf.DUMMYFUNCTION("GOOGLETRANSLATE(B117,""en"",""pt-br"")"),"positivo")</f>
        <v>positivo</v>
      </c>
    </row>
    <row r="118" ht="15.75" customHeight="1">
      <c r="A118" s="2" t="s">
        <v>120</v>
      </c>
      <c r="B118" s="2" t="s">
        <v>14</v>
      </c>
      <c r="C118" s="1" t="str">
        <f>IFERROR(__xludf.DUMMYFUNCTION("GOOGLETRANSLATE(A118,""en"",""pt-br"")"),"vantajosamente")</f>
        <v>vantajosamente</v>
      </c>
      <c r="D118" s="1" t="str">
        <f>IFERROR(__xludf.DUMMYFUNCTION("GOOGLETRANSLATE(B118,""en"",""pt-br"")"),"positivo")</f>
        <v>positivo</v>
      </c>
    </row>
    <row r="119" ht="15.75" customHeight="1">
      <c r="A119" s="2" t="s">
        <v>121</v>
      </c>
      <c r="B119" s="2" t="s">
        <v>14</v>
      </c>
      <c r="C119" s="1" t="str">
        <f>IFERROR(__xludf.DUMMYFUNCTION("GOOGLETRANSLATE(A119,""en"",""pt-br"")"),"vantagens")</f>
        <v>vantagens</v>
      </c>
      <c r="D119" s="1" t="str">
        <f>IFERROR(__xludf.DUMMYFUNCTION("GOOGLETRANSLATE(B119,""en"",""pt-br"")"),"positivo")</f>
        <v>positivo</v>
      </c>
    </row>
    <row r="120" ht="15.75" customHeight="1">
      <c r="A120" s="2" t="s">
        <v>122</v>
      </c>
      <c r="B120" s="2" t="s">
        <v>14</v>
      </c>
      <c r="C120" s="1" t="str">
        <f>IFERROR(__xludf.DUMMYFUNCTION("GOOGLETRANSLATE(A120,""en"",""pt-br"")"),"aventuroso")</f>
        <v>aventuroso</v>
      </c>
      <c r="D120" s="1" t="str">
        <f>IFERROR(__xludf.DUMMYFUNCTION("GOOGLETRANSLATE(B120,""en"",""pt-br"")"),"positivo")</f>
        <v>positivo</v>
      </c>
    </row>
    <row r="121" ht="15.75" customHeight="1">
      <c r="A121" s="2" t="s">
        <v>123</v>
      </c>
      <c r="B121" s="2" t="s">
        <v>14</v>
      </c>
      <c r="C121" s="1" t="str">
        <f>IFERROR(__xludf.DUMMYFUNCTION("GOOGLETRANSLATE(A121,""en"",""pt-br"")"),"aventureiro")</f>
        <v>aventureiro</v>
      </c>
      <c r="D121" s="1" t="str">
        <f>IFERROR(__xludf.DUMMYFUNCTION("GOOGLETRANSLATE(B121,""en"",""pt-br"")"),"positivo")</f>
        <v>positivo</v>
      </c>
    </row>
    <row r="122" ht="15.75" customHeight="1">
      <c r="A122" s="2" t="s">
        <v>124</v>
      </c>
      <c r="B122" s="2" t="s">
        <v>3</v>
      </c>
      <c r="C122" s="1" t="str">
        <f>IFERROR(__xludf.DUMMYFUNCTION("GOOGLETRANSLATE(A122,""en"",""pt-br"")"),"contraditório")</f>
        <v>contraditório</v>
      </c>
      <c r="D122" s="1" t="str">
        <f>IFERROR(__xludf.DUMMYFUNCTION("GOOGLETRANSLATE(B122,""en"",""pt-br"")"),"negativo")</f>
        <v>negativo</v>
      </c>
    </row>
    <row r="123" ht="15.75" customHeight="1">
      <c r="A123" s="2" t="s">
        <v>125</v>
      </c>
      <c r="B123" s="2" t="s">
        <v>3</v>
      </c>
      <c r="C123" s="1" t="str">
        <f>IFERROR(__xludf.DUMMYFUNCTION("GOOGLETRANSLATE(A123,""en"",""pt-br"")"),"adversário")</f>
        <v>adversário</v>
      </c>
      <c r="D123" s="1" t="str">
        <f>IFERROR(__xludf.DUMMYFUNCTION("GOOGLETRANSLATE(B123,""en"",""pt-br"")"),"negativo")</f>
        <v>negativo</v>
      </c>
    </row>
    <row r="124" ht="15.75" customHeight="1">
      <c r="A124" s="2" t="s">
        <v>126</v>
      </c>
      <c r="B124" s="2" t="s">
        <v>3</v>
      </c>
      <c r="C124" s="1" t="str">
        <f>IFERROR(__xludf.DUMMYFUNCTION("GOOGLETRANSLATE(A124,""en"",""pt-br"")"),"desfavoraveis")</f>
        <v>desfavoraveis</v>
      </c>
      <c r="D124" s="1" t="str">
        <f>IFERROR(__xludf.DUMMYFUNCTION("GOOGLETRANSLATE(B124,""en"",""pt-br"")"),"negativo")</f>
        <v>negativo</v>
      </c>
    </row>
    <row r="125" ht="15.75" customHeight="1">
      <c r="A125" s="2" t="s">
        <v>127</v>
      </c>
      <c r="B125" s="2" t="s">
        <v>3</v>
      </c>
      <c r="C125" s="1" t="str">
        <f>IFERROR(__xludf.DUMMYFUNCTION("GOOGLETRANSLATE(A125,""en"",""pt-br"")"),"adversidade")</f>
        <v>adversidade</v>
      </c>
      <c r="D125" s="1" t="str">
        <f>IFERROR(__xludf.DUMMYFUNCTION("GOOGLETRANSLATE(B125,""en"",""pt-br"")"),"negativo")</f>
        <v>negativo</v>
      </c>
    </row>
    <row r="126" ht="15.75" customHeight="1">
      <c r="A126" s="2" t="s">
        <v>128</v>
      </c>
      <c r="B126" s="2" t="s">
        <v>14</v>
      </c>
      <c r="C126" s="1" t="str">
        <f>IFERROR(__xludf.DUMMYFUNCTION("GOOGLETRANSLATE(A126,""en"",""pt-br"")"),"advogado")</f>
        <v>advogado</v>
      </c>
      <c r="D126" s="1" t="str">
        <f>IFERROR(__xludf.DUMMYFUNCTION("GOOGLETRANSLATE(B126,""en"",""pt-br"")"),"positivo")</f>
        <v>positivo</v>
      </c>
    </row>
    <row r="127" ht="15.75" customHeight="1">
      <c r="A127" s="2" t="s">
        <v>129</v>
      </c>
      <c r="B127" s="2" t="s">
        <v>14</v>
      </c>
      <c r="C127" s="1" t="str">
        <f>IFERROR(__xludf.DUMMYFUNCTION("GOOGLETRANSLATE(A127,""en"",""pt-br"")"),"advogou")</f>
        <v>advogou</v>
      </c>
      <c r="D127" s="1" t="str">
        <f>IFERROR(__xludf.DUMMYFUNCTION("GOOGLETRANSLATE(B127,""en"",""pt-br"")"),"positivo")</f>
        <v>positivo</v>
      </c>
    </row>
    <row r="128" ht="15.75" customHeight="1">
      <c r="A128" s="2" t="s">
        <v>130</v>
      </c>
      <c r="B128" s="2" t="s">
        <v>14</v>
      </c>
      <c r="C128" s="1" t="str">
        <f>IFERROR(__xludf.DUMMYFUNCTION("GOOGLETRANSLATE(A128,""en"",""pt-br"")"),"defensores")</f>
        <v>defensores</v>
      </c>
      <c r="D128" s="1" t="str">
        <f>IFERROR(__xludf.DUMMYFUNCTION("GOOGLETRANSLATE(B128,""en"",""pt-br"")"),"positivo")</f>
        <v>positivo</v>
      </c>
    </row>
    <row r="129" ht="15.75" customHeight="1">
      <c r="A129" s="2" t="s">
        <v>131</v>
      </c>
      <c r="B129" s="2" t="s">
        <v>14</v>
      </c>
      <c r="C129" s="1" t="str">
        <f>IFERROR(__xludf.DUMMYFUNCTION("GOOGLETRANSLATE(A129,""en"",""pt-br"")"),"afabilidade")</f>
        <v>afabilidade</v>
      </c>
      <c r="D129" s="1" t="str">
        <f>IFERROR(__xludf.DUMMYFUNCTION("GOOGLETRANSLATE(B129,""en"",""pt-br"")"),"positivo")</f>
        <v>positivo</v>
      </c>
    </row>
    <row r="130" ht="15.75" customHeight="1">
      <c r="A130" s="2" t="s">
        <v>132</v>
      </c>
      <c r="B130" s="2" t="s">
        <v>14</v>
      </c>
      <c r="C130" s="1" t="str">
        <f>IFERROR(__xludf.DUMMYFUNCTION("GOOGLETRANSLATE(A130,""en"",""pt-br"")"),"afável")</f>
        <v>afável</v>
      </c>
      <c r="D130" s="1" t="str">
        <f>IFERROR(__xludf.DUMMYFUNCTION("GOOGLETRANSLATE(B130,""en"",""pt-br"")"),"positivo")</f>
        <v>positivo</v>
      </c>
    </row>
    <row r="131" ht="15.75" customHeight="1">
      <c r="A131" s="2" t="s">
        <v>133</v>
      </c>
      <c r="B131" s="2" t="s">
        <v>14</v>
      </c>
      <c r="C131" s="1" t="str">
        <f>IFERROR(__xludf.DUMMYFUNCTION("GOOGLETRANSLATE(A131,""en"",""pt-br"")"),"afavelmente")</f>
        <v>afavelmente</v>
      </c>
      <c r="D131" s="1" t="str">
        <f>IFERROR(__xludf.DUMMYFUNCTION("GOOGLETRANSLATE(B131,""en"",""pt-br"")"),"positivo")</f>
        <v>positivo</v>
      </c>
    </row>
    <row r="132" ht="15.75" customHeight="1">
      <c r="A132" s="2" t="s">
        <v>134</v>
      </c>
      <c r="B132" s="2" t="s">
        <v>14</v>
      </c>
      <c r="C132" s="1" t="str">
        <f>IFERROR(__xludf.DUMMYFUNCTION("GOOGLETRANSLATE(A132,""en"",""pt-br"")"),"afetação")</f>
        <v>afetação</v>
      </c>
      <c r="D132" s="1" t="str">
        <f>IFERROR(__xludf.DUMMYFUNCTION("GOOGLETRANSLATE(B132,""en"",""pt-br"")"),"positivo")</f>
        <v>positivo</v>
      </c>
    </row>
    <row r="133" ht="15.75" customHeight="1">
      <c r="A133" s="2" t="s">
        <v>135</v>
      </c>
      <c r="B133" s="2" t="s">
        <v>14</v>
      </c>
      <c r="C133" s="1" t="str">
        <f>IFERROR(__xludf.DUMMYFUNCTION("GOOGLETRANSLATE(A133,""en"",""pt-br"")"),"afeição")</f>
        <v>afeição</v>
      </c>
      <c r="D133" s="1" t="str">
        <f>IFERROR(__xludf.DUMMYFUNCTION("GOOGLETRANSLATE(B133,""en"",""pt-br"")"),"positivo")</f>
        <v>positivo</v>
      </c>
    </row>
    <row r="134" ht="15.75" customHeight="1">
      <c r="A134" s="2" t="s">
        <v>136</v>
      </c>
      <c r="B134" s="2" t="s">
        <v>14</v>
      </c>
      <c r="C134" s="1" t="str">
        <f>IFERROR(__xludf.DUMMYFUNCTION("GOOGLETRANSLATE(A134,""en"",""pt-br"")"),"afetuoso")</f>
        <v>afetuoso</v>
      </c>
      <c r="D134" s="1" t="str">
        <f>IFERROR(__xludf.DUMMYFUNCTION("GOOGLETRANSLATE(B134,""en"",""pt-br"")"),"positivo")</f>
        <v>positivo</v>
      </c>
    </row>
    <row r="135" ht="15.75" customHeight="1">
      <c r="A135" s="2" t="s">
        <v>137</v>
      </c>
      <c r="B135" s="2" t="s">
        <v>14</v>
      </c>
      <c r="C135" s="1" t="str">
        <f>IFERROR(__xludf.DUMMYFUNCTION("GOOGLETRANSLATE(A135,""en"",""pt-br"")"),"afinidade")</f>
        <v>afinidade</v>
      </c>
      <c r="D135" s="1" t="str">
        <f>IFERROR(__xludf.DUMMYFUNCTION("GOOGLETRANSLATE(B135,""en"",""pt-br"")"),"positivo")</f>
        <v>positivo</v>
      </c>
    </row>
    <row r="136" ht="15.75" customHeight="1">
      <c r="A136" s="2" t="s">
        <v>138</v>
      </c>
      <c r="B136" s="2" t="s">
        <v>14</v>
      </c>
      <c r="C136" s="1" t="str">
        <f>IFERROR(__xludf.DUMMYFUNCTION("GOOGLETRANSLATE(A136,""en"",""pt-br"")"),"afirmar")</f>
        <v>afirmar</v>
      </c>
      <c r="D136" s="1" t="str">
        <f>IFERROR(__xludf.DUMMYFUNCTION("GOOGLETRANSLATE(B136,""en"",""pt-br"")"),"positivo")</f>
        <v>positivo</v>
      </c>
    </row>
    <row r="137" ht="15.75" customHeight="1">
      <c r="A137" s="2" t="s">
        <v>139</v>
      </c>
      <c r="B137" s="2" t="s">
        <v>14</v>
      </c>
      <c r="C137" s="1" t="str">
        <f>IFERROR(__xludf.DUMMYFUNCTION("GOOGLETRANSLATE(A137,""en"",""pt-br"")"),"afirmação")</f>
        <v>afirmação</v>
      </c>
      <c r="D137" s="1" t="str">
        <f>IFERROR(__xludf.DUMMYFUNCTION("GOOGLETRANSLATE(B137,""en"",""pt-br"")"),"positivo")</f>
        <v>positivo</v>
      </c>
    </row>
    <row r="138" ht="15.75" customHeight="1">
      <c r="A138" s="2" t="s">
        <v>140</v>
      </c>
      <c r="B138" s="2" t="s">
        <v>14</v>
      </c>
      <c r="C138" s="1" t="str">
        <f>IFERROR(__xludf.DUMMYFUNCTION("GOOGLETRANSLATE(A138,""en"",""pt-br"")"),"afirmativo")</f>
        <v>afirmativo</v>
      </c>
      <c r="D138" s="1" t="str">
        <f>IFERROR(__xludf.DUMMYFUNCTION("GOOGLETRANSLATE(B138,""en"",""pt-br"")"),"positivo")</f>
        <v>positivo</v>
      </c>
    </row>
    <row r="139" ht="15.75" customHeight="1">
      <c r="A139" s="2" t="s">
        <v>141</v>
      </c>
      <c r="B139" s="2" t="s">
        <v>3</v>
      </c>
      <c r="C139" s="1" t="str">
        <f>IFERROR(__xludf.DUMMYFUNCTION("GOOGLETRANSLATE(A139,""en"",""pt-br"")"),"afligir")</f>
        <v>afligir</v>
      </c>
      <c r="D139" s="1" t="str">
        <f>IFERROR(__xludf.DUMMYFUNCTION("GOOGLETRANSLATE(B139,""en"",""pt-br"")"),"negativo")</f>
        <v>negativo</v>
      </c>
    </row>
    <row r="140" ht="15.75" customHeight="1">
      <c r="A140" s="2" t="s">
        <v>142</v>
      </c>
      <c r="B140" s="2" t="s">
        <v>3</v>
      </c>
      <c r="C140" s="1" t="str">
        <f>IFERROR(__xludf.DUMMYFUNCTION("GOOGLETRANSLATE(A140,""en"",""pt-br"")"),"aflição")</f>
        <v>aflição</v>
      </c>
      <c r="D140" s="1" t="str">
        <f>IFERROR(__xludf.DUMMYFUNCTION("GOOGLETRANSLATE(B140,""en"",""pt-br"")"),"negativo")</f>
        <v>negativo</v>
      </c>
    </row>
    <row r="141" ht="15.75" customHeight="1">
      <c r="A141" s="2" t="s">
        <v>143</v>
      </c>
      <c r="B141" s="2" t="s">
        <v>3</v>
      </c>
      <c r="C141" s="1" t="str">
        <f>IFERROR(__xludf.DUMMYFUNCTION("GOOGLETRANSLATE(A141,""en"",""pt-br"")"),"aflitivo")</f>
        <v>aflitivo</v>
      </c>
      <c r="D141" s="1" t="str">
        <f>IFERROR(__xludf.DUMMYFUNCTION("GOOGLETRANSLATE(B141,""en"",""pt-br"")"),"negativo")</f>
        <v>negativo</v>
      </c>
    </row>
    <row r="142" ht="15.75" customHeight="1">
      <c r="A142" s="2" t="s">
        <v>144</v>
      </c>
      <c r="B142" s="2" t="s">
        <v>14</v>
      </c>
      <c r="C142" s="1" t="str">
        <f>IFERROR(__xludf.DUMMYFUNCTION("GOOGLETRANSLATE(A142,""en"",""pt-br"")"),"afluência")</f>
        <v>afluência</v>
      </c>
      <c r="D142" s="1" t="str">
        <f>IFERROR(__xludf.DUMMYFUNCTION("GOOGLETRANSLATE(B142,""en"",""pt-br"")"),"positivo")</f>
        <v>positivo</v>
      </c>
    </row>
    <row r="143" ht="15.75" customHeight="1">
      <c r="A143" s="2" t="s">
        <v>145</v>
      </c>
      <c r="B143" s="2" t="s">
        <v>14</v>
      </c>
      <c r="C143" s="1" t="str">
        <f>IFERROR(__xludf.DUMMYFUNCTION("GOOGLETRANSLATE(A143,""en"",""pt-br"")"),"afluente")</f>
        <v>afluente</v>
      </c>
      <c r="D143" s="1" t="str">
        <f>IFERROR(__xludf.DUMMYFUNCTION("GOOGLETRANSLATE(B143,""en"",""pt-br"")"),"positivo")</f>
        <v>positivo</v>
      </c>
    </row>
    <row r="144" ht="15.75" customHeight="1">
      <c r="A144" s="2" t="s">
        <v>146</v>
      </c>
      <c r="B144" s="2" t="s">
        <v>14</v>
      </c>
      <c r="C144" s="1" t="str">
        <f>IFERROR(__xludf.DUMMYFUNCTION("GOOGLETRANSLATE(A144,""en"",""pt-br"")"),"proporcionar")</f>
        <v>proporcionar</v>
      </c>
      <c r="D144" s="1" t="str">
        <f>IFERROR(__xludf.DUMMYFUNCTION("GOOGLETRANSLATE(B144,""en"",""pt-br"")"),"positivo")</f>
        <v>positivo</v>
      </c>
    </row>
    <row r="145" ht="15.75" customHeight="1">
      <c r="A145" s="2" t="s">
        <v>147</v>
      </c>
      <c r="B145" s="2" t="s">
        <v>14</v>
      </c>
      <c r="C145" s="1" t="str">
        <f>IFERROR(__xludf.DUMMYFUNCTION("GOOGLETRANSLATE(A145,""en"",""pt-br"")"),"acessível")</f>
        <v>acessível</v>
      </c>
      <c r="D145" s="1" t="str">
        <f>IFERROR(__xludf.DUMMYFUNCTION("GOOGLETRANSLATE(B145,""en"",""pt-br"")"),"positivo")</f>
        <v>positivo</v>
      </c>
    </row>
    <row r="146" ht="15.75" customHeight="1">
      <c r="A146" s="2" t="s">
        <v>148</v>
      </c>
      <c r="B146" s="2" t="s">
        <v>14</v>
      </c>
      <c r="C146" s="1" t="str">
        <f>IFERROR(__xludf.DUMMYFUNCTION("GOOGLETRANSLATE(A146,""en"",""pt-br"")"),"acessível")</f>
        <v>acessível</v>
      </c>
      <c r="D146" s="1" t="str">
        <f>IFERROR(__xludf.DUMMYFUNCTION("GOOGLETRANSLATE(B146,""en"",""pt-br"")"),"positivo")</f>
        <v>positivo</v>
      </c>
    </row>
    <row r="147" ht="15.75" customHeight="1">
      <c r="A147" s="2" t="s">
        <v>149</v>
      </c>
      <c r="B147" s="2" t="s">
        <v>3</v>
      </c>
      <c r="C147" s="1" t="str">
        <f>IFERROR(__xludf.DUMMYFUNCTION("GOOGLETRANSLATE(A147,""en"",""pt-br"")"),"afronta")</f>
        <v>afronta</v>
      </c>
      <c r="D147" s="1" t="str">
        <f>IFERROR(__xludf.DUMMYFUNCTION("GOOGLETRANSLATE(B147,""en"",""pt-br"")"),"negativo")</f>
        <v>negativo</v>
      </c>
    </row>
    <row r="148" ht="15.75" customHeight="1">
      <c r="A148" s="2" t="s">
        <v>150</v>
      </c>
      <c r="B148" s="2" t="s">
        <v>14</v>
      </c>
      <c r="C148" s="1" t="str">
        <f>IFERROR(__xludf.DUMMYFUNCTION("GOOGLETRANSLATE(A148,""en"",""pt-br"")"),"afordable")</f>
        <v>afordable</v>
      </c>
      <c r="D148" s="1" t="str">
        <f>IFERROR(__xludf.DUMMYFUNCTION("GOOGLETRANSLATE(B148,""en"",""pt-br"")"),"positivo")</f>
        <v>positivo</v>
      </c>
    </row>
    <row r="149" ht="15.75" customHeight="1">
      <c r="A149" s="2" t="s">
        <v>151</v>
      </c>
      <c r="B149" s="2" t="s">
        <v>3</v>
      </c>
      <c r="C149" s="1" t="str">
        <f>IFERROR(__xludf.DUMMYFUNCTION("GOOGLETRANSLATE(A149,""en"",""pt-br"")"),"receoso")</f>
        <v>receoso</v>
      </c>
      <c r="D149" s="1" t="str">
        <f>IFERROR(__xludf.DUMMYFUNCTION("GOOGLETRANSLATE(B149,""en"",""pt-br"")"),"negativo")</f>
        <v>negativo</v>
      </c>
    </row>
    <row r="150" ht="15.75" customHeight="1">
      <c r="A150" s="2" t="s">
        <v>152</v>
      </c>
      <c r="B150" s="2" t="s">
        <v>3</v>
      </c>
      <c r="C150" s="1" t="str">
        <f>IFERROR(__xludf.DUMMYFUNCTION("GOOGLETRANSLATE(A150,""en"",""pt-br"")"),"agravar")</f>
        <v>agravar</v>
      </c>
      <c r="D150" s="1" t="str">
        <f>IFERROR(__xludf.DUMMYFUNCTION("GOOGLETRANSLATE(B150,""en"",""pt-br"")"),"negativo")</f>
        <v>negativo</v>
      </c>
    </row>
    <row r="151" ht="15.75" customHeight="1">
      <c r="A151" s="2" t="s">
        <v>153</v>
      </c>
      <c r="B151" s="2" t="s">
        <v>3</v>
      </c>
      <c r="C151" s="1" t="str">
        <f>IFERROR(__xludf.DUMMYFUNCTION("GOOGLETRANSLATE(A151,""en"",""pt-br"")"),"agravante")</f>
        <v>agravante</v>
      </c>
      <c r="D151" s="1" t="str">
        <f>IFERROR(__xludf.DUMMYFUNCTION("GOOGLETRANSLATE(B151,""en"",""pt-br"")"),"negativo")</f>
        <v>negativo</v>
      </c>
    </row>
    <row r="152" ht="15.75" customHeight="1">
      <c r="A152" s="2" t="s">
        <v>154</v>
      </c>
      <c r="B152" s="2" t="s">
        <v>3</v>
      </c>
      <c r="C152" s="1" t="str">
        <f>IFERROR(__xludf.DUMMYFUNCTION("GOOGLETRANSLATE(A152,""en"",""pt-br"")"),"agravamento")</f>
        <v>agravamento</v>
      </c>
      <c r="D152" s="1" t="str">
        <f>IFERROR(__xludf.DUMMYFUNCTION("GOOGLETRANSLATE(B152,""en"",""pt-br"")"),"negativo")</f>
        <v>negativo</v>
      </c>
    </row>
    <row r="153" ht="15.75" customHeight="1">
      <c r="A153" s="2" t="s">
        <v>155</v>
      </c>
      <c r="B153" s="2" t="s">
        <v>3</v>
      </c>
      <c r="C153" s="1" t="str">
        <f>IFERROR(__xludf.DUMMYFUNCTION("GOOGLETRANSLATE(A153,""en"",""pt-br"")"),"agressão")</f>
        <v>agressão</v>
      </c>
      <c r="D153" s="1" t="str">
        <f>IFERROR(__xludf.DUMMYFUNCTION("GOOGLETRANSLATE(B153,""en"",""pt-br"")"),"negativo")</f>
        <v>negativo</v>
      </c>
    </row>
    <row r="154" ht="15.75" customHeight="1">
      <c r="A154" s="2" t="s">
        <v>156</v>
      </c>
      <c r="B154" s="2" t="s">
        <v>3</v>
      </c>
      <c r="C154" s="1" t="str">
        <f>IFERROR(__xludf.DUMMYFUNCTION("GOOGLETRANSLATE(A154,""en"",""pt-br"")"),"agressivo")</f>
        <v>agressivo</v>
      </c>
      <c r="D154" s="1" t="str">
        <f>IFERROR(__xludf.DUMMYFUNCTION("GOOGLETRANSLATE(B154,""en"",""pt-br"")"),"negativo")</f>
        <v>negativo</v>
      </c>
    </row>
    <row r="155" ht="15.75" customHeight="1">
      <c r="A155" s="2" t="s">
        <v>157</v>
      </c>
      <c r="B155" s="2" t="s">
        <v>3</v>
      </c>
      <c r="C155" s="1" t="str">
        <f>IFERROR(__xludf.DUMMYFUNCTION("GOOGLETRANSLATE(A155,""en"",""pt-br"")"),"agressividade")</f>
        <v>agressividade</v>
      </c>
      <c r="D155" s="1" t="str">
        <f>IFERROR(__xludf.DUMMYFUNCTION("GOOGLETRANSLATE(B155,""en"",""pt-br"")"),"negativo")</f>
        <v>negativo</v>
      </c>
    </row>
    <row r="156" ht="15.75" customHeight="1">
      <c r="A156" s="2" t="s">
        <v>158</v>
      </c>
      <c r="B156" s="2" t="s">
        <v>3</v>
      </c>
      <c r="C156" s="1" t="str">
        <f>IFERROR(__xludf.DUMMYFUNCTION("GOOGLETRANSLATE(A156,""en"",""pt-br"")"),"agressor")</f>
        <v>agressor</v>
      </c>
      <c r="D156" s="1" t="str">
        <f>IFERROR(__xludf.DUMMYFUNCTION("GOOGLETRANSLATE(B156,""en"",""pt-br"")"),"negativo")</f>
        <v>negativo</v>
      </c>
    </row>
    <row r="157" ht="15.75" customHeight="1">
      <c r="A157" s="2" t="s">
        <v>159</v>
      </c>
      <c r="B157" s="2" t="s">
        <v>3</v>
      </c>
      <c r="C157" s="1" t="str">
        <f>IFERROR(__xludf.DUMMYFUNCTION("GOOGLETRANSLATE(A157,""en"",""pt-br"")"),"afligir")</f>
        <v>afligir</v>
      </c>
      <c r="D157" s="1" t="str">
        <f>IFERROR(__xludf.DUMMYFUNCTION("GOOGLETRANSLATE(B157,""en"",""pt-br"")"),"negativo")</f>
        <v>negativo</v>
      </c>
    </row>
    <row r="158" ht="15.75" customHeight="1">
      <c r="A158" s="2" t="s">
        <v>160</v>
      </c>
      <c r="B158" s="2" t="s">
        <v>3</v>
      </c>
      <c r="C158" s="1" t="str">
        <f>IFERROR(__xludf.DUMMYFUNCTION("GOOGLETRANSLATE(A158,""en"",""pt-br"")"),"ofendido")</f>
        <v>ofendido</v>
      </c>
      <c r="D158" s="1" t="str">
        <f>IFERROR(__xludf.DUMMYFUNCTION("GOOGLETRANSLATE(B158,""en"",""pt-br"")"),"negativo")</f>
        <v>negativo</v>
      </c>
    </row>
    <row r="159" ht="15.75" customHeight="1">
      <c r="A159" s="2" t="s">
        <v>161</v>
      </c>
      <c r="B159" s="2" t="s">
        <v>3</v>
      </c>
      <c r="C159" s="1" t="str">
        <f>IFERROR(__xludf.DUMMYFUNCTION("GOOGLETRANSLATE(A159,""en"",""pt-br"")"),"aggrivation")</f>
        <v>aggrivation</v>
      </c>
      <c r="D159" s="1" t="str">
        <f>IFERROR(__xludf.DUMMYFUNCTION("GOOGLETRANSLATE(B159,""en"",""pt-br"")"),"negativo")</f>
        <v>negativo</v>
      </c>
    </row>
    <row r="160" ht="15.75" customHeight="1">
      <c r="A160" s="2" t="s">
        <v>162</v>
      </c>
      <c r="B160" s="2" t="s">
        <v>3</v>
      </c>
      <c r="C160" s="1" t="str">
        <f>IFERROR(__xludf.DUMMYFUNCTION("GOOGLETRANSLATE(A160,""en"",""pt-br"")"),"horrorizado")</f>
        <v>horrorizado</v>
      </c>
      <c r="D160" s="1" t="str">
        <f>IFERROR(__xludf.DUMMYFUNCTION("GOOGLETRANSLATE(B160,""en"",""pt-br"")"),"negativo")</f>
        <v>negativo</v>
      </c>
    </row>
    <row r="161" ht="15.75" customHeight="1">
      <c r="A161" s="2" t="s">
        <v>163</v>
      </c>
      <c r="B161" s="2" t="s">
        <v>14</v>
      </c>
      <c r="C161" s="1" t="str">
        <f>IFERROR(__xludf.DUMMYFUNCTION("GOOGLETRANSLATE(A161,""en"",""pt-br"")"),"ágil")</f>
        <v>ágil</v>
      </c>
      <c r="D161" s="1" t="str">
        <f>IFERROR(__xludf.DUMMYFUNCTION("GOOGLETRANSLATE(B161,""en"",""pt-br"")"),"positivo")</f>
        <v>positivo</v>
      </c>
    </row>
    <row r="162" ht="15.75" customHeight="1">
      <c r="A162" s="2" t="s">
        <v>164</v>
      </c>
      <c r="B162" s="2" t="s">
        <v>14</v>
      </c>
      <c r="C162" s="1" t="str">
        <f>IFERROR(__xludf.DUMMYFUNCTION("GOOGLETRANSLATE(A162,""en"",""pt-br"")"),"agilely")</f>
        <v>agilely</v>
      </c>
      <c r="D162" s="1" t="str">
        <f>IFERROR(__xludf.DUMMYFUNCTION("GOOGLETRANSLATE(B162,""en"",""pt-br"")"),"positivo")</f>
        <v>positivo</v>
      </c>
    </row>
    <row r="163" ht="15.75" customHeight="1">
      <c r="A163" s="2" t="s">
        <v>165</v>
      </c>
      <c r="B163" s="2" t="s">
        <v>14</v>
      </c>
      <c r="C163" s="1" t="str">
        <f>IFERROR(__xludf.DUMMYFUNCTION("GOOGLETRANSLATE(A163,""en"",""pt-br"")"),"agilidade")</f>
        <v>agilidade</v>
      </c>
      <c r="D163" s="1" t="str">
        <f>IFERROR(__xludf.DUMMYFUNCTION("GOOGLETRANSLATE(B163,""en"",""pt-br"")"),"positivo")</f>
        <v>positivo</v>
      </c>
    </row>
    <row r="164" ht="15.75" customHeight="1">
      <c r="A164" s="2" t="s">
        <v>166</v>
      </c>
      <c r="B164" s="2" t="s">
        <v>3</v>
      </c>
      <c r="C164" s="1" t="str">
        <f>IFERROR(__xludf.DUMMYFUNCTION("GOOGLETRANSLATE(A164,""en"",""pt-br"")"),"agonias")</f>
        <v>agonias</v>
      </c>
      <c r="D164" s="1" t="str">
        <f>IFERROR(__xludf.DUMMYFUNCTION("GOOGLETRANSLATE(B164,""en"",""pt-br"")"),"negativo")</f>
        <v>negativo</v>
      </c>
    </row>
    <row r="165" ht="15.75" customHeight="1">
      <c r="A165" s="2" t="s">
        <v>167</v>
      </c>
      <c r="B165" s="2" t="s">
        <v>3</v>
      </c>
      <c r="C165" s="1" t="str">
        <f>IFERROR(__xludf.DUMMYFUNCTION("GOOGLETRANSLATE(A165,""en"",""pt-br"")"),"agonizar")</f>
        <v>agonizar</v>
      </c>
      <c r="D165" s="1" t="str">
        <f>IFERROR(__xludf.DUMMYFUNCTION("GOOGLETRANSLATE(B165,""en"",""pt-br"")"),"negativo")</f>
        <v>negativo</v>
      </c>
    </row>
    <row r="166" ht="15.75" customHeight="1">
      <c r="A166" s="2" t="s">
        <v>168</v>
      </c>
      <c r="B166" s="2" t="s">
        <v>3</v>
      </c>
      <c r="C166" s="1" t="str">
        <f>IFERROR(__xludf.DUMMYFUNCTION("GOOGLETRANSLATE(A166,""en"",""pt-br"")"),"agonizante")</f>
        <v>agonizante</v>
      </c>
      <c r="D166" s="1" t="str">
        <f>IFERROR(__xludf.DUMMYFUNCTION("GOOGLETRANSLATE(B166,""en"",""pt-br"")"),"negativo")</f>
        <v>negativo</v>
      </c>
    </row>
    <row r="167" ht="15.75" customHeight="1">
      <c r="A167" s="2" t="s">
        <v>169</v>
      </c>
      <c r="B167" s="2" t="s">
        <v>3</v>
      </c>
      <c r="C167" s="1" t="str">
        <f>IFERROR(__xludf.DUMMYFUNCTION("GOOGLETRANSLATE(A167,""en"",""pt-br"")"),"agonizantemente")</f>
        <v>agonizantemente</v>
      </c>
      <c r="D167" s="1" t="str">
        <f>IFERROR(__xludf.DUMMYFUNCTION("GOOGLETRANSLATE(B167,""en"",""pt-br"")"),"negativo")</f>
        <v>negativo</v>
      </c>
    </row>
    <row r="168" ht="15.75" customHeight="1">
      <c r="A168" s="2" t="s">
        <v>170</v>
      </c>
      <c r="B168" s="2" t="s">
        <v>3</v>
      </c>
      <c r="C168" s="1" t="str">
        <f>IFERROR(__xludf.DUMMYFUNCTION("GOOGLETRANSLATE(A168,""en"",""pt-br"")"),"agonia")</f>
        <v>agonia</v>
      </c>
      <c r="D168" s="1" t="str">
        <f>IFERROR(__xludf.DUMMYFUNCTION("GOOGLETRANSLATE(B168,""en"",""pt-br"")"),"negativo")</f>
        <v>negativo</v>
      </c>
    </row>
    <row r="169" ht="15.75" customHeight="1">
      <c r="A169" s="2" t="s">
        <v>171</v>
      </c>
      <c r="B169" s="2" t="s">
        <v>14</v>
      </c>
      <c r="C169" s="1" t="str">
        <f>IFERROR(__xludf.DUMMYFUNCTION("GOOGLETRANSLATE(A169,""en"",""pt-br"")"),"agradável")</f>
        <v>agradável</v>
      </c>
      <c r="D169" s="1" t="str">
        <f>IFERROR(__xludf.DUMMYFUNCTION("GOOGLETRANSLATE(B169,""en"",""pt-br"")"),"positivo")</f>
        <v>positivo</v>
      </c>
    </row>
    <row r="170" ht="15.75" customHeight="1">
      <c r="A170" s="2" t="s">
        <v>172</v>
      </c>
      <c r="B170" s="2" t="s">
        <v>14</v>
      </c>
      <c r="C170" s="1" t="str">
        <f>IFERROR(__xludf.DUMMYFUNCTION("GOOGLETRANSLATE(A170,""en"",""pt-br"")"),"agreeableness")</f>
        <v>agreeableness</v>
      </c>
      <c r="D170" s="1" t="str">
        <f>IFERROR(__xludf.DUMMYFUNCTION("GOOGLETRANSLATE(B170,""en"",""pt-br"")"),"positivo")</f>
        <v>positivo</v>
      </c>
    </row>
    <row r="171" ht="15.75" customHeight="1">
      <c r="A171" s="2" t="s">
        <v>173</v>
      </c>
      <c r="B171" s="2" t="s">
        <v>14</v>
      </c>
      <c r="C171" s="1" t="str">
        <f>IFERROR(__xludf.DUMMYFUNCTION("GOOGLETRANSLATE(A171,""en"",""pt-br"")"),"agradavelmente")</f>
        <v>agradavelmente</v>
      </c>
      <c r="D171" s="1" t="str">
        <f>IFERROR(__xludf.DUMMYFUNCTION("GOOGLETRANSLATE(B171,""en"",""pt-br"")"),"positivo")</f>
        <v>positivo</v>
      </c>
    </row>
    <row r="172" ht="15.75" customHeight="1">
      <c r="A172" s="2" t="s">
        <v>174</v>
      </c>
      <c r="B172" s="2" t="s">
        <v>3</v>
      </c>
      <c r="C172" s="1" t="str">
        <f>IFERROR(__xludf.DUMMYFUNCTION("GOOGLETRANSLATE(A172,""en"",""pt-br"")"),"encalhado")</f>
        <v>encalhado</v>
      </c>
      <c r="D172" s="1" t="str">
        <f>IFERROR(__xludf.DUMMYFUNCTION("GOOGLETRANSLATE(B172,""en"",""pt-br"")"),"negativo")</f>
        <v>negativo</v>
      </c>
    </row>
    <row r="173" ht="15.75" customHeight="1">
      <c r="A173" s="2" t="s">
        <v>175</v>
      </c>
      <c r="B173" s="2" t="s">
        <v>3</v>
      </c>
      <c r="C173" s="1" t="str">
        <f>IFERROR(__xludf.DUMMYFUNCTION("GOOGLETRANSLATE(A173,""en"",""pt-br"")"),"afligir")</f>
        <v>afligir</v>
      </c>
      <c r="D173" s="1" t="str">
        <f>IFERROR(__xludf.DUMMYFUNCTION("GOOGLETRANSLATE(B173,""en"",""pt-br"")"),"negativo")</f>
        <v>negativo</v>
      </c>
    </row>
    <row r="174" ht="15.75" customHeight="1">
      <c r="A174" s="2" t="s">
        <v>176</v>
      </c>
      <c r="B174" s="2" t="s">
        <v>3</v>
      </c>
      <c r="C174" s="1" t="str">
        <f>IFERROR(__xludf.DUMMYFUNCTION("GOOGLETRANSLATE(A174,""en"",""pt-br"")"),"doente")</f>
        <v>doente</v>
      </c>
      <c r="D174" s="1" t="str">
        <f>IFERROR(__xludf.DUMMYFUNCTION("GOOGLETRANSLATE(B174,""en"",""pt-br"")"),"negativo")</f>
        <v>negativo</v>
      </c>
    </row>
    <row r="175" ht="15.75" customHeight="1">
      <c r="A175" s="2" t="s">
        <v>177</v>
      </c>
      <c r="B175" s="2" t="s">
        <v>3</v>
      </c>
      <c r="C175" s="1" t="str">
        <f>IFERROR(__xludf.DUMMYFUNCTION("GOOGLETRANSLATE(A175,""en"",""pt-br"")"),"doença")</f>
        <v>doença</v>
      </c>
      <c r="D175" s="1" t="str">
        <f>IFERROR(__xludf.DUMMYFUNCTION("GOOGLETRANSLATE(B175,""en"",""pt-br"")"),"negativo")</f>
        <v>negativo</v>
      </c>
    </row>
    <row r="176" ht="15.75" customHeight="1">
      <c r="A176" s="2" t="s">
        <v>178</v>
      </c>
      <c r="B176" s="2" t="s">
        <v>3</v>
      </c>
      <c r="C176" s="1" t="str">
        <f>IFERROR(__xludf.DUMMYFUNCTION("GOOGLETRANSLATE(A176,""en"",""pt-br"")"),"sem objetivo")</f>
        <v>sem objetivo</v>
      </c>
      <c r="D176" s="1" t="str">
        <f>IFERROR(__xludf.DUMMYFUNCTION("GOOGLETRANSLATE(B176,""en"",""pt-br"")"),"negativo")</f>
        <v>negativo</v>
      </c>
    </row>
    <row r="177" ht="15.75" customHeight="1">
      <c r="A177" s="2" t="s">
        <v>179</v>
      </c>
      <c r="B177" s="2" t="s">
        <v>3</v>
      </c>
      <c r="C177" s="1" t="str">
        <f>IFERROR(__xludf.DUMMYFUNCTION("GOOGLETRANSLATE(A177,""en"",""pt-br"")"),"alarme")</f>
        <v>alarme</v>
      </c>
      <c r="D177" s="1" t="str">
        <f>IFERROR(__xludf.DUMMYFUNCTION("GOOGLETRANSLATE(B177,""en"",""pt-br"")"),"negativo")</f>
        <v>negativo</v>
      </c>
    </row>
    <row r="178" ht="15.75" customHeight="1">
      <c r="A178" s="2" t="s">
        <v>180</v>
      </c>
      <c r="B178" s="2" t="s">
        <v>3</v>
      </c>
      <c r="C178" s="1" t="str">
        <f>IFERROR(__xludf.DUMMYFUNCTION("GOOGLETRANSLATE(A178,""en"",""pt-br"")"),"alarmada")</f>
        <v>alarmada</v>
      </c>
      <c r="D178" s="1" t="str">
        <f>IFERROR(__xludf.DUMMYFUNCTION("GOOGLETRANSLATE(B178,""en"",""pt-br"")"),"negativo")</f>
        <v>negativo</v>
      </c>
    </row>
    <row r="179" ht="15.75" customHeight="1">
      <c r="A179" s="2" t="s">
        <v>181</v>
      </c>
      <c r="B179" s="2" t="s">
        <v>3</v>
      </c>
      <c r="C179" s="1" t="str">
        <f>IFERROR(__xludf.DUMMYFUNCTION("GOOGLETRANSLATE(A179,""en"",""pt-br"")"),"alarmante")</f>
        <v>alarmante</v>
      </c>
      <c r="D179" s="1" t="str">
        <f>IFERROR(__xludf.DUMMYFUNCTION("GOOGLETRANSLATE(B179,""en"",""pt-br"")"),"negativo")</f>
        <v>negativo</v>
      </c>
    </row>
    <row r="180" ht="15.75" customHeight="1">
      <c r="A180" s="2" t="s">
        <v>182</v>
      </c>
      <c r="B180" s="2" t="s">
        <v>3</v>
      </c>
      <c r="C180" s="1" t="str">
        <f>IFERROR(__xludf.DUMMYFUNCTION("GOOGLETRANSLATE(A180,""en"",""pt-br"")"),"alarmantemente")</f>
        <v>alarmantemente</v>
      </c>
      <c r="D180" s="1" t="str">
        <f>IFERROR(__xludf.DUMMYFUNCTION("GOOGLETRANSLATE(B180,""en"",""pt-br"")"),"negativo")</f>
        <v>negativo</v>
      </c>
    </row>
    <row r="181" ht="15.75" customHeight="1">
      <c r="A181" s="2" t="s">
        <v>183</v>
      </c>
      <c r="B181" s="2" t="s">
        <v>3</v>
      </c>
      <c r="C181" s="1" t="str">
        <f>IFERROR(__xludf.DUMMYFUNCTION("GOOGLETRANSLATE(A181,""en"",""pt-br"")"),"alienar")</f>
        <v>alienar</v>
      </c>
      <c r="D181" s="1" t="str">
        <f>IFERROR(__xludf.DUMMYFUNCTION("GOOGLETRANSLATE(B181,""en"",""pt-br"")"),"negativo")</f>
        <v>negativo</v>
      </c>
    </row>
    <row r="182" ht="15.75" customHeight="1">
      <c r="A182" s="2" t="s">
        <v>184</v>
      </c>
      <c r="B182" s="2" t="s">
        <v>3</v>
      </c>
      <c r="C182" s="1" t="str">
        <f>IFERROR(__xludf.DUMMYFUNCTION("GOOGLETRANSLATE(A182,""en"",""pt-br"")"),"alienado")</f>
        <v>alienado</v>
      </c>
      <c r="D182" s="1" t="str">
        <f>IFERROR(__xludf.DUMMYFUNCTION("GOOGLETRANSLATE(B182,""en"",""pt-br"")"),"negativo")</f>
        <v>negativo</v>
      </c>
    </row>
    <row r="183" ht="15.75" customHeight="1">
      <c r="A183" s="2" t="s">
        <v>185</v>
      </c>
      <c r="B183" s="2" t="s">
        <v>3</v>
      </c>
      <c r="C183" s="1" t="str">
        <f>IFERROR(__xludf.DUMMYFUNCTION("GOOGLETRANSLATE(A183,""en"",""pt-br"")"),"alienação")</f>
        <v>alienação</v>
      </c>
      <c r="D183" s="1" t="str">
        <f>IFERROR(__xludf.DUMMYFUNCTION("GOOGLETRANSLATE(B183,""en"",""pt-br"")"),"negativo")</f>
        <v>negativo</v>
      </c>
    </row>
    <row r="184" ht="15.75" customHeight="1">
      <c r="A184" s="2" t="s">
        <v>186</v>
      </c>
      <c r="B184" s="2" t="s">
        <v>14</v>
      </c>
      <c r="C184" s="1" t="str">
        <f>IFERROR(__xludf.DUMMYFUNCTION("GOOGLETRANSLATE(A184,""en"",""pt-br"")"),"tudo em volta")</f>
        <v>tudo em volta</v>
      </c>
      <c r="D184" s="1" t="str">
        <f>IFERROR(__xludf.DUMMYFUNCTION("GOOGLETRANSLATE(B184,""en"",""pt-br"")"),"positivo")</f>
        <v>positivo</v>
      </c>
    </row>
    <row r="185" ht="15.75" customHeight="1">
      <c r="A185" s="2" t="s">
        <v>187</v>
      </c>
      <c r="B185" s="2" t="s">
        <v>3</v>
      </c>
      <c r="C185" s="1" t="str">
        <f>IFERROR(__xludf.DUMMYFUNCTION("GOOGLETRANSLATE(A185,""en"",""pt-br"")"),"alegação")</f>
        <v>alegação</v>
      </c>
      <c r="D185" s="1" t="str">
        <f>IFERROR(__xludf.DUMMYFUNCTION("GOOGLETRANSLATE(B185,""en"",""pt-br"")"),"negativo")</f>
        <v>negativo</v>
      </c>
    </row>
    <row r="186" ht="15.75" customHeight="1">
      <c r="A186" s="2" t="s">
        <v>188</v>
      </c>
      <c r="B186" s="2" t="s">
        <v>3</v>
      </c>
      <c r="C186" s="1" t="str">
        <f>IFERROR(__xludf.DUMMYFUNCTION("GOOGLETRANSLATE(A186,""en"",""pt-br"")"),"alegações")</f>
        <v>alegações</v>
      </c>
      <c r="D186" s="1" t="str">
        <f>IFERROR(__xludf.DUMMYFUNCTION("GOOGLETRANSLATE(B186,""en"",""pt-br"")"),"negativo")</f>
        <v>negativo</v>
      </c>
    </row>
    <row r="187" ht="15.75" customHeight="1">
      <c r="A187" s="2" t="s">
        <v>189</v>
      </c>
      <c r="B187" s="2" t="s">
        <v>3</v>
      </c>
      <c r="C187" s="1" t="str">
        <f>IFERROR(__xludf.DUMMYFUNCTION("GOOGLETRANSLATE(A187,""en"",""pt-br"")"),"alegam")</f>
        <v>alegam</v>
      </c>
      <c r="D187" s="1" t="str">
        <f>IFERROR(__xludf.DUMMYFUNCTION("GOOGLETRANSLATE(B187,""en"",""pt-br"")"),"negativo")</f>
        <v>negativo</v>
      </c>
    </row>
    <row r="188" ht="15.75" customHeight="1">
      <c r="A188" s="2" t="s">
        <v>190</v>
      </c>
      <c r="B188" s="2" t="s">
        <v>3</v>
      </c>
      <c r="C188" s="1" t="str">
        <f>IFERROR(__xludf.DUMMYFUNCTION("GOOGLETRANSLATE(A188,""en"",""pt-br"")"),"alérgico")</f>
        <v>alérgico</v>
      </c>
      <c r="D188" s="1" t="str">
        <f>IFERROR(__xludf.DUMMYFUNCTION("GOOGLETRANSLATE(B188,""en"",""pt-br"")"),"negativo")</f>
        <v>negativo</v>
      </c>
    </row>
    <row r="189" ht="15.75" customHeight="1">
      <c r="A189" s="2" t="s">
        <v>191</v>
      </c>
      <c r="B189" s="2" t="s">
        <v>3</v>
      </c>
      <c r="C189" s="1" t="str">
        <f>IFERROR(__xludf.DUMMYFUNCTION("GOOGLETRANSLATE(A189,""en"",""pt-br"")"),"alergias")</f>
        <v>alergias</v>
      </c>
      <c r="D189" s="1" t="str">
        <f>IFERROR(__xludf.DUMMYFUNCTION("GOOGLETRANSLATE(B189,""en"",""pt-br"")"),"negativo")</f>
        <v>negativo</v>
      </c>
    </row>
    <row r="190" ht="15.75" customHeight="1">
      <c r="A190" s="2" t="s">
        <v>192</v>
      </c>
      <c r="B190" s="2" t="s">
        <v>3</v>
      </c>
      <c r="C190" s="1" t="str">
        <f>IFERROR(__xludf.DUMMYFUNCTION("GOOGLETRANSLATE(A190,""en"",""pt-br"")"),"alergia")</f>
        <v>alergia</v>
      </c>
      <c r="D190" s="1" t="str">
        <f>IFERROR(__xludf.DUMMYFUNCTION("GOOGLETRANSLATE(B190,""en"",""pt-br"")"),"negativo")</f>
        <v>negativo</v>
      </c>
    </row>
    <row r="191" ht="15.75" customHeight="1">
      <c r="A191" s="2" t="s">
        <v>193</v>
      </c>
      <c r="B191" s="2" t="s">
        <v>14</v>
      </c>
      <c r="C191" s="1" t="str">
        <f>IFERROR(__xludf.DUMMYFUNCTION("GOOGLETRANSLATE(A191,""en"",""pt-br"")"),"sedutor")</f>
        <v>sedutor</v>
      </c>
      <c r="D191" s="1" t="str">
        <f>IFERROR(__xludf.DUMMYFUNCTION("GOOGLETRANSLATE(B191,""en"",""pt-br"")"),"positivo")</f>
        <v>positivo</v>
      </c>
    </row>
    <row r="192" ht="15.75" customHeight="1">
      <c r="A192" s="2" t="s">
        <v>194</v>
      </c>
      <c r="B192" s="2" t="s">
        <v>14</v>
      </c>
      <c r="C192" s="1" t="str">
        <f>IFERROR(__xludf.DUMMYFUNCTION("GOOGLETRANSLATE(A192,""en"",""pt-br"")"),"alluringly")</f>
        <v>alluringly</v>
      </c>
      <c r="D192" s="1" t="str">
        <f>IFERROR(__xludf.DUMMYFUNCTION("GOOGLETRANSLATE(B192,""en"",""pt-br"")"),"positivo")</f>
        <v>positivo</v>
      </c>
    </row>
    <row r="193" ht="15.75" customHeight="1">
      <c r="A193" s="2" t="s">
        <v>195</v>
      </c>
      <c r="B193" s="2" t="s">
        <v>3</v>
      </c>
      <c r="C193" s="1" t="str">
        <f>IFERROR(__xludf.DUMMYFUNCTION("GOOGLETRANSLATE(A193,""en"",""pt-br"")"),"indiferente")</f>
        <v>indiferente</v>
      </c>
      <c r="D193" s="1" t="str">
        <f>IFERROR(__xludf.DUMMYFUNCTION("GOOGLETRANSLATE(B193,""en"",""pt-br"")"),"negativo")</f>
        <v>negativo</v>
      </c>
    </row>
    <row r="194" ht="15.75" customHeight="1">
      <c r="A194" s="2" t="s">
        <v>196</v>
      </c>
      <c r="B194" s="2" t="s">
        <v>3</v>
      </c>
      <c r="C194" s="1" t="str">
        <f>IFERROR(__xludf.DUMMYFUNCTION("GOOGLETRANSLATE(A194,""en"",""pt-br"")"),"altercação")</f>
        <v>altercação</v>
      </c>
      <c r="D194" s="1" t="str">
        <f>IFERROR(__xludf.DUMMYFUNCTION("GOOGLETRANSLATE(B194,""en"",""pt-br"")"),"negativo")</f>
        <v>negativo</v>
      </c>
    </row>
    <row r="195" ht="15.75" customHeight="1">
      <c r="A195" s="2" t="s">
        <v>197</v>
      </c>
      <c r="B195" s="2" t="s">
        <v>14</v>
      </c>
      <c r="C195" s="1" t="str">
        <f>IFERROR(__xludf.DUMMYFUNCTION("GOOGLETRANSLATE(A195,""en"",""pt-br"")"),"altruísta")</f>
        <v>altruísta</v>
      </c>
      <c r="D195" s="1" t="str">
        <f>IFERROR(__xludf.DUMMYFUNCTION("GOOGLETRANSLATE(B195,""en"",""pt-br"")"),"positivo")</f>
        <v>positivo</v>
      </c>
    </row>
    <row r="196" ht="15.75" customHeight="1">
      <c r="A196" s="2" t="s">
        <v>198</v>
      </c>
      <c r="B196" s="2" t="s">
        <v>14</v>
      </c>
      <c r="C196" s="1" t="str">
        <f>IFERROR(__xludf.DUMMYFUNCTION("GOOGLETRANSLATE(A196,""en"",""pt-br"")"),"altruisticamente")</f>
        <v>altruisticamente</v>
      </c>
      <c r="D196" s="1" t="str">
        <f>IFERROR(__xludf.DUMMYFUNCTION("GOOGLETRANSLATE(B196,""en"",""pt-br"")"),"positivo")</f>
        <v>positivo</v>
      </c>
    </row>
    <row r="197" ht="15.75" customHeight="1">
      <c r="A197" s="2" t="s">
        <v>199</v>
      </c>
      <c r="B197" s="2" t="s">
        <v>14</v>
      </c>
      <c r="C197" s="1" t="str">
        <f>IFERROR(__xludf.DUMMYFUNCTION("GOOGLETRANSLATE(A197,""en"",""pt-br"")"),"surpreender")</f>
        <v>surpreender</v>
      </c>
      <c r="D197" s="1" t="str">
        <f>IFERROR(__xludf.DUMMYFUNCTION("GOOGLETRANSLATE(B197,""en"",""pt-br"")"),"positivo")</f>
        <v>positivo</v>
      </c>
    </row>
    <row r="198" ht="15.75" customHeight="1">
      <c r="A198" s="2" t="s">
        <v>200</v>
      </c>
      <c r="B198" s="2" t="s">
        <v>14</v>
      </c>
      <c r="C198" s="1" t="str">
        <f>IFERROR(__xludf.DUMMYFUNCTION("GOOGLETRANSLATE(A198,""en"",""pt-br"")"),"maravilhado")</f>
        <v>maravilhado</v>
      </c>
      <c r="D198" s="1" t="str">
        <f>IFERROR(__xludf.DUMMYFUNCTION("GOOGLETRANSLATE(B198,""en"",""pt-br"")"),"positivo")</f>
        <v>positivo</v>
      </c>
    </row>
    <row r="199" ht="15.75" customHeight="1">
      <c r="A199" s="2" t="s">
        <v>201</v>
      </c>
      <c r="B199" s="2" t="s">
        <v>14</v>
      </c>
      <c r="C199" s="1" t="str">
        <f>IFERROR(__xludf.DUMMYFUNCTION("GOOGLETRANSLATE(A199,""en"",""pt-br"")"),"espanto")</f>
        <v>espanto</v>
      </c>
      <c r="D199" s="1" t="str">
        <f>IFERROR(__xludf.DUMMYFUNCTION("GOOGLETRANSLATE(B199,""en"",""pt-br"")"),"positivo")</f>
        <v>positivo</v>
      </c>
    </row>
    <row r="200" ht="15.75" customHeight="1">
      <c r="A200" s="2" t="s">
        <v>202</v>
      </c>
      <c r="B200" s="2" t="s">
        <v>14</v>
      </c>
      <c r="C200" s="1" t="str">
        <f>IFERROR(__xludf.DUMMYFUNCTION("GOOGLETRANSLATE(A200,""en"",""pt-br"")"),"espanta")</f>
        <v>espanta</v>
      </c>
      <c r="D200" s="1" t="str">
        <f>IFERROR(__xludf.DUMMYFUNCTION("GOOGLETRANSLATE(B200,""en"",""pt-br"")"),"positivo")</f>
        <v>positivo</v>
      </c>
    </row>
    <row r="201" ht="15.75" customHeight="1">
      <c r="A201" s="2" t="s">
        <v>203</v>
      </c>
      <c r="B201" s="2" t="s">
        <v>14</v>
      </c>
      <c r="C201" s="1" t="str">
        <f>IFERROR(__xludf.DUMMYFUNCTION("GOOGLETRANSLATE(A201,""en"",""pt-br"")"),"surpreendente")</f>
        <v>surpreendente</v>
      </c>
      <c r="D201" s="1" t="str">
        <f>IFERROR(__xludf.DUMMYFUNCTION("GOOGLETRANSLATE(B201,""en"",""pt-br"")"),"positivo")</f>
        <v>positivo</v>
      </c>
    </row>
    <row r="202" ht="15.75" customHeight="1">
      <c r="A202" s="2" t="s">
        <v>204</v>
      </c>
      <c r="B202" s="2" t="s">
        <v>14</v>
      </c>
      <c r="C202" s="1" t="str">
        <f>IFERROR(__xludf.DUMMYFUNCTION("GOOGLETRANSLATE(A202,""en"",""pt-br"")"),"Surpreendentemente")</f>
        <v>Surpreendentemente</v>
      </c>
      <c r="D202" s="1" t="str">
        <f>IFERROR(__xludf.DUMMYFUNCTION("GOOGLETRANSLATE(B202,""en"",""pt-br"")"),"positivo")</f>
        <v>positivo</v>
      </c>
    </row>
    <row r="203" ht="15.75" customHeight="1">
      <c r="A203" s="2" t="s">
        <v>205</v>
      </c>
      <c r="B203" s="2" t="s">
        <v>3</v>
      </c>
      <c r="C203" s="1" t="str">
        <f>IFERROR(__xludf.DUMMYFUNCTION("GOOGLETRANSLATE(A203,""en"",""pt-br"")"),"ambiguidade")</f>
        <v>ambiguidade</v>
      </c>
      <c r="D203" s="1" t="str">
        <f>IFERROR(__xludf.DUMMYFUNCTION("GOOGLETRANSLATE(B203,""en"",""pt-br"")"),"negativo")</f>
        <v>negativo</v>
      </c>
    </row>
    <row r="204" ht="15.75" customHeight="1">
      <c r="A204" s="2" t="s">
        <v>206</v>
      </c>
      <c r="B204" s="2" t="s">
        <v>3</v>
      </c>
      <c r="C204" s="1" t="str">
        <f>IFERROR(__xludf.DUMMYFUNCTION("GOOGLETRANSLATE(A204,""en"",""pt-br"")"),"ambíguo")</f>
        <v>ambíguo</v>
      </c>
      <c r="D204" s="1" t="str">
        <f>IFERROR(__xludf.DUMMYFUNCTION("GOOGLETRANSLATE(B204,""en"",""pt-br"")"),"negativo")</f>
        <v>negativo</v>
      </c>
    </row>
    <row r="205" ht="15.75" customHeight="1">
      <c r="A205" s="2" t="s">
        <v>207</v>
      </c>
      <c r="B205" s="2" t="s">
        <v>14</v>
      </c>
      <c r="C205" s="1" t="str">
        <f>IFERROR(__xludf.DUMMYFUNCTION("GOOGLETRANSLATE(A205,""en"",""pt-br"")"),"ambicioso")</f>
        <v>ambicioso</v>
      </c>
      <c r="D205" s="1" t="str">
        <f>IFERROR(__xludf.DUMMYFUNCTION("GOOGLETRANSLATE(B205,""en"",""pt-br"")"),"positivo")</f>
        <v>positivo</v>
      </c>
    </row>
    <row r="206" ht="15.75" customHeight="1">
      <c r="A206" s="2" t="s">
        <v>208</v>
      </c>
      <c r="B206" s="2" t="s">
        <v>14</v>
      </c>
      <c r="C206" s="1" t="str">
        <f>IFERROR(__xludf.DUMMYFUNCTION("GOOGLETRANSLATE(A206,""en"",""pt-br"")"),"ambiciosamente")</f>
        <v>ambiciosamente</v>
      </c>
      <c r="D206" s="1" t="str">
        <f>IFERROR(__xludf.DUMMYFUNCTION("GOOGLETRANSLATE(B206,""en"",""pt-br"")"),"positivo")</f>
        <v>positivo</v>
      </c>
    </row>
    <row r="207" ht="15.75" customHeight="1">
      <c r="A207" s="2" t="s">
        <v>209</v>
      </c>
      <c r="B207" s="2" t="s">
        <v>3</v>
      </c>
      <c r="C207" s="1" t="str">
        <f>IFERROR(__xludf.DUMMYFUNCTION("GOOGLETRANSLATE(A207,""en"",""pt-br"")"),"ambivalência")</f>
        <v>ambivalência</v>
      </c>
      <c r="D207" s="1" t="str">
        <f>IFERROR(__xludf.DUMMYFUNCTION("GOOGLETRANSLATE(B207,""en"",""pt-br"")"),"negativo")</f>
        <v>negativo</v>
      </c>
    </row>
    <row r="208" ht="15.75" customHeight="1">
      <c r="A208" s="2" t="s">
        <v>210</v>
      </c>
      <c r="B208" s="2" t="s">
        <v>3</v>
      </c>
      <c r="C208" s="1" t="str">
        <f>IFERROR(__xludf.DUMMYFUNCTION("GOOGLETRANSLATE(A208,""en"",""pt-br"")"),"ambivalente")</f>
        <v>ambivalente</v>
      </c>
      <c r="D208" s="1" t="str">
        <f>IFERROR(__xludf.DUMMYFUNCTION("GOOGLETRANSLATE(B208,""en"",""pt-br"")"),"negativo")</f>
        <v>negativo</v>
      </c>
    </row>
    <row r="209" ht="15.75" customHeight="1">
      <c r="A209" s="2" t="s">
        <v>211</v>
      </c>
      <c r="B209" s="2" t="s">
        <v>3</v>
      </c>
      <c r="C209" s="1" t="str">
        <f>IFERROR(__xludf.DUMMYFUNCTION("GOOGLETRANSLATE(A209,""en"",""pt-br"")"),"emboscada")</f>
        <v>emboscada</v>
      </c>
      <c r="D209" s="1" t="str">
        <f>IFERROR(__xludf.DUMMYFUNCTION("GOOGLETRANSLATE(B209,""en"",""pt-br"")"),"negativo")</f>
        <v>negativo</v>
      </c>
    </row>
    <row r="210" ht="15.75" customHeight="1">
      <c r="A210" s="2" t="s">
        <v>212</v>
      </c>
      <c r="B210" s="2" t="s">
        <v>14</v>
      </c>
      <c r="C210" s="1" t="str">
        <f>IFERROR(__xludf.DUMMYFUNCTION("GOOGLETRANSLATE(A210,""en"",""pt-br"")"),"melhorar")</f>
        <v>melhorar</v>
      </c>
      <c r="D210" s="1" t="str">
        <f>IFERROR(__xludf.DUMMYFUNCTION("GOOGLETRANSLATE(B210,""en"",""pt-br"")"),"positivo")</f>
        <v>positivo</v>
      </c>
    </row>
    <row r="211" ht="15.75" customHeight="1">
      <c r="A211" s="2" t="s">
        <v>213</v>
      </c>
      <c r="B211" s="2" t="s">
        <v>14</v>
      </c>
      <c r="C211" s="1" t="str">
        <f>IFERROR(__xludf.DUMMYFUNCTION("GOOGLETRANSLATE(A211,""en"",""pt-br"")"),"dócil")</f>
        <v>dócil</v>
      </c>
      <c r="D211" s="1" t="str">
        <f>IFERROR(__xludf.DUMMYFUNCTION("GOOGLETRANSLATE(B211,""en"",""pt-br"")"),"positivo")</f>
        <v>positivo</v>
      </c>
    </row>
    <row r="212" ht="15.75" customHeight="1">
      <c r="A212" s="2" t="s">
        <v>214</v>
      </c>
      <c r="B212" s="2" t="s">
        <v>14</v>
      </c>
      <c r="C212" s="1" t="str">
        <f>IFERROR(__xludf.DUMMYFUNCTION("GOOGLETRANSLATE(A212,""en"",""pt-br"")"),"amenidade")</f>
        <v>amenidade</v>
      </c>
      <c r="D212" s="1" t="str">
        <f>IFERROR(__xludf.DUMMYFUNCTION("GOOGLETRANSLATE(B212,""en"",""pt-br"")"),"positivo")</f>
        <v>positivo</v>
      </c>
    </row>
    <row r="213" ht="15.75" customHeight="1">
      <c r="A213" s="2" t="s">
        <v>215</v>
      </c>
      <c r="B213" s="2" t="s">
        <v>14</v>
      </c>
      <c r="C213" s="1" t="str">
        <f>IFERROR(__xludf.DUMMYFUNCTION("GOOGLETRANSLATE(A213,""en"",""pt-br"")"),"amabilidade")</f>
        <v>amabilidade</v>
      </c>
      <c r="D213" s="1" t="str">
        <f>IFERROR(__xludf.DUMMYFUNCTION("GOOGLETRANSLATE(B213,""en"",""pt-br"")"),"positivo")</f>
        <v>positivo</v>
      </c>
    </row>
    <row r="214" ht="15.75" customHeight="1">
      <c r="A214" s="2" t="s">
        <v>216</v>
      </c>
      <c r="B214" s="2" t="s">
        <v>14</v>
      </c>
      <c r="C214" s="1" t="str">
        <f>IFERROR(__xludf.DUMMYFUNCTION("GOOGLETRANSLATE(A214,""en"",""pt-br"")"),"amiabily")</f>
        <v>amiabily</v>
      </c>
      <c r="D214" s="1" t="str">
        <f>IFERROR(__xludf.DUMMYFUNCTION("GOOGLETRANSLATE(B214,""en"",""pt-br"")"),"positivo")</f>
        <v>positivo</v>
      </c>
    </row>
    <row r="215" ht="15.75" customHeight="1">
      <c r="A215" s="2" t="s">
        <v>217</v>
      </c>
      <c r="B215" s="2" t="s">
        <v>14</v>
      </c>
      <c r="C215" s="1" t="str">
        <f>IFERROR(__xludf.DUMMYFUNCTION("GOOGLETRANSLATE(A215,""en"",""pt-br"")"),"amável")</f>
        <v>amável</v>
      </c>
      <c r="D215" s="1" t="str">
        <f>IFERROR(__xludf.DUMMYFUNCTION("GOOGLETRANSLATE(B215,""en"",""pt-br"")"),"positivo")</f>
        <v>positivo</v>
      </c>
    </row>
    <row r="216" ht="15.75" customHeight="1">
      <c r="A216" s="2" t="s">
        <v>218</v>
      </c>
      <c r="B216" s="2" t="s">
        <v>14</v>
      </c>
      <c r="C216" s="1" t="str">
        <f>IFERROR(__xludf.DUMMYFUNCTION("GOOGLETRANSLATE(A216,""en"",""pt-br"")"),"cordialidade")</f>
        <v>cordialidade</v>
      </c>
      <c r="D216" s="1" t="str">
        <f>IFERROR(__xludf.DUMMYFUNCTION("GOOGLETRANSLATE(B216,""en"",""pt-br"")"),"positivo")</f>
        <v>positivo</v>
      </c>
    </row>
    <row r="217" ht="15.75" customHeight="1">
      <c r="A217" s="2" t="s">
        <v>219</v>
      </c>
      <c r="B217" s="2" t="s">
        <v>14</v>
      </c>
      <c r="C217" s="1" t="str">
        <f>IFERROR(__xludf.DUMMYFUNCTION("GOOGLETRANSLATE(A217,""en"",""pt-br"")"),"amigável")</f>
        <v>amigável</v>
      </c>
      <c r="D217" s="1" t="str">
        <f>IFERROR(__xludf.DUMMYFUNCTION("GOOGLETRANSLATE(B217,""en"",""pt-br"")"),"positivo")</f>
        <v>positivo</v>
      </c>
    </row>
    <row r="218" ht="15.75" customHeight="1">
      <c r="A218" s="2" t="s">
        <v>220</v>
      </c>
      <c r="B218" s="2" t="s">
        <v>14</v>
      </c>
      <c r="C218" s="1" t="str">
        <f>IFERROR(__xludf.DUMMYFUNCTION("GOOGLETRANSLATE(A218,""en"",""pt-br"")"),"amigavelmente")</f>
        <v>amigavelmente</v>
      </c>
      <c r="D218" s="1" t="str">
        <f>IFERROR(__xludf.DUMMYFUNCTION("GOOGLETRANSLATE(B218,""en"",""pt-br"")"),"positivo")</f>
        <v>positivo</v>
      </c>
    </row>
    <row r="219" ht="15.75" customHeight="1">
      <c r="A219" s="2" t="s">
        <v>221</v>
      </c>
      <c r="B219" s="2" t="s">
        <v>3</v>
      </c>
      <c r="C219" s="1" t="str">
        <f>IFERROR(__xludf.DUMMYFUNCTION("GOOGLETRANSLATE(A219,""en"",""pt-br"")"),"errado")</f>
        <v>errado</v>
      </c>
      <c r="D219" s="1" t="str">
        <f>IFERROR(__xludf.DUMMYFUNCTION("GOOGLETRANSLATE(B219,""en"",""pt-br"")"),"negativo")</f>
        <v>negativo</v>
      </c>
    </row>
    <row r="220" ht="15.75" customHeight="1">
      <c r="A220" s="2" t="s">
        <v>222</v>
      </c>
      <c r="B220" s="2" t="s">
        <v>14</v>
      </c>
      <c r="C220" s="1" t="str">
        <f>IFERROR(__xludf.DUMMYFUNCTION("GOOGLETRANSLATE(A220,""en"",""pt-br"")"),"amizade")</f>
        <v>amizade</v>
      </c>
      <c r="D220" s="1" t="str">
        <f>IFERROR(__xludf.DUMMYFUNCTION("GOOGLETRANSLATE(B220,""en"",""pt-br"")"),"positivo")</f>
        <v>positivo</v>
      </c>
    </row>
    <row r="221" ht="15.75" customHeight="1">
      <c r="A221" s="2" t="s">
        <v>223</v>
      </c>
      <c r="B221" s="2" t="s">
        <v>14</v>
      </c>
      <c r="C221" s="1" t="str">
        <f>IFERROR(__xludf.DUMMYFUNCTION("GOOGLETRANSLATE(A221,""en"",""pt-br"")"),"amplo")</f>
        <v>amplo</v>
      </c>
      <c r="D221" s="1" t="str">
        <f>IFERROR(__xludf.DUMMYFUNCTION("GOOGLETRANSLATE(B221,""en"",""pt-br"")"),"positivo")</f>
        <v>positivo</v>
      </c>
    </row>
    <row r="222" ht="15.75" customHeight="1">
      <c r="A222" s="2" t="s">
        <v>224</v>
      </c>
      <c r="B222" s="2" t="s">
        <v>14</v>
      </c>
      <c r="C222" s="1" t="str">
        <f>IFERROR(__xludf.DUMMYFUNCTION("GOOGLETRANSLATE(A222,""en"",""pt-br"")"),"amplamente")</f>
        <v>amplamente</v>
      </c>
      <c r="D222" s="1" t="str">
        <f>IFERROR(__xludf.DUMMYFUNCTION("GOOGLETRANSLATE(B222,""en"",""pt-br"")"),"positivo")</f>
        <v>positivo</v>
      </c>
    </row>
    <row r="223" ht="15.75" customHeight="1">
      <c r="A223" s="2" t="s">
        <v>225</v>
      </c>
      <c r="B223" s="2" t="s">
        <v>3</v>
      </c>
      <c r="C223" s="1" t="str">
        <f>IFERROR(__xludf.DUMMYFUNCTION("GOOGLETRANSLATE(A223,""en"",""pt-br"")"),"amputar")</f>
        <v>amputar</v>
      </c>
      <c r="D223" s="1" t="str">
        <f>IFERROR(__xludf.DUMMYFUNCTION("GOOGLETRANSLATE(B223,""en"",""pt-br"")"),"negativo")</f>
        <v>negativo</v>
      </c>
    </row>
    <row r="224" ht="15.75" customHeight="1">
      <c r="A224" s="2" t="s">
        <v>226</v>
      </c>
      <c r="B224" s="2" t="s">
        <v>14</v>
      </c>
      <c r="C224" s="1" t="str">
        <f>IFERROR(__xludf.DUMMYFUNCTION("GOOGLETRANSLATE(A224,""en"",""pt-br"")"),"divertir")</f>
        <v>divertir</v>
      </c>
      <c r="D224" s="1" t="str">
        <f>IFERROR(__xludf.DUMMYFUNCTION("GOOGLETRANSLATE(B224,""en"",""pt-br"")"),"positivo")</f>
        <v>positivo</v>
      </c>
    </row>
    <row r="225" ht="15.75" customHeight="1">
      <c r="A225" s="2" t="s">
        <v>227</v>
      </c>
      <c r="B225" s="2" t="s">
        <v>14</v>
      </c>
      <c r="C225" s="1" t="str">
        <f>IFERROR(__xludf.DUMMYFUNCTION("GOOGLETRANSLATE(A225,""en"",""pt-br"")"),"divertido")</f>
        <v>divertido</v>
      </c>
      <c r="D225" s="1" t="str">
        <f>IFERROR(__xludf.DUMMYFUNCTION("GOOGLETRANSLATE(B225,""en"",""pt-br"")"),"positivo")</f>
        <v>positivo</v>
      </c>
    </row>
    <row r="226" ht="15.75" customHeight="1">
      <c r="A226" s="2" t="s">
        <v>228</v>
      </c>
      <c r="B226" s="2" t="s">
        <v>14</v>
      </c>
      <c r="C226" s="1" t="str">
        <f>IFERROR(__xludf.DUMMYFUNCTION("GOOGLETRANSLATE(A226,""en"",""pt-br"")"),"amusingly")</f>
        <v>amusingly</v>
      </c>
      <c r="D226" s="1" t="str">
        <f>IFERROR(__xludf.DUMMYFUNCTION("GOOGLETRANSLATE(B226,""en"",""pt-br"")"),"positivo")</f>
        <v>positivo</v>
      </c>
    </row>
    <row r="227" ht="15.75" customHeight="1">
      <c r="A227" s="2" t="s">
        <v>229</v>
      </c>
      <c r="B227" s="2" t="s">
        <v>3</v>
      </c>
      <c r="C227" s="1" t="str">
        <f>IFERROR(__xludf.DUMMYFUNCTION("GOOGLETRANSLATE(A227,""en"",""pt-br"")"),"anarquismo")</f>
        <v>anarquismo</v>
      </c>
      <c r="D227" s="1" t="str">
        <f>IFERROR(__xludf.DUMMYFUNCTION("GOOGLETRANSLATE(B227,""en"",""pt-br"")"),"negativo")</f>
        <v>negativo</v>
      </c>
    </row>
    <row r="228" ht="15.75" customHeight="1">
      <c r="A228" s="2" t="s">
        <v>230</v>
      </c>
      <c r="B228" s="2" t="s">
        <v>3</v>
      </c>
      <c r="C228" s="1" t="str">
        <f>IFERROR(__xludf.DUMMYFUNCTION("GOOGLETRANSLATE(A228,""en"",""pt-br"")"),"anarquista")</f>
        <v>anarquista</v>
      </c>
      <c r="D228" s="1" t="str">
        <f>IFERROR(__xludf.DUMMYFUNCTION("GOOGLETRANSLATE(B228,""en"",""pt-br"")"),"negativo")</f>
        <v>negativo</v>
      </c>
    </row>
    <row r="229" ht="15.75" customHeight="1">
      <c r="A229" s="2" t="s">
        <v>231</v>
      </c>
      <c r="B229" s="2" t="s">
        <v>3</v>
      </c>
      <c r="C229" s="1" t="str">
        <f>IFERROR(__xludf.DUMMYFUNCTION("GOOGLETRANSLATE(A229,""en"",""pt-br"")"),"anárquico")</f>
        <v>anárquico</v>
      </c>
      <c r="D229" s="1" t="str">
        <f>IFERROR(__xludf.DUMMYFUNCTION("GOOGLETRANSLATE(B229,""en"",""pt-br"")"),"negativo")</f>
        <v>negativo</v>
      </c>
    </row>
    <row r="230" ht="15.75" customHeight="1">
      <c r="A230" s="2" t="s">
        <v>232</v>
      </c>
      <c r="B230" s="2" t="s">
        <v>3</v>
      </c>
      <c r="C230" s="1" t="str">
        <f>IFERROR(__xludf.DUMMYFUNCTION("GOOGLETRANSLATE(A230,""en"",""pt-br"")"),"anarquia")</f>
        <v>anarquia</v>
      </c>
      <c r="D230" s="1" t="str">
        <f>IFERROR(__xludf.DUMMYFUNCTION("GOOGLETRANSLATE(B230,""en"",""pt-br"")"),"negativo")</f>
        <v>negativo</v>
      </c>
    </row>
    <row r="231" ht="15.75" customHeight="1">
      <c r="A231" s="2" t="s">
        <v>233</v>
      </c>
      <c r="B231" s="2" t="s">
        <v>3</v>
      </c>
      <c r="C231" s="1" t="str">
        <f>IFERROR(__xludf.DUMMYFUNCTION("GOOGLETRANSLATE(A231,""en"",""pt-br"")"),"anêmico")</f>
        <v>anêmico</v>
      </c>
      <c r="D231" s="1" t="str">
        <f>IFERROR(__xludf.DUMMYFUNCTION("GOOGLETRANSLATE(B231,""en"",""pt-br"")"),"negativo")</f>
        <v>negativo</v>
      </c>
    </row>
    <row r="232" ht="15.75" customHeight="1">
      <c r="A232" s="2" t="s">
        <v>234</v>
      </c>
      <c r="B232" s="2" t="s">
        <v>14</v>
      </c>
      <c r="C232" s="1" t="str">
        <f>IFERROR(__xludf.DUMMYFUNCTION("GOOGLETRANSLATE(A232,""en"",""pt-br"")"),"anjo")</f>
        <v>anjo</v>
      </c>
      <c r="D232" s="1" t="str">
        <f>IFERROR(__xludf.DUMMYFUNCTION("GOOGLETRANSLATE(B232,""en"",""pt-br"")"),"positivo")</f>
        <v>positivo</v>
      </c>
    </row>
    <row r="233" ht="15.75" customHeight="1">
      <c r="A233" s="2" t="s">
        <v>235</v>
      </c>
      <c r="B233" s="2" t="s">
        <v>14</v>
      </c>
      <c r="C233" s="1" t="str">
        <f>IFERROR(__xludf.DUMMYFUNCTION("GOOGLETRANSLATE(A233,""en"",""pt-br"")"),"angélico")</f>
        <v>angélico</v>
      </c>
      <c r="D233" s="1" t="str">
        <f>IFERROR(__xludf.DUMMYFUNCTION("GOOGLETRANSLATE(B233,""en"",""pt-br"")"),"positivo")</f>
        <v>positivo</v>
      </c>
    </row>
    <row r="234" ht="15.75" customHeight="1">
      <c r="A234" s="2" t="s">
        <v>236</v>
      </c>
      <c r="B234" s="2" t="s">
        <v>3</v>
      </c>
      <c r="C234" s="1" t="str">
        <f>IFERROR(__xludf.DUMMYFUNCTION("GOOGLETRANSLATE(A234,""en"",""pt-br"")"),"raiva")</f>
        <v>raiva</v>
      </c>
      <c r="D234" s="1" t="str">
        <f>IFERROR(__xludf.DUMMYFUNCTION("GOOGLETRANSLATE(B234,""en"",""pt-br"")"),"negativo")</f>
        <v>negativo</v>
      </c>
    </row>
    <row r="235" ht="15.75" customHeight="1">
      <c r="A235" s="2" t="s">
        <v>237</v>
      </c>
      <c r="B235" s="2" t="s">
        <v>3</v>
      </c>
      <c r="C235" s="1" t="str">
        <f>IFERROR(__xludf.DUMMYFUNCTION("GOOGLETRANSLATE(A235,""en"",""pt-br"")"),"iradamente")</f>
        <v>iradamente</v>
      </c>
      <c r="D235" s="1" t="str">
        <f>IFERROR(__xludf.DUMMYFUNCTION("GOOGLETRANSLATE(B235,""en"",""pt-br"")"),"negativo")</f>
        <v>negativo</v>
      </c>
    </row>
    <row r="236" ht="15.75" customHeight="1">
      <c r="A236" s="2" t="s">
        <v>238</v>
      </c>
      <c r="B236" s="2" t="s">
        <v>3</v>
      </c>
      <c r="C236" s="1" t="str">
        <f>IFERROR(__xludf.DUMMYFUNCTION("GOOGLETRANSLATE(A236,""en"",""pt-br"")"),"angriness")</f>
        <v>angriness</v>
      </c>
      <c r="D236" s="1" t="str">
        <f>IFERROR(__xludf.DUMMYFUNCTION("GOOGLETRANSLATE(B236,""en"",""pt-br"")"),"negativo")</f>
        <v>negativo</v>
      </c>
    </row>
    <row r="237" ht="15.75" customHeight="1">
      <c r="A237" s="2" t="s">
        <v>239</v>
      </c>
      <c r="B237" s="2" t="s">
        <v>3</v>
      </c>
      <c r="C237" s="1" t="str">
        <f>IFERROR(__xludf.DUMMYFUNCTION("GOOGLETRANSLATE(A237,""en"",""pt-br"")"),"Bravo")</f>
        <v>Bravo</v>
      </c>
      <c r="D237" s="1" t="str">
        <f>IFERROR(__xludf.DUMMYFUNCTION("GOOGLETRANSLATE(B237,""en"",""pt-br"")"),"negativo")</f>
        <v>negativo</v>
      </c>
    </row>
    <row r="238" ht="15.75" customHeight="1">
      <c r="A238" s="2" t="s">
        <v>240</v>
      </c>
      <c r="B238" s="2" t="s">
        <v>3</v>
      </c>
      <c r="C238" s="1" t="str">
        <f>IFERROR(__xludf.DUMMYFUNCTION("GOOGLETRANSLATE(A238,""en"",""pt-br"")"),"angústia")</f>
        <v>angústia</v>
      </c>
      <c r="D238" s="1" t="str">
        <f>IFERROR(__xludf.DUMMYFUNCTION("GOOGLETRANSLATE(B238,""en"",""pt-br"")"),"negativo")</f>
        <v>negativo</v>
      </c>
    </row>
    <row r="239" ht="15.75" customHeight="1">
      <c r="A239" s="2" t="s">
        <v>241</v>
      </c>
      <c r="B239" s="2" t="s">
        <v>3</v>
      </c>
      <c r="C239" s="1" t="str">
        <f>IFERROR(__xludf.DUMMYFUNCTION("GOOGLETRANSLATE(A239,""en"",""pt-br"")"),"antipatia")</f>
        <v>antipatia</v>
      </c>
      <c r="D239" s="1" t="str">
        <f>IFERROR(__xludf.DUMMYFUNCTION("GOOGLETRANSLATE(B239,""en"",""pt-br"")"),"negativo")</f>
        <v>negativo</v>
      </c>
    </row>
    <row r="240" ht="15.75" customHeight="1">
      <c r="A240" s="2" t="s">
        <v>242</v>
      </c>
      <c r="B240" s="2" t="s">
        <v>3</v>
      </c>
      <c r="C240" s="1" t="str">
        <f>IFERROR(__xludf.DUMMYFUNCTION("GOOGLETRANSLATE(A240,""en"",""pt-br"")"),"aniquilar")</f>
        <v>aniquilar</v>
      </c>
      <c r="D240" s="1" t="str">
        <f>IFERROR(__xludf.DUMMYFUNCTION("GOOGLETRANSLATE(B240,""en"",""pt-br"")"),"negativo")</f>
        <v>negativo</v>
      </c>
    </row>
    <row r="241" ht="15.75" customHeight="1">
      <c r="A241" s="2" t="s">
        <v>243</v>
      </c>
      <c r="B241" s="2" t="s">
        <v>3</v>
      </c>
      <c r="C241" s="1" t="str">
        <f>IFERROR(__xludf.DUMMYFUNCTION("GOOGLETRANSLATE(A241,""en"",""pt-br"")"),"aniquilação")</f>
        <v>aniquilação</v>
      </c>
      <c r="D241" s="1" t="str">
        <f>IFERROR(__xludf.DUMMYFUNCTION("GOOGLETRANSLATE(B241,""en"",""pt-br"")"),"negativo")</f>
        <v>negativo</v>
      </c>
    </row>
    <row r="242" ht="15.75" customHeight="1">
      <c r="A242" s="2" t="s">
        <v>244</v>
      </c>
      <c r="B242" s="2" t="s">
        <v>3</v>
      </c>
      <c r="C242" s="1" t="str">
        <f>IFERROR(__xludf.DUMMYFUNCTION("GOOGLETRANSLATE(A242,""en"",""pt-br"")"),"incomodar")</f>
        <v>incomodar</v>
      </c>
      <c r="D242" s="1" t="str">
        <f>IFERROR(__xludf.DUMMYFUNCTION("GOOGLETRANSLATE(B242,""en"",""pt-br"")"),"negativo")</f>
        <v>negativo</v>
      </c>
    </row>
    <row r="243" ht="15.75" customHeight="1">
      <c r="A243" s="2" t="s">
        <v>245</v>
      </c>
      <c r="B243" s="2" t="s">
        <v>3</v>
      </c>
      <c r="C243" s="1" t="str">
        <f>IFERROR(__xludf.DUMMYFUNCTION("GOOGLETRANSLATE(A243,""en"",""pt-br"")"),"aborrecimento")</f>
        <v>aborrecimento</v>
      </c>
      <c r="D243" s="1" t="str">
        <f>IFERROR(__xludf.DUMMYFUNCTION("GOOGLETRANSLATE(B243,""en"",""pt-br"")"),"negativo")</f>
        <v>negativo</v>
      </c>
    </row>
    <row r="244" ht="15.75" customHeight="1">
      <c r="A244" s="2" t="s">
        <v>246</v>
      </c>
      <c r="B244" s="2" t="s">
        <v>3</v>
      </c>
      <c r="C244" s="1" t="str">
        <f>IFERROR(__xludf.DUMMYFUNCTION("GOOGLETRANSLATE(A244,""en"",""pt-br"")"),"aborrecimentos")</f>
        <v>aborrecimentos</v>
      </c>
      <c r="D244" s="1" t="str">
        <f>IFERROR(__xludf.DUMMYFUNCTION("GOOGLETRANSLATE(B244,""en"",""pt-br"")"),"negativo")</f>
        <v>negativo</v>
      </c>
    </row>
    <row r="245" ht="15.75" customHeight="1">
      <c r="A245" s="2" t="s">
        <v>247</v>
      </c>
      <c r="B245" s="2" t="s">
        <v>3</v>
      </c>
      <c r="C245" s="1" t="str">
        <f>IFERROR(__xludf.DUMMYFUNCTION("GOOGLETRANSLATE(A245,""en"",""pt-br"")"),"aborrecido")</f>
        <v>aborrecido</v>
      </c>
      <c r="D245" s="1" t="str">
        <f>IFERROR(__xludf.DUMMYFUNCTION("GOOGLETRANSLATE(B245,""en"",""pt-br"")"),"negativo")</f>
        <v>negativo</v>
      </c>
    </row>
    <row r="246" ht="15.75" customHeight="1">
      <c r="A246" s="2" t="s">
        <v>248</v>
      </c>
      <c r="B246" s="2" t="s">
        <v>3</v>
      </c>
      <c r="C246" s="1" t="str">
        <f>IFERROR(__xludf.DUMMYFUNCTION("GOOGLETRANSLATE(A246,""en"",""pt-br"")"),"irritante")</f>
        <v>irritante</v>
      </c>
      <c r="D246" s="1" t="str">
        <f>IFERROR(__xludf.DUMMYFUNCTION("GOOGLETRANSLATE(B246,""en"",""pt-br"")"),"negativo")</f>
        <v>negativo</v>
      </c>
    </row>
    <row r="247" ht="15.75" customHeight="1">
      <c r="A247" s="2" t="s">
        <v>249</v>
      </c>
      <c r="B247" s="2" t="s">
        <v>3</v>
      </c>
      <c r="C247" s="1" t="str">
        <f>IFERROR(__xludf.DUMMYFUNCTION("GOOGLETRANSLATE(A247,""en"",""pt-br"")"),"irritantemente")</f>
        <v>irritantemente</v>
      </c>
      <c r="D247" s="1" t="str">
        <f>IFERROR(__xludf.DUMMYFUNCTION("GOOGLETRANSLATE(B247,""en"",""pt-br"")"),"negativo")</f>
        <v>negativo</v>
      </c>
    </row>
    <row r="248" ht="15.75" customHeight="1">
      <c r="A248" s="2" t="s">
        <v>250</v>
      </c>
      <c r="B248" s="2" t="s">
        <v>3</v>
      </c>
      <c r="C248" s="1" t="str">
        <f>IFERROR(__xludf.DUMMYFUNCTION("GOOGLETRANSLATE(A248,""en"",""pt-br"")"),"irrita")</f>
        <v>irrita</v>
      </c>
      <c r="D248" s="1" t="str">
        <f>IFERROR(__xludf.DUMMYFUNCTION("GOOGLETRANSLATE(B248,""en"",""pt-br"")"),"negativo")</f>
        <v>negativo</v>
      </c>
    </row>
    <row r="249" ht="15.75" customHeight="1">
      <c r="A249" s="2" t="s">
        <v>251</v>
      </c>
      <c r="B249" s="2" t="s">
        <v>3</v>
      </c>
      <c r="C249" s="1" t="str">
        <f>IFERROR(__xludf.DUMMYFUNCTION("GOOGLETRANSLATE(A249,""en"",""pt-br"")"),"anômalo")</f>
        <v>anômalo</v>
      </c>
      <c r="D249" s="1" t="str">
        <f>IFERROR(__xludf.DUMMYFUNCTION("GOOGLETRANSLATE(B249,""en"",""pt-br"")"),"negativo")</f>
        <v>negativo</v>
      </c>
    </row>
    <row r="250" ht="15.75" customHeight="1">
      <c r="A250" s="2" t="s">
        <v>252</v>
      </c>
      <c r="B250" s="2" t="s">
        <v>3</v>
      </c>
      <c r="C250" s="1" t="str">
        <f>IFERROR(__xludf.DUMMYFUNCTION("GOOGLETRANSLATE(A250,""en"",""pt-br"")"),"anomalia")</f>
        <v>anomalia</v>
      </c>
      <c r="D250" s="1" t="str">
        <f>IFERROR(__xludf.DUMMYFUNCTION("GOOGLETRANSLATE(B250,""en"",""pt-br"")"),"negativo")</f>
        <v>negativo</v>
      </c>
    </row>
    <row r="251" ht="15.75" customHeight="1">
      <c r="A251" s="2" t="s">
        <v>253</v>
      </c>
      <c r="B251" s="2" t="s">
        <v>3</v>
      </c>
      <c r="C251" s="1" t="str">
        <f>IFERROR(__xludf.DUMMYFUNCTION("GOOGLETRANSLATE(A251,""en"",""pt-br"")"),"antagonismo")</f>
        <v>antagonismo</v>
      </c>
      <c r="D251" s="1" t="str">
        <f>IFERROR(__xludf.DUMMYFUNCTION("GOOGLETRANSLATE(B251,""en"",""pt-br"")"),"negativo")</f>
        <v>negativo</v>
      </c>
    </row>
    <row r="252" ht="15.75" customHeight="1">
      <c r="A252" s="2" t="s">
        <v>254</v>
      </c>
      <c r="B252" s="2" t="s">
        <v>3</v>
      </c>
      <c r="C252" s="1" t="str">
        <f>IFERROR(__xludf.DUMMYFUNCTION("GOOGLETRANSLATE(A252,""en"",""pt-br"")"),"antagonista")</f>
        <v>antagonista</v>
      </c>
      <c r="D252" s="1" t="str">
        <f>IFERROR(__xludf.DUMMYFUNCTION("GOOGLETRANSLATE(B252,""en"",""pt-br"")"),"negativo")</f>
        <v>negativo</v>
      </c>
    </row>
    <row r="253" ht="15.75" customHeight="1">
      <c r="A253" s="2" t="s">
        <v>255</v>
      </c>
      <c r="B253" s="2" t="s">
        <v>3</v>
      </c>
      <c r="C253" s="1" t="str">
        <f>IFERROR(__xludf.DUMMYFUNCTION("GOOGLETRANSLATE(A253,""en"",""pt-br"")"),"antagônico")</f>
        <v>antagônico</v>
      </c>
      <c r="D253" s="1" t="str">
        <f>IFERROR(__xludf.DUMMYFUNCTION("GOOGLETRANSLATE(B253,""en"",""pt-br"")"),"negativo")</f>
        <v>negativo</v>
      </c>
    </row>
    <row r="254" ht="15.75" customHeight="1">
      <c r="A254" s="2" t="s">
        <v>256</v>
      </c>
      <c r="B254" s="2" t="s">
        <v>3</v>
      </c>
      <c r="C254" s="1" t="str">
        <f>IFERROR(__xludf.DUMMYFUNCTION("GOOGLETRANSLATE(A254,""en"",""pt-br"")"),"antagonizar")</f>
        <v>antagonizar</v>
      </c>
      <c r="D254" s="1" t="str">
        <f>IFERROR(__xludf.DUMMYFUNCTION("GOOGLETRANSLATE(B254,""en"",""pt-br"")"),"negativo")</f>
        <v>negativo</v>
      </c>
    </row>
    <row r="255" ht="15.75" customHeight="1">
      <c r="A255" s="2" t="s">
        <v>257</v>
      </c>
      <c r="B255" s="2" t="s">
        <v>3</v>
      </c>
      <c r="C255" s="1" t="str">
        <f>IFERROR(__xludf.DUMMYFUNCTION("GOOGLETRANSLATE(A255,""en"",""pt-br"")"),"anti-")</f>
        <v>anti-</v>
      </c>
      <c r="D255" s="1" t="str">
        <f>IFERROR(__xludf.DUMMYFUNCTION("GOOGLETRANSLATE(B255,""en"",""pt-br"")"),"negativo")</f>
        <v>negativo</v>
      </c>
    </row>
    <row r="256" ht="15.75" customHeight="1">
      <c r="A256" s="2" t="s">
        <v>258</v>
      </c>
      <c r="B256" s="2" t="s">
        <v>3</v>
      </c>
      <c r="C256" s="1" t="str">
        <f>IFERROR(__xludf.DUMMYFUNCTION("GOOGLETRANSLATE(A256,""en"",""pt-br"")"),"antiamericano")</f>
        <v>antiamericano</v>
      </c>
      <c r="D256" s="1" t="str">
        <f>IFERROR(__xludf.DUMMYFUNCTION("GOOGLETRANSLATE(B256,""en"",""pt-br"")"),"negativo")</f>
        <v>negativo</v>
      </c>
    </row>
    <row r="257" ht="15.75" customHeight="1">
      <c r="A257" s="2" t="s">
        <v>259</v>
      </c>
      <c r="B257" s="2" t="s">
        <v>3</v>
      </c>
      <c r="C257" s="1" t="str">
        <f>IFERROR(__xludf.DUMMYFUNCTION("GOOGLETRANSLATE(A257,""en"",""pt-br"")"),"anti-israelita")</f>
        <v>anti-israelita</v>
      </c>
      <c r="D257" s="1" t="str">
        <f>IFERROR(__xludf.DUMMYFUNCTION("GOOGLETRANSLATE(B257,""en"",""pt-br"")"),"negativo")</f>
        <v>negativo</v>
      </c>
    </row>
    <row r="258" ht="15.75" customHeight="1">
      <c r="A258" s="2" t="s">
        <v>260</v>
      </c>
      <c r="B258" s="2" t="s">
        <v>3</v>
      </c>
      <c r="C258" s="1" t="str">
        <f>IFERROR(__xludf.DUMMYFUNCTION("GOOGLETRANSLATE(A258,""en"",""pt-br"")"),"anti-ocupação")</f>
        <v>anti-ocupação</v>
      </c>
      <c r="D258" s="1" t="str">
        <f>IFERROR(__xludf.DUMMYFUNCTION("GOOGLETRANSLATE(B258,""en"",""pt-br"")"),"negativo")</f>
        <v>negativo</v>
      </c>
    </row>
    <row r="259" ht="15.75" customHeight="1">
      <c r="A259" s="2" t="s">
        <v>261</v>
      </c>
      <c r="B259" s="2" t="s">
        <v>3</v>
      </c>
      <c r="C259" s="1" t="str">
        <f>IFERROR(__xludf.DUMMYFUNCTION("GOOGLETRANSLATE(A259,""en"",""pt-br"")"),"anti-proliferação")</f>
        <v>anti-proliferação</v>
      </c>
      <c r="D259" s="1" t="str">
        <f>IFERROR(__xludf.DUMMYFUNCTION("GOOGLETRANSLATE(B259,""en"",""pt-br"")"),"negativo")</f>
        <v>negativo</v>
      </c>
    </row>
    <row r="260" ht="15.75" customHeight="1">
      <c r="A260" s="2" t="s">
        <v>262</v>
      </c>
      <c r="B260" s="2" t="s">
        <v>3</v>
      </c>
      <c r="C260" s="1" t="str">
        <f>IFERROR(__xludf.DUMMYFUNCTION("GOOGLETRANSLATE(A260,""en"",""pt-br"")"),"antisemitas")</f>
        <v>antisemitas</v>
      </c>
      <c r="D260" s="1" t="str">
        <f>IFERROR(__xludf.DUMMYFUNCTION("GOOGLETRANSLATE(B260,""en"",""pt-br"")"),"negativo")</f>
        <v>negativo</v>
      </c>
    </row>
    <row r="261" ht="15.75" customHeight="1">
      <c r="A261" s="2" t="s">
        <v>263</v>
      </c>
      <c r="B261" s="2" t="s">
        <v>3</v>
      </c>
      <c r="C261" s="1" t="str">
        <f>IFERROR(__xludf.DUMMYFUNCTION("GOOGLETRANSLATE(A261,""en"",""pt-br"")"),"anti-sociais")</f>
        <v>anti-sociais</v>
      </c>
      <c r="D261" s="1" t="str">
        <f>IFERROR(__xludf.DUMMYFUNCTION("GOOGLETRANSLATE(B261,""en"",""pt-br"")"),"negativo")</f>
        <v>negativo</v>
      </c>
    </row>
    <row r="262" ht="15.75" customHeight="1">
      <c r="A262" s="2" t="s">
        <v>264</v>
      </c>
      <c r="B262" s="2" t="s">
        <v>3</v>
      </c>
      <c r="C262" s="1" t="str">
        <f>IFERROR(__xludf.DUMMYFUNCTION("GOOGLETRANSLATE(A262,""en"",""pt-br"")"),"anti-us")</f>
        <v>anti-us</v>
      </c>
      <c r="D262" s="1" t="str">
        <f>IFERROR(__xludf.DUMMYFUNCTION("GOOGLETRANSLATE(B262,""en"",""pt-br"")"),"negativo")</f>
        <v>negativo</v>
      </c>
    </row>
    <row r="263" ht="15.75" customHeight="1">
      <c r="A263" s="2" t="s">
        <v>265</v>
      </c>
      <c r="B263" s="2" t="s">
        <v>3</v>
      </c>
      <c r="C263" s="1" t="str">
        <f>IFERROR(__xludf.DUMMYFUNCTION("GOOGLETRANSLATE(A263,""en"",""pt-br"")"),"anti-branco")</f>
        <v>anti-branco</v>
      </c>
      <c r="D263" s="1" t="str">
        <f>IFERROR(__xludf.DUMMYFUNCTION("GOOGLETRANSLATE(B263,""en"",""pt-br"")"),"negativo")</f>
        <v>negativo</v>
      </c>
    </row>
    <row r="264" ht="15.75" customHeight="1">
      <c r="A264" s="2" t="s">
        <v>266</v>
      </c>
      <c r="B264" s="2" t="s">
        <v>3</v>
      </c>
      <c r="C264" s="1" t="str">
        <f>IFERROR(__xludf.DUMMYFUNCTION("GOOGLETRANSLATE(A264,""en"",""pt-br"")"),"antipatia")</f>
        <v>antipatia</v>
      </c>
      <c r="D264" s="1" t="str">
        <f>IFERROR(__xludf.DUMMYFUNCTION("GOOGLETRANSLATE(B264,""en"",""pt-br"")"),"negativo")</f>
        <v>negativo</v>
      </c>
    </row>
    <row r="265" ht="15.75" customHeight="1">
      <c r="A265" s="2" t="s">
        <v>267</v>
      </c>
      <c r="B265" s="2" t="s">
        <v>3</v>
      </c>
      <c r="C265" s="1" t="str">
        <f>IFERROR(__xludf.DUMMYFUNCTION("GOOGLETRANSLATE(A265,""en"",""pt-br"")"),"antiquado")</f>
        <v>antiquado</v>
      </c>
      <c r="D265" s="1" t="str">
        <f>IFERROR(__xludf.DUMMYFUNCTION("GOOGLETRANSLATE(B265,""en"",""pt-br"")"),"negativo")</f>
        <v>negativo</v>
      </c>
    </row>
    <row r="266" ht="15.75" customHeight="1">
      <c r="A266" s="2" t="s">
        <v>268</v>
      </c>
      <c r="B266" s="2" t="s">
        <v>3</v>
      </c>
      <c r="C266" s="1" t="str">
        <f>IFERROR(__xludf.DUMMYFUNCTION("GOOGLETRANSLATE(A266,""en"",""pt-br"")"),"antitético")</f>
        <v>antitético</v>
      </c>
      <c r="D266" s="1" t="str">
        <f>IFERROR(__xludf.DUMMYFUNCTION("GOOGLETRANSLATE(B266,""en"",""pt-br"")"),"negativo")</f>
        <v>negativo</v>
      </c>
    </row>
    <row r="267" ht="15.75" customHeight="1">
      <c r="A267" s="2" t="s">
        <v>269</v>
      </c>
      <c r="B267" s="2" t="s">
        <v>3</v>
      </c>
      <c r="C267" s="1" t="str">
        <f>IFERROR(__xludf.DUMMYFUNCTION("GOOGLETRANSLATE(A267,""en"",""pt-br"")"),"ansiedades")</f>
        <v>ansiedades</v>
      </c>
      <c r="D267" s="1" t="str">
        <f>IFERROR(__xludf.DUMMYFUNCTION("GOOGLETRANSLATE(B267,""en"",""pt-br"")"),"negativo")</f>
        <v>negativo</v>
      </c>
    </row>
    <row r="268" ht="15.75" customHeight="1">
      <c r="A268" s="2" t="s">
        <v>270</v>
      </c>
      <c r="B268" s="2" t="s">
        <v>3</v>
      </c>
      <c r="C268" s="1" t="str">
        <f>IFERROR(__xludf.DUMMYFUNCTION("GOOGLETRANSLATE(A268,""en"",""pt-br"")"),"ansiedade")</f>
        <v>ansiedade</v>
      </c>
      <c r="D268" s="1" t="str">
        <f>IFERROR(__xludf.DUMMYFUNCTION("GOOGLETRANSLATE(B268,""en"",""pt-br"")"),"negativo")</f>
        <v>negativo</v>
      </c>
    </row>
    <row r="269" ht="15.75" customHeight="1">
      <c r="A269" s="2" t="s">
        <v>271</v>
      </c>
      <c r="B269" s="2" t="s">
        <v>3</v>
      </c>
      <c r="C269" s="1" t="str">
        <f>IFERROR(__xludf.DUMMYFUNCTION("GOOGLETRANSLATE(A269,""en"",""pt-br"")"),"ansioso")</f>
        <v>ansioso</v>
      </c>
      <c r="D269" s="1" t="str">
        <f>IFERROR(__xludf.DUMMYFUNCTION("GOOGLETRANSLATE(B269,""en"",""pt-br"")"),"negativo")</f>
        <v>negativo</v>
      </c>
    </row>
    <row r="270" ht="15.75" customHeight="1">
      <c r="A270" s="2" t="s">
        <v>272</v>
      </c>
      <c r="B270" s="2" t="s">
        <v>3</v>
      </c>
      <c r="C270" s="1" t="str">
        <f>IFERROR(__xludf.DUMMYFUNCTION("GOOGLETRANSLATE(A270,""en"",""pt-br"")"),"ansiosamente")</f>
        <v>ansiosamente</v>
      </c>
      <c r="D270" s="1" t="str">
        <f>IFERROR(__xludf.DUMMYFUNCTION("GOOGLETRANSLATE(B270,""en"",""pt-br"")"),"negativo")</f>
        <v>negativo</v>
      </c>
    </row>
    <row r="271" ht="15.75" customHeight="1">
      <c r="A271" s="2" t="s">
        <v>273</v>
      </c>
      <c r="B271" s="2" t="s">
        <v>3</v>
      </c>
      <c r="C271" s="1" t="str">
        <f>IFERROR(__xludf.DUMMYFUNCTION("GOOGLETRANSLATE(A271,""en"",""pt-br"")"),"ansiedade")</f>
        <v>ansiedade</v>
      </c>
      <c r="D271" s="1" t="str">
        <f>IFERROR(__xludf.DUMMYFUNCTION("GOOGLETRANSLATE(B271,""en"",""pt-br"")"),"negativo")</f>
        <v>negativo</v>
      </c>
    </row>
    <row r="272" ht="15.75" customHeight="1">
      <c r="A272" s="2" t="s">
        <v>274</v>
      </c>
      <c r="B272" s="2" t="s">
        <v>3</v>
      </c>
      <c r="C272" s="1" t="str">
        <f>IFERROR(__xludf.DUMMYFUNCTION("GOOGLETRANSLATE(A272,""en"",""pt-br"")"),"apático")</f>
        <v>apático</v>
      </c>
      <c r="D272" s="1" t="str">
        <f>IFERROR(__xludf.DUMMYFUNCTION("GOOGLETRANSLATE(B272,""en"",""pt-br"")"),"negativo")</f>
        <v>negativo</v>
      </c>
    </row>
    <row r="273" ht="15.75" customHeight="1">
      <c r="A273" s="2" t="s">
        <v>275</v>
      </c>
      <c r="B273" s="2" t="s">
        <v>3</v>
      </c>
      <c r="C273" s="1" t="str">
        <f>IFERROR(__xludf.DUMMYFUNCTION("GOOGLETRANSLATE(A273,""en"",""pt-br"")"),"apaticamente")</f>
        <v>apaticamente</v>
      </c>
      <c r="D273" s="1" t="str">
        <f>IFERROR(__xludf.DUMMYFUNCTION("GOOGLETRANSLATE(B273,""en"",""pt-br"")"),"negativo")</f>
        <v>negativo</v>
      </c>
    </row>
    <row r="274" ht="15.75" customHeight="1">
      <c r="A274" s="2" t="s">
        <v>276</v>
      </c>
      <c r="B274" s="2" t="s">
        <v>3</v>
      </c>
      <c r="C274" s="1" t="str">
        <f>IFERROR(__xludf.DUMMYFUNCTION("GOOGLETRANSLATE(A274,""en"",""pt-br"")"),"apatia")</f>
        <v>apatia</v>
      </c>
      <c r="D274" s="1" t="str">
        <f>IFERROR(__xludf.DUMMYFUNCTION("GOOGLETRANSLATE(B274,""en"",""pt-br"")"),"negativo")</f>
        <v>negativo</v>
      </c>
    </row>
    <row r="275" ht="15.75" customHeight="1">
      <c r="A275" s="2" t="s">
        <v>277</v>
      </c>
      <c r="B275" s="2" t="s">
        <v>3</v>
      </c>
      <c r="C275" s="1" t="str">
        <f>IFERROR(__xludf.DUMMYFUNCTION("GOOGLETRANSLATE(A275,""en"",""pt-br"")"),"apocalipse")</f>
        <v>apocalipse</v>
      </c>
      <c r="D275" s="1" t="str">
        <f>IFERROR(__xludf.DUMMYFUNCTION("GOOGLETRANSLATE(B275,""en"",""pt-br"")"),"negativo")</f>
        <v>negativo</v>
      </c>
    </row>
    <row r="276" ht="15.75" customHeight="1">
      <c r="A276" s="2" t="s">
        <v>278</v>
      </c>
      <c r="B276" s="2" t="s">
        <v>3</v>
      </c>
      <c r="C276" s="1" t="str">
        <f>IFERROR(__xludf.DUMMYFUNCTION("GOOGLETRANSLATE(A276,""en"",""pt-br"")"),"apocalíptico")</f>
        <v>apocalíptico</v>
      </c>
      <c r="D276" s="1" t="str">
        <f>IFERROR(__xludf.DUMMYFUNCTION("GOOGLETRANSLATE(B276,""en"",""pt-br"")"),"negativo")</f>
        <v>negativo</v>
      </c>
    </row>
    <row r="277" ht="15.75" customHeight="1">
      <c r="A277" s="2" t="s">
        <v>279</v>
      </c>
      <c r="B277" s="2" t="s">
        <v>3</v>
      </c>
      <c r="C277" s="1" t="str">
        <f>IFERROR(__xludf.DUMMYFUNCTION("GOOGLETRANSLATE(A277,""en"",""pt-br"")"),"apologista")</f>
        <v>apologista</v>
      </c>
      <c r="D277" s="1" t="str">
        <f>IFERROR(__xludf.DUMMYFUNCTION("GOOGLETRANSLATE(B277,""en"",""pt-br"")"),"negativo")</f>
        <v>negativo</v>
      </c>
    </row>
    <row r="278" ht="15.75" customHeight="1">
      <c r="A278" s="2" t="s">
        <v>280</v>
      </c>
      <c r="B278" s="2" t="s">
        <v>3</v>
      </c>
      <c r="C278" s="1" t="str">
        <f>IFERROR(__xludf.DUMMYFUNCTION("GOOGLETRANSLATE(A278,""en"",""pt-br"")"),"apologistas")</f>
        <v>apologistas</v>
      </c>
      <c r="D278" s="1" t="str">
        <f>IFERROR(__xludf.DUMMYFUNCTION("GOOGLETRANSLATE(B278,""en"",""pt-br"")"),"negativo")</f>
        <v>negativo</v>
      </c>
    </row>
    <row r="279" ht="15.75" customHeight="1">
      <c r="A279" s="2" t="s">
        <v>281</v>
      </c>
      <c r="B279" s="2" t="s">
        <v>14</v>
      </c>
      <c r="C279" s="1" t="str">
        <f>IFERROR(__xludf.DUMMYFUNCTION("GOOGLETRANSLATE(A279,""en"",""pt-br"")"),"apoteose")</f>
        <v>apoteose</v>
      </c>
      <c r="D279" s="1" t="str">
        <f>IFERROR(__xludf.DUMMYFUNCTION("GOOGLETRANSLATE(B279,""en"",""pt-br"")"),"positivo")</f>
        <v>positivo</v>
      </c>
    </row>
    <row r="280" ht="15.75" customHeight="1">
      <c r="A280" s="2" t="s">
        <v>282</v>
      </c>
      <c r="B280" s="2" t="s">
        <v>3</v>
      </c>
      <c r="C280" s="1" t="str">
        <f>IFERROR(__xludf.DUMMYFUNCTION("GOOGLETRANSLATE(A280,""en"",""pt-br"")"),"appal")</f>
        <v>appal</v>
      </c>
      <c r="D280" s="1" t="str">
        <f>IFERROR(__xludf.DUMMYFUNCTION("GOOGLETRANSLATE(B280,""en"",""pt-br"")"),"negativo")</f>
        <v>negativo</v>
      </c>
    </row>
    <row r="281" ht="15.75" customHeight="1">
      <c r="A281" s="2" t="s">
        <v>283</v>
      </c>
      <c r="B281" s="2" t="s">
        <v>3</v>
      </c>
      <c r="C281" s="1" t="str">
        <f>IFERROR(__xludf.DUMMYFUNCTION("GOOGLETRANSLATE(A281,""en"",""pt-br"")"),"assustar")</f>
        <v>assustar</v>
      </c>
      <c r="D281" s="1" t="str">
        <f>IFERROR(__xludf.DUMMYFUNCTION("GOOGLETRANSLATE(B281,""en"",""pt-br"")"),"negativo")</f>
        <v>negativo</v>
      </c>
    </row>
    <row r="282" ht="15.75" customHeight="1">
      <c r="A282" s="2" t="s">
        <v>284</v>
      </c>
      <c r="B282" s="2" t="s">
        <v>3</v>
      </c>
      <c r="C282" s="1" t="str">
        <f>IFERROR(__xludf.DUMMYFUNCTION("GOOGLETRANSLATE(A282,""en"",""pt-br"")"),"chocado")</f>
        <v>chocado</v>
      </c>
      <c r="D282" s="1" t="str">
        <f>IFERROR(__xludf.DUMMYFUNCTION("GOOGLETRANSLATE(B282,""en"",""pt-br"")"),"negativo")</f>
        <v>negativo</v>
      </c>
    </row>
    <row r="283" ht="15.75" customHeight="1">
      <c r="A283" s="2" t="s">
        <v>285</v>
      </c>
      <c r="B283" s="2" t="s">
        <v>3</v>
      </c>
      <c r="C283" s="1" t="str">
        <f>IFERROR(__xludf.DUMMYFUNCTION("GOOGLETRANSLATE(A283,""en"",""pt-br"")"),"apavorante")</f>
        <v>apavorante</v>
      </c>
      <c r="D283" s="1" t="str">
        <f>IFERROR(__xludf.DUMMYFUNCTION("GOOGLETRANSLATE(B283,""en"",""pt-br"")"),"negativo")</f>
        <v>negativo</v>
      </c>
    </row>
    <row r="284" ht="15.75" customHeight="1">
      <c r="A284" s="2" t="s">
        <v>286</v>
      </c>
      <c r="B284" s="2" t="s">
        <v>3</v>
      </c>
      <c r="C284" s="1" t="str">
        <f>IFERROR(__xludf.DUMMYFUNCTION("GOOGLETRANSLATE(A284,""en"",""pt-br"")"),"terrivelmente")</f>
        <v>terrivelmente</v>
      </c>
      <c r="D284" s="1" t="str">
        <f>IFERROR(__xludf.DUMMYFUNCTION("GOOGLETRANSLATE(B284,""en"",""pt-br"")"),"negativo")</f>
        <v>negativo</v>
      </c>
    </row>
    <row r="285" ht="15.75" customHeight="1">
      <c r="A285" s="2" t="s">
        <v>287</v>
      </c>
      <c r="B285" s="2" t="s">
        <v>14</v>
      </c>
      <c r="C285" s="1" t="str">
        <f>IFERROR(__xludf.DUMMYFUNCTION("GOOGLETRANSLATE(A285,""en"",""pt-br"")"),"recurso")</f>
        <v>recurso</v>
      </c>
      <c r="D285" s="1" t="str">
        <f>IFERROR(__xludf.DUMMYFUNCTION("GOOGLETRANSLATE(B285,""en"",""pt-br"")"),"positivo")</f>
        <v>positivo</v>
      </c>
    </row>
    <row r="286" ht="15.75" customHeight="1">
      <c r="A286" s="2" t="s">
        <v>288</v>
      </c>
      <c r="B286" s="2" t="s">
        <v>14</v>
      </c>
      <c r="C286" s="1" t="str">
        <f>IFERROR(__xludf.DUMMYFUNCTION("GOOGLETRANSLATE(A286,""en"",""pt-br"")"),"atraente")</f>
        <v>atraente</v>
      </c>
      <c r="D286" s="1" t="str">
        <f>IFERROR(__xludf.DUMMYFUNCTION("GOOGLETRANSLATE(B286,""en"",""pt-br"")"),"positivo")</f>
        <v>positivo</v>
      </c>
    </row>
    <row r="287" ht="15.75" customHeight="1">
      <c r="A287" s="2" t="s">
        <v>289</v>
      </c>
      <c r="B287" s="2" t="s">
        <v>14</v>
      </c>
      <c r="C287" s="1" t="str">
        <f>IFERROR(__xludf.DUMMYFUNCTION("GOOGLETRANSLATE(A287,""en"",""pt-br"")"),"aplaudir")</f>
        <v>aplaudir</v>
      </c>
      <c r="D287" s="1" t="str">
        <f>IFERROR(__xludf.DUMMYFUNCTION("GOOGLETRANSLATE(B287,""en"",""pt-br"")"),"positivo")</f>
        <v>positivo</v>
      </c>
    </row>
    <row r="288" ht="15.75" customHeight="1">
      <c r="A288" s="2" t="s">
        <v>290</v>
      </c>
      <c r="B288" s="2" t="s">
        <v>14</v>
      </c>
      <c r="C288" s="1" t="str">
        <f>IFERROR(__xludf.DUMMYFUNCTION("GOOGLETRANSLATE(A288,""en"",""pt-br"")"),"apreciável")</f>
        <v>apreciável</v>
      </c>
      <c r="D288" s="1" t="str">
        <f>IFERROR(__xludf.DUMMYFUNCTION("GOOGLETRANSLATE(B288,""en"",""pt-br"")"),"positivo")</f>
        <v>positivo</v>
      </c>
    </row>
    <row r="289" ht="15.75" customHeight="1">
      <c r="A289" s="2" t="s">
        <v>291</v>
      </c>
      <c r="B289" s="2" t="s">
        <v>14</v>
      </c>
      <c r="C289" s="1" t="str">
        <f>IFERROR(__xludf.DUMMYFUNCTION("GOOGLETRANSLATE(A289,""en"",""pt-br"")"),"apreciar")</f>
        <v>apreciar</v>
      </c>
      <c r="D289" s="1" t="str">
        <f>IFERROR(__xludf.DUMMYFUNCTION("GOOGLETRANSLATE(B289,""en"",""pt-br"")"),"positivo")</f>
        <v>positivo</v>
      </c>
    </row>
    <row r="290" ht="15.75" customHeight="1">
      <c r="A290" s="2" t="s">
        <v>292</v>
      </c>
      <c r="B290" s="2" t="s">
        <v>14</v>
      </c>
      <c r="C290" s="1" t="str">
        <f>IFERROR(__xludf.DUMMYFUNCTION("GOOGLETRANSLATE(A290,""en"",""pt-br"")"),"estimado")</f>
        <v>estimado</v>
      </c>
      <c r="D290" s="1" t="str">
        <f>IFERROR(__xludf.DUMMYFUNCTION("GOOGLETRANSLATE(B290,""en"",""pt-br"")"),"positivo")</f>
        <v>positivo</v>
      </c>
    </row>
    <row r="291" ht="15.75" customHeight="1">
      <c r="A291" s="2" t="s">
        <v>293</v>
      </c>
      <c r="B291" s="2" t="s">
        <v>14</v>
      </c>
      <c r="C291" s="1" t="str">
        <f>IFERROR(__xludf.DUMMYFUNCTION("GOOGLETRANSLATE(A291,""en"",""pt-br"")"),"Aprecia")</f>
        <v>Aprecia</v>
      </c>
      <c r="D291" s="1" t="str">
        <f>IFERROR(__xludf.DUMMYFUNCTION("GOOGLETRANSLATE(B291,""en"",""pt-br"")"),"positivo")</f>
        <v>positivo</v>
      </c>
    </row>
    <row r="292" ht="15.75" customHeight="1">
      <c r="A292" s="2" t="s">
        <v>294</v>
      </c>
      <c r="B292" s="2" t="s">
        <v>14</v>
      </c>
      <c r="C292" s="1" t="str">
        <f>IFERROR(__xludf.DUMMYFUNCTION("GOOGLETRANSLATE(A292,""en"",""pt-br"")"),"apreciativo")</f>
        <v>apreciativo</v>
      </c>
      <c r="D292" s="1" t="str">
        <f>IFERROR(__xludf.DUMMYFUNCTION("GOOGLETRANSLATE(B292,""en"",""pt-br"")"),"positivo")</f>
        <v>positivo</v>
      </c>
    </row>
    <row r="293" ht="15.75" customHeight="1">
      <c r="A293" s="2" t="s">
        <v>295</v>
      </c>
      <c r="B293" s="2" t="s">
        <v>14</v>
      </c>
      <c r="C293" s="1" t="str">
        <f>IFERROR(__xludf.DUMMYFUNCTION("GOOGLETRANSLATE(A293,""en"",""pt-br"")"),"appreciatively")</f>
        <v>appreciatively</v>
      </c>
      <c r="D293" s="1" t="str">
        <f>IFERROR(__xludf.DUMMYFUNCTION("GOOGLETRANSLATE(B293,""en"",""pt-br"")"),"positivo")</f>
        <v>positivo</v>
      </c>
    </row>
    <row r="294" ht="15.75" customHeight="1">
      <c r="A294" s="2" t="s">
        <v>296</v>
      </c>
      <c r="B294" s="2" t="s">
        <v>3</v>
      </c>
      <c r="C294" s="1" t="str">
        <f>IFERROR(__xludf.DUMMYFUNCTION("GOOGLETRANSLATE(A294,""en"",""pt-br"")"),"apreensão")</f>
        <v>apreensão</v>
      </c>
      <c r="D294" s="1" t="str">
        <f>IFERROR(__xludf.DUMMYFUNCTION("GOOGLETRANSLATE(B294,""en"",""pt-br"")"),"negativo")</f>
        <v>negativo</v>
      </c>
    </row>
    <row r="295" ht="15.75" customHeight="1">
      <c r="A295" s="2" t="s">
        <v>297</v>
      </c>
      <c r="B295" s="2" t="s">
        <v>3</v>
      </c>
      <c r="C295" s="1" t="str">
        <f>IFERROR(__xludf.DUMMYFUNCTION("GOOGLETRANSLATE(A295,""en"",""pt-br"")"),"apreensões")</f>
        <v>apreensões</v>
      </c>
      <c r="D295" s="1" t="str">
        <f>IFERROR(__xludf.DUMMYFUNCTION("GOOGLETRANSLATE(B295,""en"",""pt-br"")"),"negativo")</f>
        <v>negativo</v>
      </c>
    </row>
    <row r="296" ht="15.75" customHeight="1">
      <c r="A296" s="2" t="s">
        <v>298</v>
      </c>
      <c r="B296" s="2" t="s">
        <v>3</v>
      </c>
      <c r="C296" s="1" t="str">
        <f>IFERROR(__xludf.DUMMYFUNCTION("GOOGLETRANSLATE(A296,""en"",""pt-br"")"),"apreensivo")</f>
        <v>apreensivo</v>
      </c>
      <c r="D296" s="1" t="str">
        <f>IFERROR(__xludf.DUMMYFUNCTION("GOOGLETRANSLATE(B296,""en"",""pt-br"")"),"negativo")</f>
        <v>negativo</v>
      </c>
    </row>
    <row r="297" ht="15.75" customHeight="1">
      <c r="A297" s="2" t="s">
        <v>299</v>
      </c>
      <c r="B297" s="2" t="s">
        <v>3</v>
      </c>
      <c r="C297" s="1" t="str">
        <f>IFERROR(__xludf.DUMMYFUNCTION("GOOGLETRANSLATE(A297,""en"",""pt-br"")"),"apreensivamente")</f>
        <v>apreensivamente</v>
      </c>
      <c r="D297" s="1" t="str">
        <f>IFERROR(__xludf.DUMMYFUNCTION("GOOGLETRANSLATE(B297,""en"",""pt-br"")"),"negativo")</f>
        <v>negativo</v>
      </c>
    </row>
    <row r="298" ht="15.75" customHeight="1">
      <c r="A298" s="2" t="s">
        <v>300</v>
      </c>
      <c r="B298" s="2" t="s">
        <v>14</v>
      </c>
      <c r="C298" s="1" t="str">
        <f>IFERROR(__xludf.DUMMYFUNCTION("GOOGLETRANSLATE(A298,""en"",""pt-br"")"),"apropriar")</f>
        <v>apropriar</v>
      </c>
      <c r="D298" s="1" t="str">
        <f>IFERROR(__xludf.DUMMYFUNCTION("GOOGLETRANSLATE(B298,""en"",""pt-br"")"),"positivo")</f>
        <v>positivo</v>
      </c>
    </row>
    <row r="299" ht="15.75" customHeight="1">
      <c r="A299" s="2" t="s">
        <v>301</v>
      </c>
      <c r="B299" s="2" t="s">
        <v>14</v>
      </c>
      <c r="C299" s="1" t="str">
        <f>IFERROR(__xludf.DUMMYFUNCTION("GOOGLETRANSLATE(A299,""en"",""pt-br"")"),"aprovação")</f>
        <v>aprovação</v>
      </c>
      <c r="D299" s="1" t="str">
        <f>IFERROR(__xludf.DUMMYFUNCTION("GOOGLETRANSLATE(B299,""en"",""pt-br"")"),"positivo")</f>
        <v>positivo</v>
      </c>
    </row>
    <row r="300" ht="15.75" customHeight="1">
      <c r="A300" s="2" t="s">
        <v>302</v>
      </c>
      <c r="B300" s="2" t="s">
        <v>14</v>
      </c>
      <c r="C300" s="1" t="str">
        <f>IFERROR(__xludf.DUMMYFUNCTION("GOOGLETRANSLATE(A300,""en"",""pt-br"")"),"aprovar")</f>
        <v>aprovar</v>
      </c>
      <c r="D300" s="1" t="str">
        <f>IFERROR(__xludf.DUMMYFUNCTION("GOOGLETRANSLATE(B300,""en"",""pt-br"")"),"positivo")</f>
        <v>positivo</v>
      </c>
    </row>
    <row r="301" ht="15.75" customHeight="1">
      <c r="A301" s="2" t="s">
        <v>303</v>
      </c>
      <c r="B301" s="2" t="s">
        <v>3</v>
      </c>
      <c r="C301" s="1" t="str">
        <f>IFERROR(__xludf.DUMMYFUNCTION("GOOGLETRANSLATE(A301,""en"",""pt-br"")"),"arbitrário")</f>
        <v>arbitrário</v>
      </c>
      <c r="D301" s="1" t="str">
        <f>IFERROR(__xludf.DUMMYFUNCTION("GOOGLETRANSLATE(B301,""en"",""pt-br"")"),"negativo")</f>
        <v>negativo</v>
      </c>
    </row>
    <row r="302" ht="15.75" customHeight="1">
      <c r="A302" s="2" t="s">
        <v>304</v>
      </c>
      <c r="B302" s="2" t="s">
        <v>3</v>
      </c>
      <c r="C302" s="1" t="str">
        <f>IFERROR(__xludf.DUMMYFUNCTION("GOOGLETRANSLATE(A302,""en"",""pt-br"")"),"misterioso")</f>
        <v>misterioso</v>
      </c>
      <c r="D302" s="1" t="str">
        <f>IFERROR(__xludf.DUMMYFUNCTION("GOOGLETRANSLATE(B302,""en"",""pt-br"")"),"negativo")</f>
        <v>negativo</v>
      </c>
    </row>
    <row r="303" ht="15.75" customHeight="1">
      <c r="A303" s="2" t="s">
        <v>305</v>
      </c>
      <c r="B303" s="2" t="s">
        <v>3</v>
      </c>
      <c r="C303" s="1" t="str">
        <f>IFERROR(__xludf.DUMMYFUNCTION("GOOGLETRANSLATE(A303,""en"",""pt-br"")"),"arcaico")</f>
        <v>arcaico</v>
      </c>
      <c r="D303" s="1" t="str">
        <f>IFERROR(__xludf.DUMMYFUNCTION("GOOGLETRANSLATE(B303,""en"",""pt-br"")"),"negativo")</f>
        <v>negativo</v>
      </c>
    </row>
    <row r="304" ht="15.75" customHeight="1">
      <c r="A304" s="2" t="s">
        <v>306</v>
      </c>
      <c r="B304" s="2" t="s">
        <v>14</v>
      </c>
      <c r="C304" s="1" t="str">
        <f>IFERROR(__xludf.DUMMYFUNCTION("GOOGLETRANSLATE(A304,""en"",""pt-br"")"),"ardente")</f>
        <v>ardente</v>
      </c>
      <c r="D304" s="1" t="str">
        <f>IFERROR(__xludf.DUMMYFUNCTION("GOOGLETRANSLATE(B304,""en"",""pt-br"")"),"positivo")</f>
        <v>positivo</v>
      </c>
    </row>
    <row r="305" ht="15.75" customHeight="1">
      <c r="A305" s="2" t="s">
        <v>307</v>
      </c>
      <c r="B305" s="2" t="s">
        <v>14</v>
      </c>
      <c r="C305" s="1" t="str">
        <f>IFERROR(__xludf.DUMMYFUNCTION("GOOGLETRANSLATE(A305,""en"",""pt-br"")"),"ardentemente")</f>
        <v>ardentemente</v>
      </c>
      <c r="D305" s="1" t="str">
        <f>IFERROR(__xludf.DUMMYFUNCTION("GOOGLETRANSLATE(B305,""en"",""pt-br"")"),"positivo")</f>
        <v>positivo</v>
      </c>
    </row>
    <row r="306" ht="15.75" customHeight="1">
      <c r="A306" s="2" t="s">
        <v>308</v>
      </c>
      <c r="B306" s="2" t="s">
        <v>14</v>
      </c>
      <c r="C306" s="1" t="str">
        <f>IFERROR(__xludf.DUMMYFUNCTION("GOOGLETRANSLATE(A306,""en"",""pt-br"")"),"ardor")</f>
        <v>ardor</v>
      </c>
      <c r="D306" s="1" t="str">
        <f>IFERROR(__xludf.DUMMYFUNCTION("GOOGLETRANSLATE(B306,""en"",""pt-br"")"),"positivo")</f>
        <v>positivo</v>
      </c>
    </row>
    <row r="307" ht="15.75" customHeight="1">
      <c r="A307" s="2" t="s">
        <v>309</v>
      </c>
      <c r="B307" s="2" t="s">
        <v>3</v>
      </c>
      <c r="C307" s="1" t="str">
        <f>IFERROR(__xludf.DUMMYFUNCTION("GOOGLETRANSLATE(A307,""en"",""pt-br"")"),"árduo")</f>
        <v>árduo</v>
      </c>
      <c r="D307" s="1" t="str">
        <f>IFERROR(__xludf.DUMMYFUNCTION("GOOGLETRANSLATE(B307,""en"",""pt-br"")"),"negativo")</f>
        <v>negativo</v>
      </c>
    </row>
    <row r="308" ht="15.75" customHeight="1">
      <c r="A308" s="2" t="s">
        <v>310</v>
      </c>
      <c r="B308" s="2" t="s">
        <v>3</v>
      </c>
      <c r="C308" s="1" t="str">
        <f>IFERROR(__xludf.DUMMYFUNCTION("GOOGLETRANSLATE(A308,""en"",""pt-br"")"),"arduously")</f>
        <v>arduously</v>
      </c>
      <c r="D308" s="1" t="str">
        <f>IFERROR(__xludf.DUMMYFUNCTION("GOOGLETRANSLATE(B308,""en"",""pt-br"")"),"negativo")</f>
        <v>negativo</v>
      </c>
    </row>
    <row r="309" ht="15.75" customHeight="1">
      <c r="A309" s="2" t="s">
        <v>311</v>
      </c>
      <c r="B309" s="2" t="s">
        <v>3</v>
      </c>
      <c r="C309" s="1" t="str">
        <f>IFERROR(__xludf.DUMMYFUNCTION("GOOGLETRANSLATE(A309,""en"",""pt-br"")"),"argumentativo")</f>
        <v>argumentativo</v>
      </c>
      <c r="D309" s="1" t="str">
        <f>IFERROR(__xludf.DUMMYFUNCTION("GOOGLETRANSLATE(B309,""en"",""pt-br"")"),"negativo")</f>
        <v>negativo</v>
      </c>
    </row>
    <row r="310" ht="15.75" customHeight="1">
      <c r="A310" s="2" t="s">
        <v>312</v>
      </c>
      <c r="B310" s="2" t="s">
        <v>3</v>
      </c>
      <c r="C310" s="1" t="str">
        <f>IFERROR(__xludf.DUMMYFUNCTION("GOOGLETRANSLATE(A310,""en"",""pt-br"")"),"arrogância")</f>
        <v>arrogância</v>
      </c>
      <c r="D310" s="1" t="str">
        <f>IFERROR(__xludf.DUMMYFUNCTION("GOOGLETRANSLATE(B310,""en"",""pt-br"")"),"negativo")</f>
        <v>negativo</v>
      </c>
    </row>
    <row r="311" ht="15.75" customHeight="1">
      <c r="A311" s="2" t="s">
        <v>313</v>
      </c>
      <c r="B311" s="2" t="s">
        <v>3</v>
      </c>
      <c r="C311" s="1" t="str">
        <f>IFERROR(__xludf.DUMMYFUNCTION("GOOGLETRANSLATE(A311,""en"",""pt-br"")"),"arrogante")</f>
        <v>arrogante</v>
      </c>
      <c r="D311" s="1" t="str">
        <f>IFERROR(__xludf.DUMMYFUNCTION("GOOGLETRANSLATE(B311,""en"",""pt-br"")"),"negativo")</f>
        <v>negativo</v>
      </c>
    </row>
    <row r="312" ht="15.75" customHeight="1">
      <c r="A312" s="2" t="s">
        <v>314</v>
      </c>
      <c r="B312" s="2" t="s">
        <v>3</v>
      </c>
      <c r="C312" s="1" t="str">
        <f>IFERROR(__xludf.DUMMYFUNCTION("GOOGLETRANSLATE(A312,""en"",""pt-br"")"),"arrogantemente")</f>
        <v>arrogantemente</v>
      </c>
      <c r="D312" s="1" t="str">
        <f>IFERROR(__xludf.DUMMYFUNCTION("GOOGLETRANSLATE(B312,""en"",""pt-br"")"),"negativo")</f>
        <v>negativo</v>
      </c>
    </row>
    <row r="313" ht="15.75" customHeight="1">
      <c r="A313" s="2" t="s">
        <v>315</v>
      </c>
      <c r="B313" s="2" t="s">
        <v>14</v>
      </c>
      <c r="C313" s="1" t="str">
        <f>IFERROR(__xludf.DUMMYFUNCTION("GOOGLETRANSLATE(A313,""en"",""pt-br"")"),"articular")</f>
        <v>articular</v>
      </c>
      <c r="D313" s="1" t="str">
        <f>IFERROR(__xludf.DUMMYFUNCTION("GOOGLETRANSLATE(B313,""en"",""pt-br"")"),"positivo")</f>
        <v>positivo</v>
      </c>
    </row>
    <row r="314" ht="15.75" customHeight="1">
      <c r="A314" s="2" t="s">
        <v>316</v>
      </c>
      <c r="B314" s="2" t="s">
        <v>3</v>
      </c>
      <c r="C314" s="1" t="str">
        <f>IFERROR(__xludf.DUMMYFUNCTION("GOOGLETRANSLATE(A314,""en"",""pt-br"")"),"envergonhado")</f>
        <v>envergonhado</v>
      </c>
      <c r="D314" s="1" t="str">
        <f>IFERROR(__xludf.DUMMYFUNCTION("GOOGLETRANSLATE(B314,""en"",""pt-br"")"),"negativo")</f>
        <v>negativo</v>
      </c>
    </row>
    <row r="315" ht="15.75" customHeight="1">
      <c r="A315" s="2" t="s">
        <v>317</v>
      </c>
      <c r="B315" s="2" t="s">
        <v>3</v>
      </c>
      <c r="C315" s="1" t="str">
        <f>IFERROR(__xludf.DUMMYFUNCTION("GOOGLETRANSLATE(A315,""en"",""pt-br"")"),"asinino")</f>
        <v>asinino</v>
      </c>
      <c r="D315" s="1" t="str">
        <f>IFERROR(__xludf.DUMMYFUNCTION("GOOGLETRANSLATE(B315,""en"",""pt-br"")"),"negativo")</f>
        <v>negativo</v>
      </c>
    </row>
    <row r="316" ht="15.75" customHeight="1">
      <c r="A316" s="2" t="s">
        <v>318</v>
      </c>
      <c r="B316" s="2" t="s">
        <v>3</v>
      </c>
      <c r="C316" s="1" t="str">
        <f>IFERROR(__xludf.DUMMYFUNCTION("GOOGLETRANSLATE(A316,""en"",""pt-br"")"),"asininely")</f>
        <v>asininely</v>
      </c>
      <c r="D316" s="1" t="str">
        <f>IFERROR(__xludf.DUMMYFUNCTION("GOOGLETRANSLATE(B316,""en"",""pt-br"")"),"negativo")</f>
        <v>negativo</v>
      </c>
    </row>
    <row r="317" ht="15.75" customHeight="1">
      <c r="A317" s="2" t="s">
        <v>319</v>
      </c>
      <c r="B317" s="2" t="s">
        <v>3</v>
      </c>
      <c r="C317" s="1" t="str">
        <f>IFERROR(__xludf.DUMMYFUNCTION("GOOGLETRANSLATE(A317,""en"",""pt-br"")"),"asinininity")</f>
        <v>asinininity</v>
      </c>
      <c r="D317" s="1" t="str">
        <f>IFERROR(__xludf.DUMMYFUNCTION("GOOGLETRANSLATE(B317,""en"",""pt-br"")"),"negativo")</f>
        <v>negativo</v>
      </c>
    </row>
    <row r="318" ht="15.75" customHeight="1">
      <c r="A318" s="2" t="s">
        <v>320</v>
      </c>
      <c r="B318" s="2" t="s">
        <v>3</v>
      </c>
      <c r="C318" s="1" t="str">
        <f>IFERROR(__xludf.DUMMYFUNCTION("GOOGLETRANSLATE(A318,""en"",""pt-br"")"),"desconfiadamente")</f>
        <v>desconfiadamente</v>
      </c>
      <c r="D318" s="1" t="str">
        <f>IFERROR(__xludf.DUMMYFUNCTION("GOOGLETRANSLATE(B318,""en"",""pt-br"")"),"negativo")</f>
        <v>negativo</v>
      </c>
    </row>
    <row r="319" ht="15.75" customHeight="1">
      <c r="A319" s="2" t="s">
        <v>321</v>
      </c>
      <c r="B319" s="2" t="s">
        <v>3</v>
      </c>
      <c r="C319" s="1" t="str">
        <f>IFERROR(__xludf.DUMMYFUNCTION("GOOGLETRANSLATE(A319,""en"",""pt-br"")"),"difamar")</f>
        <v>difamar</v>
      </c>
      <c r="D319" s="1" t="str">
        <f>IFERROR(__xludf.DUMMYFUNCTION("GOOGLETRANSLATE(B319,""en"",""pt-br"")"),"negativo")</f>
        <v>negativo</v>
      </c>
    </row>
    <row r="320" ht="15.75" customHeight="1">
      <c r="A320" s="2" t="s">
        <v>322</v>
      </c>
      <c r="B320" s="2" t="s">
        <v>3</v>
      </c>
      <c r="C320" s="1" t="str">
        <f>IFERROR(__xludf.DUMMYFUNCTION("GOOGLETRANSLATE(A320,""en"",""pt-br"")"),"aspersão")</f>
        <v>aspersão</v>
      </c>
      <c r="D320" s="1" t="str">
        <f>IFERROR(__xludf.DUMMYFUNCTION("GOOGLETRANSLATE(B320,""en"",""pt-br"")"),"negativo")</f>
        <v>negativo</v>
      </c>
    </row>
    <row r="321" ht="15.75" customHeight="1">
      <c r="A321" s="2" t="s">
        <v>323</v>
      </c>
      <c r="B321" s="2" t="s">
        <v>3</v>
      </c>
      <c r="C321" s="1" t="str">
        <f>IFERROR(__xludf.DUMMYFUNCTION("GOOGLETRANSLATE(A321,""en"",""pt-br"")"),"aspersions")</f>
        <v>aspersions</v>
      </c>
      <c r="D321" s="1" t="str">
        <f>IFERROR(__xludf.DUMMYFUNCTION("GOOGLETRANSLATE(B321,""en"",""pt-br"")"),"negativo")</f>
        <v>negativo</v>
      </c>
    </row>
    <row r="322" ht="15.75" customHeight="1">
      <c r="A322" s="2" t="s">
        <v>324</v>
      </c>
      <c r="B322" s="2" t="s">
        <v>14</v>
      </c>
      <c r="C322" s="1" t="str">
        <f>IFERROR(__xludf.DUMMYFUNCTION("GOOGLETRANSLATE(A322,""en"",""pt-br"")"),"aspiração")</f>
        <v>aspiração</v>
      </c>
      <c r="D322" s="1" t="str">
        <f>IFERROR(__xludf.DUMMYFUNCTION("GOOGLETRANSLATE(B322,""en"",""pt-br"")"),"positivo")</f>
        <v>positivo</v>
      </c>
    </row>
    <row r="323" ht="15.75" customHeight="1">
      <c r="A323" s="2" t="s">
        <v>325</v>
      </c>
      <c r="B323" s="2" t="s">
        <v>14</v>
      </c>
      <c r="C323" s="1" t="str">
        <f>IFERROR(__xludf.DUMMYFUNCTION("GOOGLETRANSLATE(A323,""en"",""pt-br"")"),"aspirações")</f>
        <v>aspirações</v>
      </c>
      <c r="D323" s="1" t="str">
        <f>IFERROR(__xludf.DUMMYFUNCTION("GOOGLETRANSLATE(B323,""en"",""pt-br"")"),"positivo")</f>
        <v>positivo</v>
      </c>
    </row>
    <row r="324" ht="15.75" customHeight="1">
      <c r="A324" s="2" t="s">
        <v>326</v>
      </c>
      <c r="B324" s="2" t="s">
        <v>14</v>
      </c>
      <c r="C324" s="1" t="str">
        <f>IFERROR(__xludf.DUMMYFUNCTION("GOOGLETRANSLATE(A324,""en"",""pt-br"")"),"aspirar")</f>
        <v>aspirar</v>
      </c>
      <c r="D324" s="1" t="str">
        <f>IFERROR(__xludf.DUMMYFUNCTION("GOOGLETRANSLATE(B324,""en"",""pt-br"")"),"positivo")</f>
        <v>positivo</v>
      </c>
    </row>
    <row r="325" ht="15.75" customHeight="1">
      <c r="A325" s="2" t="s">
        <v>327</v>
      </c>
      <c r="B325" s="2" t="s">
        <v>3</v>
      </c>
      <c r="C325" s="1" t="str">
        <f>IFERROR(__xludf.DUMMYFUNCTION("GOOGLETRANSLATE(A325,""en"",""pt-br"")"),"assaltar")</f>
        <v>assaltar</v>
      </c>
      <c r="D325" s="1" t="str">
        <f>IFERROR(__xludf.DUMMYFUNCTION("GOOGLETRANSLATE(B325,""en"",""pt-br"")"),"negativo")</f>
        <v>negativo</v>
      </c>
    </row>
    <row r="326" ht="15.75" customHeight="1">
      <c r="A326" s="2" t="s">
        <v>328</v>
      </c>
      <c r="B326" s="2" t="s">
        <v>3</v>
      </c>
      <c r="C326" s="1" t="str">
        <f>IFERROR(__xludf.DUMMYFUNCTION("GOOGLETRANSLATE(A326,""en"",""pt-br"")"),"assassino")</f>
        <v>assassino</v>
      </c>
      <c r="D326" s="1" t="str">
        <f>IFERROR(__xludf.DUMMYFUNCTION("GOOGLETRANSLATE(B326,""en"",""pt-br"")"),"negativo")</f>
        <v>negativo</v>
      </c>
    </row>
    <row r="327" ht="15.75" customHeight="1">
      <c r="A327" s="2" t="s">
        <v>329</v>
      </c>
      <c r="B327" s="2" t="s">
        <v>3</v>
      </c>
      <c r="C327" s="1" t="str">
        <f>IFERROR(__xludf.DUMMYFUNCTION("GOOGLETRANSLATE(A327,""en"",""pt-br"")"),"assassinar")</f>
        <v>assassinar</v>
      </c>
      <c r="D327" s="1" t="str">
        <f>IFERROR(__xludf.DUMMYFUNCTION("GOOGLETRANSLATE(B327,""en"",""pt-br"")"),"negativo")</f>
        <v>negativo</v>
      </c>
    </row>
    <row r="328" ht="15.75" customHeight="1">
      <c r="A328" s="2" t="s">
        <v>330</v>
      </c>
      <c r="B328" s="2" t="s">
        <v>3</v>
      </c>
      <c r="C328" s="1" t="str">
        <f>IFERROR(__xludf.DUMMYFUNCTION("GOOGLETRANSLATE(A328,""en"",""pt-br"")"),"assalto")</f>
        <v>assalto</v>
      </c>
      <c r="D328" s="1" t="str">
        <f>IFERROR(__xludf.DUMMYFUNCTION("GOOGLETRANSLATE(B328,""en"",""pt-br"")"),"negativo")</f>
        <v>negativo</v>
      </c>
    </row>
    <row r="329" ht="15.75" customHeight="1">
      <c r="A329" s="2" t="s">
        <v>331</v>
      </c>
      <c r="B329" s="2" t="s">
        <v>3</v>
      </c>
      <c r="C329" s="1" t="str">
        <f>IFERROR(__xludf.DUMMYFUNCTION("GOOGLETRANSLATE(A329,""en"",""pt-br"")"),"assult")</f>
        <v>assult</v>
      </c>
      <c r="D329" s="1" t="str">
        <f>IFERROR(__xludf.DUMMYFUNCTION("GOOGLETRANSLATE(B329,""en"",""pt-br"")"),"negativo")</f>
        <v>negativo</v>
      </c>
    </row>
    <row r="330" ht="15.75" customHeight="1">
      <c r="A330" s="2" t="s">
        <v>332</v>
      </c>
      <c r="B330" s="2" t="s">
        <v>14</v>
      </c>
      <c r="C330" s="1" t="str">
        <f>IFERROR(__xludf.DUMMYFUNCTION("GOOGLETRANSLATE(A330,""en"",""pt-br"")"),"garantia")</f>
        <v>garantia</v>
      </c>
      <c r="D330" s="1" t="str">
        <f>IFERROR(__xludf.DUMMYFUNCTION("GOOGLETRANSLATE(B330,""en"",""pt-br"")"),"positivo")</f>
        <v>positivo</v>
      </c>
    </row>
    <row r="331" ht="15.75" customHeight="1">
      <c r="A331" s="2" t="s">
        <v>333</v>
      </c>
      <c r="B331" s="2" t="s">
        <v>14</v>
      </c>
      <c r="C331" s="1" t="str">
        <f>IFERROR(__xludf.DUMMYFUNCTION("GOOGLETRANSLATE(A331,""en"",""pt-br"")"),"garantias")</f>
        <v>garantias</v>
      </c>
      <c r="D331" s="1" t="str">
        <f>IFERROR(__xludf.DUMMYFUNCTION("GOOGLETRANSLATE(B331,""en"",""pt-br"")"),"positivo")</f>
        <v>positivo</v>
      </c>
    </row>
    <row r="332" ht="15.75" customHeight="1">
      <c r="A332" s="2" t="s">
        <v>334</v>
      </c>
      <c r="B332" s="2" t="s">
        <v>14</v>
      </c>
      <c r="C332" s="1" t="str">
        <f>IFERROR(__xludf.DUMMYFUNCTION("GOOGLETRANSLATE(A332,""en"",""pt-br"")"),"assegurar")</f>
        <v>assegurar</v>
      </c>
      <c r="D332" s="1" t="str">
        <f>IFERROR(__xludf.DUMMYFUNCTION("GOOGLETRANSLATE(B332,""en"",""pt-br"")"),"positivo")</f>
        <v>positivo</v>
      </c>
    </row>
    <row r="333" ht="15.75" customHeight="1">
      <c r="A333" s="2" t="s">
        <v>335</v>
      </c>
      <c r="B333" s="2" t="s">
        <v>14</v>
      </c>
      <c r="C333" s="1" t="str">
        <f>IFERROR(__xludf.DUMMYFUNCTION("GOOGLETRANSLATE(A333,""en"",""pt-br"")"),"indubitavelmente")</f>
        <v>indubitavelmente</v>
      </c>
      <c r="D333" s="1" t="str">
        <f>IFERROR(__xludf.DUMMYFUNCTION("GOOGLETRANSLATE(B333,""en"",""pt-br"")"),"positivo")</f>
        <v>positivo</v>
      </c>
    </row>
    <row r="334" ht="15.75" customHeight="1">
      <c r="A334" s="2" t="s">
        <v>336</v>
      </c>
      <c r="B334" s="2" t="s">
        <v>14</v>
      </c>
      <c r="C334" s="1" t="str">
        <f>IFERROR(__xludf.DUMMYFUNCTION("GOOGLETRANSLATE(A334,""en"",""pt-br"")"),"assegurando")</f>
        <v>assegurando</v>
      </c>
      <c r="D334" s="1" t="str">
        <f>IFERROR(__xludf.DUMMYFUNCTION("GOOGLETRANSLATE(B334,""en"",""pt-br"")"),"positivo")</f>
        <v>positivo</v>
      </c>
    </row>
    <row r="335" ht="15.75" customHeight="1">
      <c r="A335" s="2" t="s">
        <v>337</v>
      </c>
      <c r="B335" s="2" t="s">
        <v>14</v>
      </c>
      <c r="C335" s="1" t="str">
        <f>IFERROR(__xludf.DUMMYFUNCTION("GOOGLETRANSLATE(A335,""en"",""pt-br"")"),"astonish")</f>
        <v>astonish</v>
      </c>
      <c r="D335" s="1" t="str">
        <f>IFERROR(__xludf.DUMMYFUNCTION("GOOGLETRANSLATE(B335,""en"",""pt-br"")"),"positivo")</f>
        <v>positivo</v>
      </c>
    </row>
    <row r="336" ht="15.75" customHeight="1">
      <c r="A336" s="2" t="s">
        <v>338</v>
      </c>
      <c r="B336" s="2" t="s">
        <v>14</v>
      </c>
      <c r="C336" s="1" t="str">
        <f>IFERROR(__xludf.DUMMYFUNCTION("GOOGLETRANSLATE(A336,""en"",""pt-br"")"),"atônito")</f>
        <v>atônito</v>
      </c>
      <c r="D336" s="1" t="str">
        <f>IFERROR(__xludf.DUMMYFUNCTION("GOOGLETRANSLATE(B336,""en"",""pt-br"")"),"positivo")</f>
        <v>positivo</v>
      </c>
    </row>
    <row r="337" ht="15.75" customHeight="1">
      <c r="A337" s="2" t="s">
        <v>339</v>
      </c>
      <c r="B337" s="2" t="s">
        <v>14</v>
      </c>
      <c r="C337" s="1" t="str">
        <f>IFERROR(__xludf.DUMMYFUNCTION("GOOGLETRANSLATE(A337,""en"",""pt-br"")"),"surpreendente")</f>
        <v>surpreendente</v>
      </c>
      <c r="D337" s="1" t="str">
        <f>IFERROR(__xludf.DUMMYFUNCTION("GOOGLETRANSLATE(B337,""en"",""pt-br"")"),"positivo")</f>
        <v>positivo</v>
      </c>
    </row>
    <row r="338" ht="15.75" customHeight="1">
      <c r="A338" s="2" t="s">
        <v>340</v>
      </c>
      <c r="B338" s="2" t="s">
        <v>14</v>
      </c>
      <c r="C338" s="1" t="str">
        <f>IFERROR(__xludf.DUMMYFUNCTION("GOOGLETRANSLATE(A338,""en"",""pt-br"")"),"espantosamente")</f>
        <v>espantosamente</v>
      </c>
      <c r="D338" s="1" t="str">
        <f>IFERROR(__xludf.DUMMYFUNCTION("GOOGLETRANSLATE(B338,""en"",""pt-br"")"),"positivo")</f>
        <v>positivo</v>
      </c>
    </row>
    <row r="339" ht="15.75" customHeight="1">
      <c r="A339" s="2" t="s">
        <v>341</v>
      </c>
      <c r="B339" s="2" t="s">
        <v>14</v>
      </c>
      <c r="C339" s="1" t="str">
        <f>IFERROR(__xludf.DUMMYFUNCTION("GOOGLETRANSLATE(A339,""en"",""pt-br"")"),"espanto")</f>
        <v>espanto</v>
      </c>
      <c r="D339" s="1" t="str">
        <f>IFERROR(__xludf.DUMMYFUNCTION("GOOGLETRANSLATE(B339,""en"",""pt-br"")"),"positivo")</f>
        <v>positivo</v>
      </c>
    </row>
    <row r="340" ht="15.75" customHeight="1">
      <c r="A340" s="2" t="s">
        <v>342</v>
      </c>
      <c r="B340" s="2" t="s">
        <v>14</v>
      </c>
      <c r="C340" s="1" t="str">
        <f>IFERROR(__xludf.DUMMYFUNCTION("GOOGLETRANSLATE(A340,""en"",""pt-br"")"),"astound")</f>
        <v>astound</v>
      </c>
      <c r="D340" s="1" t="str">
        <f>IFERROR(__xludf.DUMMYFUNCTION("GOOGLETRANSLATE(B340,""en"",""pt-br"")"),"positivo")</f>
        <v>positivo</v>
      </c>
    </row>
    <row r="341" ht="15.75" customHeight="1">
      <c r="A341" s="2" t="s">
        <v>343</v>
      </c>
      <c r="B341" s="2" t="s">
        <v>14</v>
      </c>
      <c r="C341" s="1" t="str">
        <f>IFERROR(__xludf.DUMMYFUNCTION("GOOGLETRANSLATE(A341,""en"",""pt-br"")"),"estupefacto")</f>
        <v>estupefacto</v>
      </c>
      <c r="D341" s="1" t="str">
        <f>IFERROR(__xludf.DUMMYFUNCTION("GOOGLETRANSLATE(B341,""en"",""pt-br"")"),"positivo")</f>
        <v>positivo</v>
      </c>
    </row>
    <row r="342" ht="15.75" customHeight="1">
      <c r="A342" s="2" t="s">
        <v>344</v>
      </c>
      <c r="B342" s="2" t="s">
        <v>14</v>
      </c>
      <c r="C342" s="1" t="str">
        <f>IFERROR(__xludf.DUMMYFUNCTION("GOOGLETRANSLATE(A342,""en"",""pt-br"")"),"assombroso")</f>
        <v>assombroso</v>
      </c>
      <c r="D342" s="1" t="str">
        <f>IFERROR(__xludf.DUMMYFUNCTION("GOOGLETRANSLATE(B342,""en"",""pt-br"")"),"positivo")</f>
        <v>positivo</v>
      </c>
    </row>
    <row r="343" ht="15.75" customHeight="1">
      <c r="A343" s="2" t="s">
        <v>345</v>
      </c>
      <c r="B343" s="2" t="s">
        <v>14</v>
      </c>
      <c r="C343" s="1" t="str">
        <f>IFERROR(__xludf.DUMMYFUNCTION("GOOGLETRANSLATE(A343,""en"",""pt-br"")"),"espantosamente")</f>
        <v>espantosamente</v>
      </c>
      <c r="D343" s="1" t="str">
        <f>IFERROR(__xludf.DUMMYFUNCTION("GOOGLETRANSLATE(B343,""en"",""pt-br"")"),"positivo")</f>
        <v>positivo</v>
      </c>
    </row>
    <row r="344" ht="15.75" customHeight="1">
      <c r="A344" s="2" t="s">
        <v>346</v>
      </c>
      <c r="B344" s="2" t="s">
        <v>3</v>
      </c>
      <c r="C344" s="1" t="str">
        <f>IFERROR(__xludf.DUMMYFUNCTION("GOOGLETRANSLATE(A344,""en"",""pt-br"")"),"extraviados")</f>
        <v>extraviados</v>
      </c>
      <c r="D344" s="1" t="str">
        <f>IFERROR(__xludf.DUMMYFUNCTION("GOOGLETRANSLATE(B344,""en"",""pt-br"")"),"negativo")</f>
        <v>negativo</v>
      </c>
    </row>
    <row r="345" ht="15.75" customHeight="1">
      <c r="A345" s="2" t="s">
        <v>347</v>
      </c>
      <c r="B345" s="2" t="s">
        <v>14</v>
      </c>
      <c r="C345" s="1" t="str">
        <f>IFERROR(__xludf.DUMMYFUNCTION("GOOGLETRANSLATE(A345,""en"",""pt-br"")"),"astutamente")</f>
        <v>astutamente</v>
      </c>
      <c r="D345" s="1" t="str">
        <f>IFERROR(__xludf.DUMMYFUNCTION("GOOGLETRANSLATE(B345,""en"",""pt-br"")"),"positivo")</f>
        <v>positivo</v>
      </c>
    </row>
    <row r="346" ht="15.75" customHeight="1">
      <c r="A346" s="2" t="s">
        <v>348</v>
      </c>
      <c r="B346" s="2" t="s">
        <v>3</v>
      </c>
      <c r="C346" s="1" t="str">
        <f>IFERROR(__xludf.DUMMYFUNCTION("GOOGLETRANSLATE(A346,""en"",""pt-br"")"),"separadamente")</f>
        <v>separadamente</v>
      </c>
      <c r="D346" s="1" t="str">
        <f>IFERROR(__xludf.DUMMYFUNCTION("GOOGLETRANSLATE(B346,""en"",""pt-br"")"),"negativo")</f>
        <v>negativo</v>
      </c>
    </row>
    <row r="347" ht="15.75" customHeight="1">
      <c r="A347" s="2" t="s">
        <v>349</v>
      </c>
      <c r="B347" s="2" t="s">
        <v>3</v>
      </c>
      <c r="C347" s="1" t="str">
        <f>IFERROR(__xludf.DUMMYFUNCTION("GOOGLETRANSLATE(A347,""en"",""pt-br"")"),"atroz")</f>
        <v>atroz</v>
      </c>
      <c r="D347" s="1" t="str">
        <f>IFERROR(__xludf.DUMMYFUNCTION("GOOGLETRANSLATE(B347,""en"",""pt-br"")"),"negativo")</f>
        <v>negativo</v>
      </c>
    </row>
    <row r="348" ht="15.75" customHeight="1">
      <c r="A348" s="2" t="s">
        <v>350</v>
      </c>
      <c r="B348" s="2" t="s">
        <v>3</v>
      </c>
      <c r="C348" s="1" t="str">
        <f>IFERROR(__xludf.DUMMYFUNCTION("GOOGLETRANSLATE(A348,""en"",""pt-br"")"),"atrocidades")</f>
        <v>atrocidades</v>
      </c>
      <c r="D348" s="1" t="str">
        <f>IFERROR(__xludf.DUMMYFUNCTION("GOOGLETRANSLATE(B348,""en"",""pt-br"")"),"negativo")</f>
        <v>negativo</v>
      </c>
    </row>
    <row r="349" ht="15.75" customHeight="1">
      <c r="A349" s="2" t="s">
        <v>351</v>
      </c>
      <c r="B349" s="2" t="s">
        <v>3</v>
      </c>
      <c r="C349" s="1" t="str">
        <f>IFERROR(__xludf.DUMMYFUNCTION("GOOGLETRANSLATE(A349,""en"",""pt-br"")"),"atrocidade")</f>
        <v>atrocidade</v>
      </c>
      <c r="D349" s="1" t="str">
        <f>IFERROR(__xludf.DUMMYFUNCTION("GOOGLETRANSLATE(B349,""en"",""pt-br"")"),"negativo")</f>
        <v>negativo</v>
      </c>
    </row>
    <row r="350" ht="15.75" customHeight="1">
      <c r="A350" s="2" t="s">
        <v>352</v>
      </c>
      <c r="B350" s="2" t="s">
        <v>3</v>
      </c>
      <c r="C350" s="1" t="str">
        <f>IFERROR(__xludf.DUMMYFUNCTION("GOOGLETRANSLATE(A350,""en"",""pt-br"")"),"atrofia")</f>
        <v>atrofia</v>
      </c>
      <c r="D350" s="1" t="str">
        <f>IFERROR(__xludf.DUMMYFUNCTION("GOOGLETRANSLATE(B350,""en"",""pt-br"")"),"negativo")</f>
        <v>negativo</v>
      </c>
    </row>
    <row r="351" ht="15.75" customHeight="1">
      <c r="A351" s="2" t="s">
        <v>353</v>
      </c>
      <c r="B351" s="2" t="s">
        <v>3</v>
      </c>
      <c r="C351" s="1" t="str">
        <f>IFERROR(__xludf.DUMMYFUNCTION("GOOGLETRANSLATE(A351,""en"",""pt-br"")"),"ataque")</f>
        <v>ataque</v>
      </c>
      <c r="D351" s="1" t="str">
        <f>IFERROR(__xludf.DUMMYFUNCTION("GOOGLETRANSLATE(B351,""en"",""pt-br"")"),"negativo")</f>
        <v>negativo</v>
      </c>
    </row>
    <row r="352" ht="15.75" customHeight="1">
      <c r="A352" s="2" t="s">
        <v>354</v>
      </c>
      <c r="B352" s="2" t="s">
        <v>3</v>
      </c>
      <c r="C352" s="1" t="str">
        <f>IFERROR(__xludf.DUMMYFUNCTION("GOOGLETRANSLATE(A352,""en"",""pt-br"")"),"ataques")</f>
        <v>ataques</v>
      </c>
      <c r="D352" s="1" t="str">
        <f>IFERROR(__xludf.DUMMYFUNCTION("GOOGLETRANSLATE(B352,""en"",""pt-br"")"),"negativo")</f>
        <v>negativo</v>
      </c>
    </row>
    <row r="353" ht="15.75" customHeight="1">
      <c r="A353" s="2" t="s">
        <v>355</v>
      </c>
      <c r="B353" s="2" t="s">
        <v>14</v>
      </c>
      <c r="C353" s="1" t="str">
        <f>IFERROR(__xludf.DUMMYFUNCTION("GOOGLETRANSLATE(A353,""en"",""pt-br"")"),"atento")</f>
        <v>atento</v>
      </c>
      <c r="D353" s="1" t="str">
        <f>IFERROR(__xludf.DUMMYFUNCTION("GOOGLETRANSLATE(B353,""en"",""pt-br"")"),"positivo")</f>
        <v>positivo</v>
      </c>
    </row>
    <row r="354" ht="15.75" customHeight="1">
      <c r="A354" s="2" t="s">
        <v>356</v>
      </c>
      <c r="B354" s="2" t="s">
        <v>14</v>
      </c>
      <c r="C354" s="1" t="str">
        <f>IFERROR(__xludf.DUMMYFUNCTION("GOOGLETRANSLATE(A354,""en"",""pt-br"")"),"atração")</f>
        <v>atração</v>
      </c>
      <c r="D354" s="1" t="str">
        <f>IFERROR(__xludf.DUMMYFUNCTION("GOOGLETRANSLATE(B354,""en"",""pt-br"")"),"positivo")</f>
        <v>positivo</v>
      </c>
    </row>
    <row r="355" ht="15.75" customHeight="1">
      <c r="A355" s="2" t="s">
        <v>357</v>
      </c>
      <c r="B355" s="2" t="s">
        <v>14</v>
      </c>
      <c r="C355" s="1" t="str">
        <f>IFERROR(__xludf.DUMMYFUNCTION("GOOGLETRANSLATE(A355,""en"",""pt-br"")"),"atraente")</f>
        <v>atraente</v>
      </c>
      <c r="D355" s="1" t="str">
        <f>IFERROR(__xludf.DUMMYFUNCTION("GOOGLETRANSLATE(B355,""en"",""pt-br"")"),"positivo")</f>
        <v>positivo</v>
      </c>
    </row>
    <row r="356" ht="15.75" customHeight="1">
      <c r="A356" s="2" t="s">
        <v>358</v>
      </c>
      <c r="B356" s="2" t="s">
        <v>14</v>
      </c>
      <c r="C356" s="1" t="str">
        <f>IFERROR(__xludf.DUMMYFUNCTION("GOOGLETRANSLATE(A356,""en"",""pt-br"")"),"atrativamente")</f>
        <v>atrativamente</v>
      </c>
      <c r="D356" s="1" t="str">
        <f>IFERROR(__xludf.DUMMYFUNCTION("GOOGLETRANSLATE(B356,""en"",""pt-br"")"),"positivo")</f>
        <v>positivo</v>
      </c>
    </row>
    <row r="357" ht="15.75" customHeight="1">
      <c r="A357" s="2" t="s">
        <v>359</v>
      </c>
      <c r="B357" s="2" t="s">
        <v>14</v>
      </c>
      <c r="C357" s="1" t="str">
        <f>IFERROR(__xludf.DUMMYFUNCTION("GOOGLETRANSLATE(A357,""en"",""pt-br"")"),"afinar")</f>
        <v>afinar</v>
      </c>
      <c r="D357" s="1" t="str">
        <f>IFERROR(__xludf.DUMMYFUNCTION("GOOGLETRANSLATE(B357,""en"",""pt-br"")"),"positivo")</f>
        <v>positivo</v>
      </c>
    </row>
    <row r="358" ht="15.75" customHeight="1">
      <c r="A358" s="2" t="s">
        <v>360</v>
      </c>
      <c r="B358" s="2" t="s">
        <v>3</v>
      </c>
      <c r="C358" s="1" t="str">
        <f>IFERROR(__xludf.DUMMYFUNCTION("GOOGLETRANSLATE(A358,""en"",""pt-br"")"),"audacioso")</f>
        <v>audacioso</v>
      </c>
      <c r="D358" s="1" t="str">
        <f>IFERROR(__xludf.DUMMYFUNCTION("GOOGLETRANSLATE(B358,""en"",""pt-br"")"),"negativo")</f>
        <v>negativo</v>
      </c>
    </row>
    <row r="359" ht="15.75" customHeight="1">
      <c r="A359" s="2" t="s">
        <v>361</v>
      </c>
      <c r="B359" s="2" t="s">
        <v>3</v>
      </c>
      <c r="C359" s="1" t="str">
        <f>IFERROR(__xludf.DUMMYFUNCTION("GOOGLETRANSLATE(A359,""en"",""pt-br"")"),"audaciosamente")</f>
        <v>audaciosamente</v>
      </c>
      <c r="D359" s="1" t="str">
        <f>IFERROR(__xludf.DUMMYFUNCTION("GOOGLETRANSLATE(B359,""en"",""pt-br"")"),"negativo")</f>
        <v>negativo</v>
      </c>
    </row>
    <row r="360" ht="15.75" customHeight="1">
      <c r="A360" s="2" t="s">
        <v>362</v>
      </c>
      <c r="B360" s="2" t="s">
        <v>3</v>
      </c>
      <c r="C360" s="1" t="str">
        <f>IFERROR(__xludf.DUMMYFUNCTION("GOOGLETRANSLATE(A360,""en"",""pt-br"")"),"audácia")</f>
        <v>audácia</v>
      </c>
      <c r="D360" s="1" t="str">
        <f>IFERROR(__xludf.DUMMYFUNCTION("GOOGLETRANSLATE(B360,""en"",""pt-br"")"),"negativo")</f>
        <v>negativo</v>
      </c>
    </row>
    <row r="361" ht="15.75" customHeight="1">
      <c r="A361" s="2" t="s">
        <v>363</v>
      </c>
      <c r="B361" s="2" t="s">
        <v>3</v>
      </c>
      <c r="C361" s="1" t="str">
        <f>IFERROR(__xludf.DUMMYFUNCTION("GOOGLETRANSLATE(A361,""en"",""pt-br"")"),"audácia")</f>
        <v>audácia</v>
      </c>
      <c r="D361" s="1" t="str">
        <f>IFERROR(__xludf.DUMMYFUNCTION("GOOGLETRANSLATE(B361,""en"",""pt-br"")"),"negativo")</f>
        <v>negativo</v>
      </c>
    </row>
    <row r="362" ht="15.75" customHeight="1">
      <c r="A362" s="2" t="s">
        <v>364</v>
      </c>
      <c r="B362" s="2" t="s">
        <v>14</v>
      </c>
      <c r="C362" s="1" t="str">
        <f>IFERROR(__xludf.DUMMYFUNCTION("GOOGLETRANSLATE(A362,""en"",""pt-br"")"),"audível")</f>
        <v>audível</v>
      </c>
      <c r="D362" s="1" t="str">
        <f>IFERROR(__xludf.DUMMYFUNCTION("GOOGLETRANSLATE(B362,""en"",""pt-br"")"),"positivo")</f>
        <v>positivo</v>
      </c>
    </row>
    <row r="363" ht="15.75" customHeight="1">
      <c r="A363" s="2" t="s">
        <v>365</v>
      </c>
      <c r="B363" s="2" t="s">
        <v>14</v>
      </c>
      <c r="C363" s="1" t="str">
        <f>IFERROR(__xludf.DUMMYFUNCTION("GOOGLETRANSLATE(A363,""en"",""pt-br"")"),"audivelmente")</f>
        <v>audivelmente</v>
      </c>
      <c r="D363" s="1" t="str">
        <f>IFERROR(__xludf.DUMMYFUNCTION("GOOGLETRANSLATE(B363,""en"",""pt-br"")"),"positivo")</f>
        <v>positivo</v>
      </c>
    </row>
    <row r="364" ht="15.75" customHeight="1">
      <c r="A364" s="2" t="s">
        <v>366</v>
      </c>
      <c r="B364" s="2" t="s">
        <v>3</v>
      </c>
      <c r="C364" s="1" t="str">
        <f>IFERROR(__xludf.DUMMYFUNCTION("GOOGLETRANSLATE(A364,""en"",""pt-br"")"),"audiciously")</f>
        <v>audiciously</v>
      </c>
      <c r="D364" s="1" t="str">
        <f>IFERROR(__xludf.DUMMYFUNCTION("GOOGLETRANSLATE(B364,""en"",""pt-br"")"),"negativo")</f>
        <v>negativo</v>
      </c>
    </row>
    <row r="365" ht="15.75" customHeight="1">
      <c r="A365" s="2" t="s">
        <v>367</v>
      </c>
      <c r="B365" s="2" t="s">
        <v>14</v>
      </c>
      <c r="C365" s="1" t="str">
        <f>IFERROR(__xludf.DUMMYFUNCTION("GOOGLETRANSLATE(A365,""en"",""pt-br"")"),"auspicioso")</f>
        <v>auspicioso</v>
      </c>
      <c r="D365" s="1" t="str">
        <f>IFERROR(__xludf.DUMMYFUNCTION("GOOGLETRANSLATE(B365,""en"",""pt-br"")"),"positivo")</f>
        <v>positivo</v>
      </c>
    </row>
    <row r="366" ht="15.75" customHeight="1">
      <c r="A366" s="2" t="s">
        <v>368</v>
      </c>
      <c r="B366" s="2" t="s">
        <v>3</v>
      </c>
      <c r="C366" s="1" t="str">
        <f>IFERROR(__xludf.DUMMYFUNCTION("GOOGLETRANSLATE(A366,""en"",""pt-br"")"),"austero")</f>
        <v>austero</v>
      </c>
      <c r="D366" s="1" t="str">
        <f>IFERROR(__xludf.DUMMYFUNCTION("GOOGLETRANSLATE(B366,""en"",""pt-br"")"),"negativo")</f>
        <v>negativo</v>
      </c>
    </row>
    <row r="367" ht="15.75" customHeight="1">
      <c r="A367" s="2" t="s">
        <v>369</v>
      </c>
      <c r="B367" s="2" t="s">
        <v>14</v>
      </c>
      <c r="C367" s="1" t="str">
        <f>IFERROR(__xludf.DUMMYFUNCTION("GOOGLETRANSLATE(A367,""en"",""pt-br"")"),"autêntico")</f>
        <v>autêntico</v>
      </c>
      <c r="D367" s="1" t="str">
        <f>IFERROR(__xludf.DUMMYFUNCTION("GOOGLETRANSLATE(B367,""en"",""pt-br"")"),"positivo")</f>
        <v>positivo</v>
      </c>
    </row>
    <row r="368" ht="15.75" customHeight="1">
      <c r="A368" s="2" t="s">
        <v>370</v>
      </c>
      <c r="B368" s="2" t="s">
        <v>3</v>
      </c>
      <c r="C368" s="1" t="str">
        <f>IFERROR(__xludf.DUMMYFUNCTION("GOOGLETRANSLATE(A368,""en"",""pt-br"")"),"autoritário")</f>
        <v>autoritário</v>
      </c>
      <c r="D368" s="1" t="str">
        <f>IFERROR(__xludf.DUMMYFUNCTION("GOOGLETRANSLATE(B368,""en"",""pt-br"")"),"negativo")</f>
        <v>negativo</v>
      </c>
    </row>
    <row r="369" ht="15.75" customHeight="1">
      <c r="A369" s="2" t="s">
        <v>371</v>
      </c>
      <c r="B369" s="2" t="s">
        <v>14</v>
      </c>
      <c r="C369" s="1" t="str">
        <f>IFERROR(__xludf.DUMMYFUNCTION("GOOGLETRANSLATE(A369,""en"",""pt-br"")"),"autorizado")</f>
        <v>autorizado</v>
      </c>
      <c r="D369" s="1" t="str">
        <f>IFERROR(__xludf.DUMMYFUNCTION("GOOGLETRANSLATE(B369,""en"",""pt-br"")"),"positivo")</f>
        <v>positivo</v>
      </c>
    </row>
    <row r="370" ht="15.75" customHeight="1">
      <c r="A370" s="2" t="s">
        <v>372</v>
      </c>
      <c r="B370" s="2" t="s">
        <v>3</v>
      </c>
      <c r="C370" s="1" t="str">
        <f>IFERROR(__xludf.DUMMYFUNCTION("GOOGLETRANSLATE(A370,""en"",""pt-br"")"),"autocrata")</f>
        <v>autocrata</v>
      </c>
      <c r="D370" s="1" t="str">
        <f>IFERROR(__xludf.DUMMYFUNCTION("GOOGLETRANSLATE(B370,""en"",""pt-br"")"),"negativo")</f>
        <v>negativo</v>
      </c>
    </row>
    <row r="371" ht="15.75" customHeight="1">
      <c r="A371" s="2" t="s">
        <v>373</v>
      </c>
      <c r="B371" s="2" t="s">
        <v>3</v>
      </c>
      <c r="C371" s="1" t="str">
        <f>IFERROR(__xludf.DUMMYFUNCTION("GOOGLETRANSLATE(A371,""en"",""pt-br"")"),"autocrático")</f>
        <v>autocrático</v>
      </c>
      <c r="D371" s="1" t="str">
        <f>IFERROR(__xludf.DUMMYFUNCTION("GOOGLETRANSLATE(B371,""en"",""pt-br"")"),"negativo")</f>
        <v>negativo</v>
      </c>
    </row>
    <row r="372" ht="15.75" customHeight="1">
      <c r="A372" s="2" t="s">
        <v>374</v>
      </c>
      <c r="B372" s="2" t="s">
        <v>14</v>
      </c>
      <c r="C372" s="1" t="str">
        <f>IFERROR(__xludf.DUMMYFUNCTION("GOOGLETRANSLATE(A372,""en"",""pt-br"")"),"Autônomo")</f>
        <v>Autônomo</v>
      </c>
      <c r="D372" s="1" t="str">
        <f>IFERROR(__xludf.DUMMYFUNCTION("GOOGLETRANSLATE(B372,""en"",""pt-br"")"),"positivo")</f>
        <v>positivo</v>
      </c>
    </row>
    <row r="373" ht="15.75" customHeight="1">
      <c r="A373" s="2" t="s">
        <v>375</v>
      </c>
      <c r="B373" s="2" t="s">
        <v>14</v>
      </c>
      <c r="C373" s="1" t="str">
        <f>IFERROR(__xludf.DUMMYFUNCTION("GOOGLETRANSLATE(A373,""en"",""pt-br"")"),"acessível")</f>
        <v>acessível</v>
      </c>
      <c r="D373" s="1" t="str">
        <f>IFERROR(__xludf.DUMMYFUNCTION("GOOGLETRANSLATE(B373,""en"",""pt-br"")"),"positivo")</f>
        <v>positivo</v>
      </c>
    </row>
    <row r="374" ht="15.75" customHeight="1">
      <c r="A374" s="2" t="s">
        <v>376</v>
      </c>
      <c r="B374" s="2" t="s">
        <v>3</v>
      </c>
      <c r="C374" s="1" t="str">
        <f>IFERROR(__xludf.DUMMYFUNCTION("GOOGLETRANSLATE(A374,""en"",""pt-br"")"),"avalanche")</f>
        <v>avalanche</v>
      </c>
      <c r="D374" s="1" t="str">
        <f>IFERROR(__xludf.DUMMYFUNCTION("GOOGLETRANSLATE(B374,""en"",""pt-br"")"),"negativo")</f>
        <v>negativo</v>
      </c>
    </row>
    <row r="375" ht="15.75" customHeight="1">
      <c r="A375" s="2" t="s">
        <v>377</v>
      </c>
      <c r="B375" s="2" t="s">
        <v>3</v>
      </c>
      <c r="C375" s="1" t="str">
        <f>IFERROR(__xludf.DUMMYFUNCTION("GOOGLETRANSLATE(A375,""en"",""pt-br"")"),"avareza")</f>
        <v>avareza</v>
      </c>
      <c r="D375" s="1" t="str">
        <f>IFERROR(__xludf.DUMMYFUNCTION("GOOGLETRANSLATE(B375,""en"",""pt-br"")"),"negativo")</f>
        <v>negativo</v>
      </c>
    </row>
    <row r="376" ht="15.75" customHeight="1">
      <c r="A376" s="2" t="s">
        <v>378</v>
      </c>
      <c r="B376" s="2" t="s">
        <v>3</v>
      </c>
      <c r="C376" s="1" t="str">
        <f>IFERROR(__xludf.DUMMYFUNCTION("GOOGLETRANSLATE(A376,""en"",""pt-br"")"),"avaro")</f>
        <v>avaro</v>
      </c>
      <c r="D376" s="1" t="str">
        <f>IFERROR(__xludf.DUMMYFUNCTION("GOOGLETRANSLATE(B376,""en"",""pt-br"")"),"negativo")</f>
        <v>negativo</v>
      </c>
    </row>
    <row r="377" ht="15.75" customHeight="1">
      <c r="A377" s="2" t="s">
        <v>379</v>
      </c>
      <c r="B377" s="2" t="s">
        <v>3</v>
      </c>
      <c r="C377" s="1" t="str">
        <f>IFERROR(__xludf.DUMMYFUNCTION("GOOGLETRANSLATE(A377,""en"",""pt-br"")"),"avaramente")</f>
        <v>avaramente</v>
      </c>
      <c r="D377" s="1" t="str">
        <f>IFERROR(__xludf.DUMMYFUNCTION("GOOGLETRANSLATE(B377,""en"",""pt-br"")"),"negativo")</f>
        <v>negativo</v>
      </c>
    </row>
    <row r="378" ht="15.75" customHeight="1">
      <c r="A378" s="2" t="s">
        <v>380</v>
      </c>
      <c r="B378" s="2" t="s">
        <v>3</v>
      </c>
      <c r="C378" s="1" t="str">
        <f>IFERROR(__xludf.DUMMYFUNCTION("GOOGLETRANSLATE(A378,""en"",""pt-br"")"),"Avenge")</f>
        <v>Avenge</v>
      </c>
      <c r="D378" s="1" t="str">
        <f>IFERROR(__xludf.DUMMYFUNCTION("GOOGLETRANSLATE(B378,""en"",""pt-br"")"),"negativo")</f>
        <v>negativo</v>
      </c>
    </row>
    <row r="379" ht="15.75" customHeight="1">
      <c r="A379" s="2" t="s">
        <v>381</v>
      </c>
      <c r="B379" s="2" t="s">
        <v>14</v>
      </c>
      <c r="C379" s="1" t="str">
        <f>IFERROR(__xludf.DUMMYFUNCTION("GOOGLETRANSLATE(A379,""en"",""pt-br"")"),"declarar")</f>
        <v>declarar</v>
      </c>
      <c r="D379" s="1" t="str">
        <f>IFERROR(__xludf.DUMMYFUNCTION("GOOGLETRANSLATE(B379,""en"",""pt-br"")"),"positivo")</f>
        <v>positivo</v>
      </c>
    </row>
    <row r="380" ht="15.75" customHeight="1">
      <c r="A380" s="2" t="s">
        <v>382</v>
      </c>
      <c r="B380" s="2" t="s">
        <v>3</v>
      </c>
      <c r="C380" s="1" t="str">
        <f>IFERROR(__xludf.DUMMYFUNCTION("GOOGLETRANSLATE(A380,""en"",""pt-br"")"),"adverso")</f>
        <v>adverso</v>
      </c>
      <c r="D380" s="1" t="str">
        <f>IFERROR(__xludf.DUMMYFUNCTION("GOOGLETRANSLATE(B380,""en"",""pt-br"")"),"negativo")</f>
        <v>negativo</v>
      </c>
    </row>
    <row r="381" ht="15.75" customHeight="1">
      <c r="A381" s="2" t="s">
        <v>383</v>
      </c>
      <c r="B381" s="2" t="s">
        <v>3</v>
      </c>
      <c r="C381" s="1" t="str">
        <f>IFERROR(__xludf.DUMMYFUNCTION("GOOGLETRANSLATE(A381,""en"",""pt-br"")"),"aversão")</f>
        <v>aversão</v>
      </c>
      <c r="D381" s="1" t="str">
        <f>IFERROR(__xludf.DUMMYFUNCTION("GOOGLETRANSLATE(B381,""en"",""pt-br"")"),"negativo")</f>
        <v>negativo</v>
      </c>
    </row>
    <row r="382" ht="15.75" customHeight="1">
      <c r="A382" s="2" t="s">
        <v>384</v>
      </c>
      <c r="B382" s="2" t="s">
        <v>14</v>
      </c>
      <c r="C382" s="1" t="str">
        <f>IFERROR(__xludf.DUMMYFUNCTION("GOOGLETRANSLATE(A382,""en"",""pt-br"")"),"ávido")</f>
        <v>ávido</v>
      </c>
      <c r="D382" s="1" t="str">
        <f>IFERROR(__xludf.DUMMYFUNCTION("GOOGLETRANSLATE(B382,""en"",""pt-br"")"),"positivo")</f>
        <v>positivo</v>
      </c>
    </row>
    <row r="383" ht="15.75" customHeight="1">
      <c r="A383" s="2" t="s">
        <v>385</v>
      </c>
      <c r="B383" s="2" t="s">
        <v>14</v>
      </c>
      <c r="C383" s="1" t="str">
        <f>IFERROR(__xludf.DUMMYFUNCTION("GOOGLETRANSLATE(A383,""en"",""pt-br"")"),"avidamente")</f>
        <v>avidamente</v>
      </c>
      <c r="D383" s="1" t="str">
        <f>IFERROR(__xludf.DUMMYFUNCTION("GOOGLETRANSLATE(B383,""en"",""pt-br"")"),"positivo")</f>
        <v>positivo</v>
      </c>
    </row>
    <row r="384" ht="15.75" customHeight="1">
      <c r="A384" s="2" t="s">
        <v>386</v>
      </c>
      <c r="B384" s="2" t="s">
        <v>14</v>
      </c>
      <c r="C384" s="1" t="str">
        <f>IFERROR(__xludf.DUMMYFUNCTION("GOOGLETRANSLATE(A384,""en"",""pt-br"")"),"prêmio")</f>
        <v>prêmio</v>
      </c>
      <c r="D384" s="1" t="str">
        <f>IFERROR(__xludf.DUMMYFUNCTION("GOOGLETRANSLATE(B384,""en"",""pt-br"")"),"positivo")</f>
        <v>positivo</v>
      </c>
    </row>
    <row r="385" ht="15.75" customHeight="1">
      <c r="A385" s="2" t="s">
        <v>387</v>
      </c>
      <c r="B385" s="2" t="s">
        <v>14</v>
      </c>
      <c r="C385" s="1" t="str">
        <f>IFERROR(__xludf.DUMMYFUNCTION("GOOGLETRANSLATE(A385,""en"",""pt-br"")"),"premiado")</f>
        <v>premiado</v>
      </c>
      <c r="D385" s="1" t="str">
        <f>IFERROR(__xludf.DUMMYFUNCTION("GOOGLETRANSLATE(B385,""en"",""pt-br"")"),"positivo")</f>
        <v>positivo</v>
      </c>
    </row>
    <row r="386" ht="15.75" customHeight="1">
      <c r="A386" s="2" t="s">
        <v>388</v>
      </c>
      <c r="B386" s="2" t="s">
        <v>14</v>
      </c>
      <c r="C386" s="1" t="str">
        <f>IFERROR(__xludf.DUMMYFUNCTION("GOOGLETRANSLATE(A386,""en"",""pt-br"")"),"prêmios")</f>
        <v>prêmios</v>
      </c>
      <c r="D386" s="1" t="str">
        <f>IFERROR(__xludf.DUMMYFUNCTION("GOOGLETRANSLATE(B386,""en"",""pt-br"")"),"positivo")</f>
        <v>positivo</v>
      </c>
    </row>
    <row r="387" ht="15.75" customHeight="1">
      <c r="A387" s="2" t="s">
        <v>389</v>
      </c>
      <c r="B387" s="2" t="s">
        <v>14</v>
      </c>
      <c r="C387" s="1" t="str">
        <f>IFERROR(__xludf.DUMMYFUNCTION("GOOGLETRANSLATE(A387,""en"",""pt-br"")"),"temor")</f>
        <v>temor</v>
      </c>
      <c r="D387" s="1" t="str">
        <f>IFERROR(__xludf.DUMMYFUNCTION("GOOGLETRANSLATE(B387,""en"",""pt-br"")"),"positivo")</f>
        <v>positivo</v>
      </c>
    </row>
    <row r="388" ht="15.75" customHeight="1">
      <c r="A388" s="2" t="s">
        <v>390</v>
      </c>
      <c r="B388" s="2" t="s">
        <v>14</v>
      </c>
      <c r="C388" s="1" t="str">
        <f>IFERROR(__xludf.DUMMYFUNCTION("GOOGLETRANSLATE(A388,""en"",""pt-br"")"),"admirados")</f>
        <v>admirados</v>
      </c>
      <c r="D388" s="1" t="str">
        <f>IFERROR(__xludf.DUMMYFUNCTION("GOOGLETRANSLATE(B388,""en"",""pt-br"")"),"positivo")</f>
        <v>positivo</v>
      </c>
    </row>
    <row r="389" ht="15.75" customHeight="1">
      <c r="A389" s="2" t="s">
        <v>391</v>
      </c>
      <c r="B389" s="2" t="s">
        <v>3</v>
      </c>
      <c r="C389" s="1" t="str">
        <f>IFERROR(__xludf.DUMMYFUNCTION("GOOGLETRANSLATE(A389,""en"",""pt-br"")"),"aweful")</f>
        <v>aweful</v>
      </c>
      <c r="D389" s="1" t="str">
        <f>IFERROR(__xludf.DUMMYFUNCTION("GOOGLETRANSLATE(B389,""en"",""pt-br"")"),"negativo")</f>
        <v>negativo</v>
      </c>
    </row>
    <row r="390" ht="15.75" customHeight="1">
      <c r="A390" s="2" t="s">
        <v>392</v>
      </c>
      <c r="B390" s="2" t="s">
        <v>14</v>
      </c>
      <c r="C390" s="1" t="str">
        <f>IFERROR(__xludf.DUMMYFUNCTION("GOOGLETRANSLATE(A390,""en"",""pt-br"")"),"impressionante")</f>
        <v>impressionante</v>
      </c>
      <c r="D390" s="1" t="str">
        <f>IFERROR(__xludf.DUMMYFUNCTION("GOOGLETRANSLATE(B390,""en"",""pt-br"")"),"positivo")</f>
        <v>positivo</v>
      </c>
    </row>
    <row r="391" ht="15.75" customHeight="1">
      <c r="A391" s="2" t="s">
        <v>393</v>
      </c>
      <c r="B391" s="2" t="s">
        <v>14</v>
      </c>
      <c r="C391" s="1" t="str">
        <f>IFERROR(__xludf.DUMMYFUNCTION("GOOGLETRANSLATE(A391,""en"",""pt-br"")"),"incrivelmente")</f>
        <v>incrivelmente</v>
      </c>
      <c r="D391" s="1" t="str">
        <f>IFERROR(__xludf.DUMMYFUNCTION("GOOGLETRANSLATE(B391,""en"",""pt-br"")"),"positivo")</f>
        <v>positivo</v>
      </c>
    </row>
    <row r="392" ht="15.75" customHeight="1">
      <c r="A392" s="2" t="s">
        <v>394</v>
      </c>
      <c r="B392" s="2" t="s">
        <v>14</v>
      </c>
      <c r="C392" s="1" t="str">
        <f>IFERROR(__xludf.DUMMYFUNCTION("GOOGLETRANSLATE(A392,""en"",""pt-br"")"),"Maravilha")</f>
        <v>Maravilha</v>
      </c>
      <c r="D392" s="1" t="str">
        <f>IFERROR(__xludf.DUMMYFUNCTION("GOOGLETRANSLATE(B392,""en"",""pt-br"")"),"positivo")</f>
        <v>positivo</v>
      </c>
    </row>
    <row r="393" ht="15.75" customHeight="1">
      <c r="A393" s="2" t="s">
        <v>395</v>
      </c>
      <c r="B393" s="2" t="s">
        <v>14</v>
      </c>
      <c r="C393" s="1" t="str">
        <f>IFERROR(__xludf.DUMMYFUNCTION("GOOGLETRANSLATE(A393,""en"",""pt-br"")"),"aterrado")</f>
        <v>aterrado</v>
      </c>
      <c r="D393" s="1" t="str">
        <f>IFERROR(__xludf.DUMMYFUNCTION("GOOGLETRANSLATE(B393,""en"",""pt-br"")"),"positivo")</f>
        <v>positivo</v>
      </c>
    </row>
    <row r="394" ht="15.75" customHeight="1">
      <c r="A394" s="2" t="s">
        <v>396</v>
      </c>
      <c r="B394" s="2" t="s">
        <v>3</v>
      </c>
      <c r="C394" s="1" t="str">
        <f>IFERROR(__xludf.DUMMYFUNCTION("GOOGLETRANSLATE(A394,""en"",""pt-br"")"),"horrível")</f>
        <v>horrível</v>
      </c>
      <c r="D394" s="1" t="str">
        <f>IFERROR(__xludf.DUMMYFUNCTION("GOOGLETRANSLATE(B394,""en"",""pt-br"")"),"negativo")</f>
        <v>negativo</v>
      </c>
    </row>
    <row r="395" ht="15.75" customHeight="1">
      <c r="A395" s="2" t="s">
        <v>397</v>
      </c>
      <c r="B395" s="2" t="s">
        <v>3</v>
      </c>
      <c r="C395" s="1" t="str">
        <f>IFERROR(__xludf.DUMMYFUNCTION("GOOGLETRANSLATE(A395,""en"",""pt-br"")"),"muito")</f>
        <v>muito</v>
      </c>
      <c r="D395" s="1" t="str">
        <f>IFERROR(__xludf.DUMMYFUNCTION("GOOGLETRANSLATE(B395,""en"",""pt-br"")"),"negativo")</f>
        <v>negativo</v>
      </c>
    </row>
    <row r="396" ht="15.75" customHeight="1">
      <c r="A396" s="2" t="s">
        <v>398</v>
      </c>
      <c r="B396" s="2" t="s">
        <v>3</v>
      </c>
      <c r="C396" s="1" t="str">
        <f>IFERROR(__xludf.DUMMYFUNCTION("GOOGLETRANSLATE(A396,""en"",""pt-br"")"),"awfulness")</f>
        <v>awfulness</v>
      </c>
      <c r="D396" s="1" t="str">
        <f>IFERROR(__xludf.DUMMYFUNCTION("GOOGLETRANSLATE(B396,""en"",""pt-br"")"),"negativo")</f>
        <v>negativo</v>
      </c>
    </row>
    <row r="397" ht="15.75" customHeight="1">
      <c r="A397" s="2" t="s">
        <v>399</v>
      </c>
      <c r="B397" s="2" t="s">
        <v>3</v>
      </c>
      <c r="C397" s="1" t="str">
        <f>IFERROR(__xludf.DUMMYFUNCTION("GOOGLETRANSLATE(A397,""en"",""pt-br"")"),"desajeitado")</f>
        <v>desajeitado</v>
      </c>
      <c r="D397" s="1" t="str">
        <f>IFERROR(__xludf.DUMMYFUNCTION("GOOGLETRANSLATE(B397,""en"",""pt-br"")"),"negativo")</f>
        <v>negativo</v>
      </c>
    </row>
    <row r="398" ht="15.75" customHeight="1">
      <c r="A398" s="2" t="s">
        <v>400</v>
      </c>
      <c r="B398" s="2" t="s">
        <v>3</v>
      </c>
      <c r="C398" s="1" t="str">
        <f>IFERROR(__xludf.DUMMYFUNCTION("GOOGLETRANSLATE(A398,""en"",""pt-br"")"),"embaraço")</f>
        <v>embaraço</v>
      </c>
      <c r="D398" s="1" t="str">
        <f>IFERROR(__xludf.DUMMYFUNCTION("GOOGLETRANSLATE(B398,""en"",""pt-br"")"),"negativo")</f>
        <v>negativo</v>
      </c>
    </row>
    <row r="399" ht="15.75" customHeight="1">
      <c r="A399" s="2" t="s">
        <v>401</v>
      </c>
      <c r="B399" s="2" t="s">
        <v>14</v>
      </c>
      <c r="C399" s="1" t="str">
        <f>IFERROR(__xludf.DUMMYFUNCTION("GOOGLETRANSLATE(A399,""en"",""pt-br"")"),"awsome")</f>
        <v>awsome</v>
      </c>
      <c r="D399" s="1" t="str">
        <f>IFERROR(__xludf.DUMMYFUNCTION("GOOGLETRANSLATE(B399,""en"",""pt-br"")"),"positivo")</f>
        <v>positivo</v>
      </c>
    </row>
    <row r="400" ht="15.75" customHeight="1">
      <c r="A400" s="2" t="s">
        <v>402</v>
      </c>
      <c r="B400" s="2" t="s">
        <v>3</v>
      </c>
      <c r="C400" s="1" t="str">
        <f>IFERROR(__xludf.DUMMYFUNCTION("GOOGLETRANSLATE(A400,""en"",""pt-br"")"),"machado")</f>
        <v>machado</v>
      </c>
      <c r="D400" s="1" t="str">
        <f>IFERROR(__xludf.DUMMYFUNCTION("GOOGLETRANSLATE(B400,""en"",""pt-br"")"),"negativo")</f>
        <v>negativo</v>
      </c>
    </row>
    <row r="401" ht="15.75" customHeight="1">
      <c r="A401" s="2" t="s">
        <v>403</v>
      </c>
      <c r="B401" s="2" t="s">
        <v>3</v>
      </c>
      <c r="C401" s="1" t="str">
        <f>IFERROR(__xludf.DUMMYFUNCTION("GOOGLETRANSLATE(A401,""en"",""pt-br"")"),"balbuciar")</f>
        <v>balbuciar</v>
      </c>
      <c r="D401" s="1" t="str">
        <f>IFERROR(__xludf.DUMMYFUNCTION("GOOGLETRANSLATE(B401,""en"",""pt-br"")"),"negativo")</f>
        <v>negativo</v>
      </c>
    </row>
    <row r="402" ht="15.75" customHeight="1">
      <c r="A402" s="2" t="s">
        <v>404</v>
      </c>
      <c r="B402" s="2" t="s">
        <v>3</v>
      </c>
      <c r="C402" s="1" t="str">
        <f>IFERROR(__xludf.DUMMYFUNCTION("GOOGLETRANSLATE(A402,""en"",""pt-br"")"),"-Back logado")</f>
        <v>-Back logado</v>
      </c>
      <c r="D402" s="1" t="str">
        <f>IFERROR(__xludf.DUMMYFUNCTION("GOOGLETRANSLATE(B402,""en"",""pt-br"")"),"negativo")</f>
        <v>negativo</v>
      </c>
    </row>
    <row r="403" ht="15.75" customHeight="1">
      <c r="A403" s="2" t="s">
        <v>405</v>
      </c>
      <c r="B403" s="2" t="s">
        <v>3</v>
      </c>
      <c r="C403" s="1" t="str">
        <f>IFERROR(__xludf.DUMMYFUNCTION("GOOGLETRANSLATE(A403,""en"",""pt-br"")"),"volta-madeira")</f>
        <v>volta-madeira</v>
      </c>
      <c r="D403" s="1" t="str">
        <f>IFERROR(__xludf.DUMMYFUNCTION("GOOGLETRANSLATE(B403,""en"",""pt-br"")"),"negativo")</f>
        <v>negativo</v>
      </c>
    </row>
    <row r="404" ht="15.75" customHeight="1">
      <c r="A404" s="2" t="s">
        <v>406</v>
      </c>
      <c r="B404" s="2" t="s">
        <v>3</v>
      </c>
      <c r="C404" s="1" t="str">
        <f>IFERROR(__xludf.DUMMYFUNCTION("GOOGLETRANSLATE(A404,""en"",""pt-br"")"),"sertão")</f>
        <v>sertão</v>
      </c>
      <c r="D404" s="1" t="str">
        <f>IFERROR(__xludf.DUMMYFUNCTION("GOOGLETRANSLATE(B404,""en"",""pt-br"")"),"negativo")</f>
        <v>negativo</v>
      </c>
    </row>
    <row r="405" ht="15.75" customHeight="1">
      <c r="A405" s="2" t="s">
        <v>407</v>
      </c>
      <c r="B405" s="2" t="s">
        <v>3</v>
      </c>
      <c r="C405" s="1" t="str">
        <f>IFERROR(__xludf.DUMMYFUNCTION("GOOGLETRANSLATE(A405,""en"",""pt-br"")"),"dor nas costas")</f>
        <v>dor nas costas</v>
      </c>
      <c r="D405" s="1" t="str">
        <f>IFERROR(__xludf.DUMMYFUNCTION("GOOGLETRANSLATE(B405,""en"",""pt-br"")"),"negativo")</f>
        <v>negativo</v>
      </c>
    </row>
    <row r="406" ht="15.75" customHeight="1">
      <c r="A406" s="2" t="s">
        <v>408</v>
      </c>
      <c r="B406" s="2" t="s">
        <v>3</v>
      </c>
      <c r="C406" s="1" t="str">
        <f>IFERROR(__xludf.DUMMYFUNCTION("GOOGLETRANSLATE(A406,""en"",""pt-br"")"),"dores nas costas")</f>
        <v>dores nas costas</v>
      </c>
      <c r="D406" s="1" t="str">
        <f>IFERROR(__xludf.DUMMYFUNCTION("GOOGLETRANSLATE(B406,""en"",""pt-br"")"),"negativo")</f>
        <v>negativo</v>
      </c>
    </row>
    <row r="407" ht="15.75" customHeight="1">
      <c r="A407" s="2" t="s">
        <v>409</v>
      </c>
      <c r="B407" s="2" t="s">
        <v>3</v>
      </c>
      <c r="C407" s="1" t="str">
        <f>IFERROR(__xludf.DUMMYFUNCTION("GOOGLETRANSLATE(A407,""en"",""pt-br"")"),"backaching")</f>
        <v>backaching</v>
      </c>
      <c r="D407" s="1" t="str">
        <f>IFERROR(__xludf.DUMMYFUNCTION("GOOGLETRANSLATE(B407,""en"",""pt-br"")"),"negativo")</f>
        <v>negativo</v>
      </c>
    </row>
    <row r="408" ht="15.75" customHeight="1">
      <c r="A408" s="2" t="s">
        <v>410</v>
      </c>
      <c r="B408" s="2" t="s">
        <v>3</v>
      </c>
      <c r="C408" s="1" t="str">
        <f>IFERROR(__xludf.DUMMYFUNCTION("GOOGLETRANSLATE(A408,""en"",""pt-br"")"),"backbite")</f>
        <v>backbite</v>
      </c>
      <c r="D408" s="1" t="str">
        <f>IFERROR(__xludf.DUMMYFUNCTION("GOOGLETRANSLATE(B408,""en"",""pt-br"")"),"negativo")</f>
        <v>negativo</v>
      </c>
    </row>
    <row r="409" ht="15.75" customHeight="1">
      <c r="A409" s="2" t="s">
        <v>411</v>
      </c>
      <c r="B409" s="2" t="s">
        <v>3</v>
      </c>
      <c r="C409" s="1" t="str">
        <f>IFERROR(__xludf.DUMMYFUNCTION("GOOGLETRANSLATE(A409,""en"",""pt-br"")"),"backbiting")</f>
        <v>backbiting</v>
      </c>
      <c r="D409" s="1" t="str">
        <f>IFERROR(__xludf.DUMMYFUNCTION("GOOGLETRANSLATE(B409,""en"",""pt-br"")"),"negativo")</f>
        <v>negativo</v>
      </c>
    </row>
    <row r="410" ht="15.75" customHeight="1">
      <c r="A410" s="2" t="s">
        <v>412</v>
      </c>
      <c r="B410" s="2" t="s">
        <v>14</v>
      </c>
      <c r="C410" s="1" t="str">
        <f>IFERROR(__xludf.DUMMYFUNCTION("GOOGLETRANSLATE(A410,""en"",""pt-br"")"),"espinha dorsal")</f>
        <v>espinha dorsal</v>
      </c>
      <c r="D410" s="1" t="str">
        <f>IFERROR(__xludf.DUMMYFUNCTION("GOOGLETRANSLATE(B410,""en"",""pt-br"")"),"positivo")</f>
        <v>positivo</v>
      </c>
    </row>
    <row r="411" ht="15.75" customHeight="1">
      <c r="A411" s="2" t="s">
        <v>413</v>
      </c>
      <c r="B411" s="2" t="s">
        <v>3</v>
      </c>
      <c r="C411" s="1" t="str">
        <f>IFERROR(__xludf.DUMMYFUNCTION("GOOGLETRANSLATE(A411,""en"",""pt-br"")"),"para trás")</f>
        <v>para trás</v>
      </c>
      <c r="D411" s="1" t="str">
        <f>IFERROR(__xludf.DUMMYFUNCTION("GOOGLETRANSLATE(B411,""en"",""pt-br"")"),"negativo")</f>
        <v>negativo</v>
      </c>
    </row>
    <row r="412" ht="15.75" customHeight="1">
      <c r="A412" s="2" t="s">
        <v>414</v>
      </c>
      <c r="B412" s="2" t="s">
        <v>3</v>
      </c>
      <c r="C412" s="1" t="str">
        <f>IFERROR(__xludf.DUMMYFUNCTION("GOOGLETRANSLATE(A412,""en"",""pt-br"")"),"atraso")</f>
        <v>atraso</v>
      </c>
      <c r="D412" s="1" t="str">
        <f>IFERROR(__xludf.DUMMYFUNCTION("GOOGLETRANSLATE(B412,""en"",""pt-br"")"),"negativo")</f>
        <v>negativo</v>
      </c>
    </row>
    <row r="413" ht="15.75" customHeight="1">
      <c r="A413" s="2" t="s">
        <v>415</v>
      </c>
      <c r="B413" s="2" t="s">
        <v>3</v>
      </c>
      <c r="C413" s="1" t="str">
        <f>IFERROR(__xludf.DUMMYFUNCTION("GOOGLETRANSLATE(A413,""en"",""pt-br"")"),"Backwood")</f>
        <v>Backwood</v>
      </c>
      <c r="D413" s="1" t="str">
        <f>IFERROR(__xludf.DUMMYFUNCTION("GOOGLETRANSLATE(B413,""en"",""pt-br"")"),"negativo")</f>
        <v>negativo</v>
      </c>
    </row>
    <row r="414" ht="15.75" customHeight="1">
      <c r="A414" s="2" t="s">
        <v>416</v>
      </c>
      <c r="B414" s="2" t="s">
        <v>3</v>
      </c>
      <c r="C414" s="1" t="str">
        <f>IFERROR(__xludf.DUMMYFUNCTION("GOOGLETRANSLATE(A414,""en"",""pt-br"")"),"sertão")</f>
        <v>sertão</v>
      </c>
      <c r="D414" s="1" t="str">
        <f>IFERROR(__xludf.DUMMYFUNCTION("GOOGLETRANSLATE(B414,""en"",""pt-br"")"),"negativo")</f>
        <v>negativo</v>
      </c>
    </row>
    <row r="415" ht="15.75" customHeight="1">
      <c r="A415" s="2" t="s">
        <v>417</v>
      </c>
      <c r="B415" s="2" t="s">
        <v>3</v>
      </c>
      <c r="C415" s="1" t="str">
        <f>IFERROR(__xludf.DUMMYFUNCTION("GOOGLETRANSLATE(A415,""en"",""pt-br"")"),"ruim")</f>
        <v>ruim</v>
      </c>
      <c r="D415" s="1" t="str">
        <f>IFERROR(__xludf.DUMMYFUNCTION("GOOGLETRANSLATE(B415,""en"",""pt-br"")"),"negativo")</f>
        <v>negativo</v>
      </c>
    </row>
    <row r="416" ht="15.75" customHeight="1">
      <c r="A416" s="2" t="s">
        <v>418</v>
      </c>
      <c r="B416" s="2" t="s">
        <v>3</v>
      </c>
      <c r="C416" s="1" t="str">
        <f>IFERROR(__xludf.DUMMYFUNCTION("GOOGLETRANSLATE(A416,""en"",""pt-br"")"),"seriamente")</f>
        <v>seriamente</v>
      </c>
      <c r="D416" s="1" t="str">
        <f>IFERROR(__xludf.DUMMYFUNCTION("GOOGLETRANSLATE(B416,""en"",""pt-br"")"),"negativo")</f>
        <v>negativo</v>
      </c>
    </row>
    <row r="417" ht="15.75" customHeight="1">
      <c r="A417" s="2" t="s">
        <v>419</v>
      </c>
      <c r="B417" s="2" t="s">
        <v>3</v>
      </c>
      <c r="C417" s="1" t="str">
        <f>IFERROR(__xludf.DUMMYFUNCTION("GOOGLETRANSLATE(A417,""en"",""pt-br"")"),"despistar")</f>
        <v>despistar</v>
      </c>
      <c r="D417" s="1" t="str">
        <f>IFERROR(__xludf.DUMMYFUNCTION("GOOGLETRANSLATE(B417,""en"",""pt-br"")"),"negativo")</f>
        <v>negativo</v>
      </c>
    </row>
    <row r="418" ht="15.75" customHeight="1">
      <c r="A418" s="2" t="s">
        <v>420</v>
      </c>
      <c r="B418" s="2" t="s">
        <v>3</v>
      </c>
      <c r="C418" s="1" t="str">
        <f>IFERROR(__xludf.DUMMYFUNCTION("GOOGLETRANSLATE(A418,""en"",""pt-br"")"),"desconcertado")</f>
        <v>desconcertado</v>
      </c>
      <c r="D418" s="1" t="str">
        <f>IFERROR(__xludf.DUMMYFUNCTION("GOOGLETRANSLATE(B418,""en"",""pt-br"")"),"negativo")</f>
        <v>negativo</v>
      </c>
    </row>
    <row r="419" ht="15.75" customHeight="1">
      <c r="A419" s="2" t="s">
        <v>421</v>
      </c>
      <c r="B419" s="2" t="s">
        <v>3</v>
      </c>
      <c r="C419" s="1" t="str">
        <f>IFERROR(__xludf.DUMMYFUNCTION("GOOGLETRANSLATE(A419,""en"",""pt-br"")"),"bafflement")</f>
        <v>bafflement</v>
      </c>
      <c r="D419" s="1" t="str">
        <f>IFERROR(__xludf.DUMMYFUNCTION("GOOGLETRANSLATE(B419,""en"",""pt-br"")"),"negativo")</f>
        <v>negativo</v>
      </c>
    </row>
    <row r="420" ht="15.75" customHeight="1">
      <c r="A420" s="2" t="s">
        <v>422</v>
      </c>
      <c r="B420" s="2" t="s">
        <v>3</v>
      </c>
      <c r="C420" s="1" t="str">
        <f>IFERROR(__xludf.DUMMYFUNCTION("GOOGLETRANSLATE(A420,""en"",""pt-br"")"),"desconcertante")</f>
        <v>desconcertante</v>
      </c>
      <c r="D420" s="1" t="str">
        <f>IFERROR(__xludf.DUMMYFUNCTION("GOOGLETRANSLATE(B420,""en"",""pt-br"")"),"negativo")</f>
        <v>negativo</v>
      </c>
    </row>
    <row r="421" ht="15.75" customHeight="1">
      <c r="A421" s="2" t="s">
        <v>423</v>
      </c>
      <c r="B421" s="2" t="s">
        <v>3</v>
      </c>
      <c r="C421" s="1" t="str">
        <f>IFERROR(__xludf.DUMMYFUNCTION("GOOGLETRANSLATE(A421,""en"",""pt-br"")"),"isca")</f>
        <v>isca</v>
      </c>
      <c r="D421" s="1" t="str">
        <f>IFERROR(__xludf.DUMMYFUNCTION("GOOGLETRANSLATE(B421,""en"",""pt-br"")"),"negativo")</f>
        <v>negativo</v>
      </c>
    </row>
    <row r="422" ht="15.75" customHeight="1">
      <c r="A422" s="2" t="s">
        <v>424</v>
      </c>
      <c r="B422" s="2" t="s">
        <v>14</v>
      </c>
      <c r="C422" s="1" t="str">
        <f>IFERROR(__xludf.DUMMYFUNCTION("GOOGLETRANSLATE(A422,""en"",""pt-br"")"),"equilibrado")</f>
        <v>equilibrado</v>
      </c>
      <c r="D422" s="1" t="str">
        <f>IFERROR(__xludf.DUMMYFUNCTION("GOOGLETRANSLATE(B422,""en"",""pt-br"")"),"positivo")</f>
        <v>positivo</v>
      </c>
    </row>
    <row r="423" ht="15.75" customHeight="1">
      <c r="A423" s="2" t="s">
        <v>425</v>
      </c>
      <c r="B423" s="2" t="s">
        <v>3</v>
      </c>
      <c r="C423" s="1" t="str">
        <f>IFERROR(__xludf.DUMMYFUNCTION("GOOGLETRANSLATE(A423,""en"",""pt-br"")"),"tropeço")</f>
        <v>tropeço</v>
      </c>
      <c r="D423" s="1" t="str">
        <f>IFERROR(__xludf.DUMMYFUNCTION("GOOGLETRANSLATE(B423,""en"",""pt-br"")"),"negativo")</f>
        <v>negativo</v>
      </c>
    </row>
    <row r="424" ht="15.75" customHeight="1">
      <c r="A424" s="2" t="s">
        <v>426</v>
      </c>
      <c r="B424" s="2" t="s">
        <v>3</v>
      </c>
      <c r="C424" s="1" t="str">
        <f>IFERROR(__xludf.DUMMYFUNCTION("GOOGLETRANSLATE(A424,""en"",""pt-br"")"),"banal")</f>
        <v>banal</v>
      </c>
      <c r="D424" s="1" t="str">
        <f>IFERROR(__xludf.DUMMYFUNCTION("GOOGLETRANSLATE(B424,""en"",""pt-br"")"),"negativo")</f>
        <v>negativo</v>
      </c>
    </row>
    <row r="425" ht="15.75" customHeight="1">
      <c r="A425" s="2" t="s">
        <v>427</v>
      </c>
      <c r="B425" s="2" t="s">
        <v>3</v>
      </c>
      <c r="C425" s="1" t="str">
        <f>IFERROR(__xludf.DUMMYFUNCTION("GOOGLETRANSLATE(A425,""en"",""pt-br"")"),"banalizar")</f>
        <v>banalizar</v>
      </c>
      <c r="D425" s="1" t="str">
        <f>IFERROR(__xludf.DUMMYFUNCTION("GOOGLETRANSLATE(B425,""en"",""pt-br"")"),"negativo")</f>
        <v>negativo</v>
      </c>
    </row>
    <row r="426" ht="15.75" customHeight="1">
      <c r="A426" s="2" t="s">
        <v>428</v>
      </c>
      <c r="B426" s="2" t="s">
        <v>3</v>
      </c>
      <c r="C426" s="1" t="str">
        <f>IFERROR(__xludf.DUMMYFUNCTION("GOOGLETRANSLATE(A426,""en"",""pt-br"")"),"desgraça")</f>
        <v>desgraça</v>
      </c>
      <c r="D426" s="1" t="str">
        <f>IFERROR(__xludf.DUMMYFUNCTION("GOOGLETRANSLATE(B426,""en"",""pt-br"")"),"negativo")</f>
        <v>negativo</v>
      </c>
    </row>
    <row r="427" ht="15.75" customHeight="1">
      <c r="A427" s="2" t="s">
        <v>429</v>
      </c>
      <c r="B427" s="2" t="s">
        <v>3</v>
      </c>
      <c r="C427" s="1" t="str">
        <f>IFERROR(__xludf.DUMMYFUNCTION("GOOGLETRANSLATE(A427,""en"",""pt-br"")"),"banir")</f>
        <v>banir</v>
      </c>
      <c r="D427" s="1" t="str">
        <f>IFERROR(__xludf.DUMMYFUNCTION("GOOGLETRANSLATE(B427,""en"",""pt-br"")"),"negativo")</f>
        <v>negativo</v>
      </c>
    </row>
    <row r="428" ht="15.75" customHeight="1">
      <c r="A428" s="2" t="s">
        <v>430</v>
      </c>
      <c r="B428" s="2" t="s">
        <v>3</v>
      </c>
      <c r="C428" s="1" t="str">
        <f>IFERROR(__xludf.DUMMYFUNCTION("GOOGLETRANSLATE(A428,""en"",""pt-br"")"),"banimento")</f>
        <v>banimento</v>
      </c>
      <c r="D428" s="1" t="str">
        <f>IFERROR(__xludf.DUMMYFUNCTION("GOOGLETRANSLATE(B428,""en"",""pt-br"")"),"negativo")</f>
        <v>negativo</v>
      </c>
    </row>
    <row r="429" ht="15.75" customHeight="1">
      <c r="A429" s="2" t="s">
        <v>431</v>
      </c>
      <c r="B429" s="2" t="s">
        <v>3</v>
      </c>
      <c r="C429" s="1" t="str">
        <f>IFERROR(__xludf.DUMMYFUNCTION("GOOGLETRANSLATE(A429,""en"",""pt-br"")"),"falido")</f>
        <v>falido</v>
      </c>
      <c r="D429" s="1" t="str">
        <f>IFERROR(__xludf.DUMMYFUNCTION("GOOGLETRANSLATE(B429,""en"",""pt-br"")"),"negativo")</f>
        <v>negativo</v>
      </c>
    </row>
    <row r="430" ht="15.75" customHeight="1">
      <c r="A430" s="2" t="s">
        <v>432</v>
      </c>
      <c r="B430" s="2" t="s">
        <v>3</v>
      </c>
      <c r="C430" s="1" t="str">
        <f>IFERROR(__xludf.DUMMYFUNCTION("GOOGLETRANSLATE(A430,""en"",""pt-br"")"),"bárbaro")</f>
        <v>bárbaro</v>
      </c>
      <c r="D430" s="1" t="str">
        <f>IFERROR(__xludf.DUMMYFUNCTION("GOOGLETRANSLATE(B430,""en"",""pt-br"")"),"negativo")</f>
        <v>negativo</v>
      </c>
    </row>
    <row r="431" ht="15.75" customHeight="1">
      <c r="A431" s="2" t="s">
        <v>433</v>
      </c>
      <c r="B431" s="2" t="s">
        <v>3</v>
      </c>
      <c r="C431" s="1" t="str">
        <f>IFERROR(__xludf.DUMMYFUNCTION("GOOGLETRANSLATE(A431,""en"",""pt-br"")"),"bárbaro")</f>
        <v>bárbaro</v>
      </c>
      <c r="D431" s="1" t="str">
        <f>IFERROR(__xludf.DUMMYFUNCTION("GOOGLETRANSLATE(B431,""en"",""pt-br"")"),"negativo")</f>
        <v>negativo</v>
      </c>
    </row>
    <row r="432" ht="15.75" customHeight="1">
      <c r="A432" s="2" t="s">
        <v>434</v>
      </c>
      <c r="B432" s="2" t="s">
        <v>3</v>
      </c>
      <c r="C432" s="1" t="str">
        <f>IFERROR(__xludf.DUMMYFUNCTION("GOOGLETRANSLATE(A432,""en"",""pt-br"")"),"barbaramente")</f>
        <v>barbaramente</v>
      </c>
      <c r="D432" s="1" t="str">
        <f>IFERROR(__xludf.DUMMYFUNCTION("GOOGLETRANSLATE(B432,""en"",""pt-br"")"),"negativo")</f>
        <v>negativo</v>
      </c>
    </row>
    <row r="433" ht="15.75" customHeight="1">
      <c r="A433" s="2" t="s">
        <v>435</v>
      </c>
      <c r="B433" s="2" t="s">
        <v>3</v>
      </c>
      <c r="C433" s="1" t="str">
        <f>IFERROR(__xludf.DUMMYFUNCTION("GOOGLETRANSLATE(A433,""en"",""pt-br"")"),"barbaridade")</f>
        <v>barbaridade</v>
      </c>
      <c r="D433" s="1" t="str">
        <f>IFERROR(__xludf.DUMMYFUNCTION("GOOGLETRANSLATE(B433,""en"",""pt-br"")"),"negativo")</f>
        <v>negativo</v>
      </c>
    </row>
    <row r="434" ht="15.75" customHeight="1">
      <c r="A434" s="2" t="s">
        <v>436</v>
      </c>
      <c r="B434" s="2" t="s">
        <v>3</v>
      </c>
      <c r="C434" s="1" t="str">
        <f>IFERROR(__xludf.DUMMYFUNCTION("GOOGLETRANSLATE(A434,""en"",""pt-br"")"),"bárbaro")</f>
        <v>bárbaro</v>
      </c>
      <c r="D434" s="1" t="str">
        <f>IFERROR(__xludf.DUMMYFUNCTION("GOOGLETRANSLATE(B434,""en"",""pt-br"")"),"negativo")</f>
        <v>negativo</v>
      </c>
    </row>
    <row r="435" ht="15.75" customHeight="1">
      <c r="A435" s="2" t="s">
        <v>437</v>
      </c>
      <c r="B435" s="2" t="s">
        <v>3</v>
      </c>
      <c r="C435" s="1" t="str">
        <f>IFERROR(__xludf.DUMMYFUNCTION("GOOGLETRANSLATE(A435,""en"",""pt-br"")"),"barbaramente")</f>
        <v>barbaramente</v>
      </c>
      <c r="D435" s="1" t="str">
        <f>IFERROR(__xludf.DUMMYFUNCTION("GOOGLETRANSLATE(B435,""en"",""pt-br"")"),"negativo")</f>
        <v>negativo</v>
      </c>
    </row>
    <row r="436" ht="15.75" customHeight="1">
      <c r="A436" s="2" t="s">
        <v>438</v>
      </c>
      <c r="B436" s="2" t="s">
        <v>14</v>
      </c>
      <c r="C436" s="1" t="str">
        <f>IFERROR(__xludf.DUMMYFUNCTION("GOOGLETRANSLATE(A436,""en"",""pt-br"")"),"pechincha")</f>
        <v>pechincha</v>
      </c>
      <c r="D436" s="1" t="str">
        <f>IFERROR(__xludf.DUMMYFUNCTION("GOOGLETRANSLATE(B436,""en"",""pt-br"")"),"positivo")</f>
        <v>positivo</v>
      </c>
    </row>
    <row r="437" ht="15.75" customHeight="1">
      <c r="A437" s="2" t="s">
        <v>439</v>
      </c>
      <c r="B437" s="2" t="s">
        <v>3</v>
      </c>
      <c r="C437" s="1" t="str">
        <f>IFERROR(__xludf.DUMMYFUNCTION("GOOGLETRANSLATE(A437,""en"",""pt-br"")"),"estéril")</f>
        <v>estéril</v>
      </c>
      <c r="D437" s="1" t="str">
        <f>IFERROR(__xludf.DUMMYFUNCTION("GOOGLETRANSLATE(B437,""en"",""pt-br"")"),"negativo")</f>
        <v>negativo</v>
      </c>
    </row>
    <row r="438" ht="15.75" customHeight="1">
      <c r="A438" s="2" t="s">
        <v>440</v>
      </c>
      <c r="B438" s="2" t="s">
        <v>3</v>
      </c>
      <c r="C438" s="1" t="str">
        <f>IFERROR(__xludf.DUMMYFUNCTION("GOOGLETRANSLATE(A438,""en"",""pt-br"")"),"infundado")</f>
        <v>infundado</v>
      </c>
      <c r="D438" s="1" t="str">
        <f>IFERROR(__xludf.DUMMYFUNCTION("GOOGLETRANSLATE(B438,""en"",""pt-br"")"),"negativo")</f>
        <v>negativo</v>
      </c>
    </row>
    <row r="439" ht="15.75" customHeight="1">
      <c r="A439" s="2" t="s">
        <v>441</v>
      </c>
      <c r="B439" s="2" t="s">
        <v>3</v>
      </c>
      <c r="C439" s="1" t="str">
        <f>IFERROR(__xludf.DUMMYFUNCTION("GOOGLETRANSLATE(A439,""en"",""pt-br"")"),"bater")</f>
        <v>bater</v>
      </c>
      <c r="D439" s="1" t="str">
        <f>IFERROR(__xludf.DUMMYFUNCTION("GOOGLETRANSLATE(B439,""en"",""pt-br"")"),"negativo")</f>
        <v>negativo</v>
      </c>
    </row>
    <row r="440" ht="15.75" customHeight="1">
      <c r="A440" s="2" t="s">
        <v>442</v>
      </c>
      <c r="B440" s="2" t="s">
        <v>3</v>
      </c>
      <c r="C440" s="1" t="str">
        <f>IFERROR(__xludf.DUMMYFUNCTION("GOOGLETRANSLATE(A440,""en"",""pt-br"")"),"bateu")</f>
        <v>bateu</v>
      </c>
      <c r="D440" s="1" t="str">
        <f>IFERROR(__xludf.DUMMYFUNCTION("GOOGLETRANSLATE(B440,""en"",""pt-br"")"),"negativo")</f>
        <v>negativo</v>
      </c>
    </row>
    <row r="441" ht="15.75" customHeight="1">
      <c r="A441" s="2" t="s">
        <v>443</v>
      </c>
      <c r="B441" s="2" t="s">
        <v>3</v>
      </c>
      <c r="C441" s="1" t="str">
        <f>IFERROR(__xludf.DUMMYFUNCTION("GOOGLETRANSLATE(A441,""en"",""pt-br"")"),"tímido")</f>
        <v>tímido</v>
      </c>
      <c r="D441" s="1" t="str">
        <f>IFERROR(__xludf.DUMMYFUNCTION("GOOGLETRANSLATE(B441,""en"",""pt-br"")"),"negativo")</f>
        <v>negativo</v>
      </c>
    </row>
    <row r="442" ht="15.75" customHeight="1">
      <c r="A442" s="2" t="s">
        <v>444</v>
      </c>
      <c r="B442" s="2" t="s">
        <v>3</v>
      </c>
      <c r="C442" s="1" t="str">
        <f>IFERROR(__xludf.DUMMYFUNCTION("GOOGLETRANSLATE(A442,""en"",""pt-br"")"),"contusão")</f>
        <v>contusão</v>
      </c>
      <c r="D442" s="1" t="str">
        <f>IFERROR(__xludf.DUMMYFUNCTION("GOOGLETRANSLATE(B442,""en"",""pt-br"")"),"negativo")</f>
        <v>negativo</v>
      </c>
    </row>
    <row r="443" ht="15.75" customHeight="1">
      <c r="A443" s="2" t="s">
        <v>445</v>
      </c>
      <c r="B443" s="2" t="s">
        <v>3</v>
      </c>
      <c r="C443" s="1" t="str">
        <f>IFERROR(__xludf.DUMMYFUNCTION("GOOGLETRANSLATE(A443,""en"",""pt-br"")"),"Desgraçado")</f>
        <v>Desgraçado</v>
      </c>
      <c r="D443" s="1" t="str">
        <f>IFERROR(__xludf.DUMMYFUNCTION("GOOGLETRANSLATE(B443,""en"",""pt-br"")"),"negativo")</f>
        <v>negativo</v>
      </c>
    </row>
    <row r="444" ht="15.75" customHeight="1">
      <c r="A444" s="2" t="s">
        <v>446</v>
      </c>
      <c r="B444" s="2" t="s">
        <v>3</v>
      </c>
      <c r="C444" s="1" t="str">
        <f>IFERROR(__xludf.DUMMYFUNCTION("GOOGLETRANSLATE(A444,""en"",""pt-br"")"),"bastardos")</f>
        <v>bastardos</v>
      </c>
      <c r="D444" s="1" t="str">
        <f>IFERROR(__xludf.DUMMYFUNCTION("GOOGLETRANSLATE(B444,""en"",""pt-br"")"),"negativo")</f>
        <v>negativo</v>
      </c>
    </row>
    <row r="445" ht="15.75" customHeight="1">
      <c r="A445" s="2" t="s">
        <v>447</v>
      </c>
      <c r="B445" s="2" t="s">
        <v>3</v>
      </c>
      <c r="C445" s="1" t="str">
        <f>IFERROR(__xludf.DUMMYFUNCTION("GOOGLETRANSLATE(A445,""en"",""pt-br"")"),"agredidas")</f>
        <v>agredidas</v>
      </c>
      <c r="D445" s="1" t="str">
        <f>IFERROR(__xludf.DUMMYFUNCTION("GOOGLETRANSLATE(B445,""en"",""pt-br"")"),"negativo")</f>
        <v>negativo</v>
      </c>
    </row>
    <row r="446" ht="15.75" customHeight="1">
      <c r="A446" s="2" t="s">
        <v>448</v>
      </c>
      <c r="B446" s="2" t="s">
        <v>3</v>
      </c>
      <c r="C446" s="1" t="str">
        <f>IFERROR(__xludf.DUMMYFUNCTION("GOOGLETRANSLATE(A446,""en"",""pt-br"")"),"espancamento")</f>
        <v>espancamento</v>
      </c>
      <c r="D446" s="1" t="str">
        <f>IFERROR(__xludf.DUMMYFUNCTION("GOOGLETRANSLATE(B446,""en"",""pt-br"")"),"negativo")</f>
        <v>negativo</v>
      </c>
    </row>
    <row r="447" ht="15.75" customHeight="1">
      <c r="A447" s="2" t="s">
        <v>449</v>
      </c>
      <c r="B447" s="2" t="s">
        <v>3</v>
      </c>
      <c r="C447" s="1" t="str">
        <f>IFERROR(__xludf.DUMMYFUNCTION("GOOGLETRANSLATE(A447,""en"",""pt-br"")"),"com deficiência mental")</f>
        <v>com deficiência mental</v>
      </c>
      <c r="D447" s="1" t="str">
        <f>IFERROR(__xludf.DUMMYFUNCTION("GOOGLETRANSLATE(B447,""en"",""pt-br"")"),"negativo")</f>
        <v>negativo</v>
      </c>
    </row>
    <row r="448" ht="15.75" customHeight="1">
      <c r="A448" s="2" t="s">
        <v>450</v>
      </c>
      <c r="B448" s="2" t="s">
        <v>3</v>
      </c>
      <c r="C448" s="1" t="str">
        <f>IFERROR(__xludf.DUMMYFUNCTION("GOOGLETRANSLATE(A448,""en"",""pt-br"")"),"grosseiro")</f>
        <v>grosseiro</v>
      </c>
      <c r="D448" s="1" t="str">
        <f>IFERROR(__xludf.DUMMYFUNCTION("GOOGLETRANSLATE(B448,""en"",""pt-br"")"),"negativo")</f>
        <v>negativo</v>
      </c>
    </row>
    <row r="449" ht="15.75" customHeight="1">
      <c r="A449" s="2" t="s">
        <v>451</v>
      </c>
      <c r="B449" s="2" t="s">
        <v>3</v>
      </c>
      <c r="C449" s="1" t="str">
        <f>IFERROR(__xludf.DUMMYFUNCTION("GOOGLETRANSLATE(A449,""en"",""pt-br"")"),"bestial")</f>
        <v>bestial</v>
      </c>
      <c r="D449" s="1" t="str">
        <f>IFERROR(__xludf.DUMMYFUNCTION("GOOGLETRANSLATE(B449,""en"",""pt-br"")"),"negativo")</f>
        <v>negativo</v>
      </c>
    </row>
    <row r="450" ht="15.75" customHeight="1">
      <c r="A450" s="2" t="s">
        <v>452</v>
      </c>
      <c r="B450" s="2" t="s">
        <v>14</v>
      </c>
      <c r="C450" s="1" t="str">
        <f>IFERROR(__xludf.DUMMYFUNCTION("GOOGLETRANSLATE(A450,""en"",""pt-br"")"),"belo")</f>
        <v>belo</v>
      </c>
      <c r="D450" s="1" t="str">
        <f>IFERROR(__xludf.DUMMYFUNCTION("GOOGLETRANSLATE(B450,""en"",""pt-br"")"),"positivo")</f>
        <v>positivo</v>
      </c>
    </row>
    <row r="451" ht="15.75" customHeight="1">
      <c r="A451" s="2" t="s">
        <v>453</v>
      </c>
      <c r="B451" s="2" t="s">
        <v>14</v>
      </c>
      <c r="C451" s="1" t="str">
        <f>IFERROR(__xludf.DUMMYFUNCTION("GOOGLETRANSLATE(A451,""en"",""pt-br"")"),"bonita")</f>
        <v>bonita</v>
      </c>
      <c r="D451" s="1" t="str">
        <f>IFERROR(__xludf.DUMMYFUNCTION("GOOGLETRANSLATE(B451,""en"",""pt-br"")"),"positivo")</f>
        <v>positivo</v>
      </c>
    </row>
    <row r="452" ht="15.75" customHeight="1">
      <c r="A452" s="2" t="s">
        <v>454</v>
      </c>
      <c r="B452" s="2" t="s">
        <v>14</v>
      </c>
      <c r="C452" s="1" t="str">
        <f>IFERROR(__xludf.DUMMYFUNCTION("GOOGLETRANSLATE(A452,""en"",""pt-br"")"),"beautifullly")</f>
        <v>beautifullly</v>
      </c>
      <c r="D452" s="1" t="str">
        <f>IFERROR(__xludf.DUMMYFUNCTION("GOOGLETRANSLATE(B452,""en"",""pt-br"")"),"positivo")</f>
        <v>positivo</v>
      </c>
    </row>
    <row r="453" ht="15.75" customHeight="1">
      <c r="A453" s="2" t="s">
        <v>455</v>
      </c>
      <c r="B453" s="2" t="s">
        <v>14</v>
      </c>
      <c r="C453" s="1" t="str">
        <f>IFERROR(__xludf.DUMMYFUNCTION("GOOGLETRANSLATE(A453,""en"",""pt-br"")"),"belas")</f>
        <v>belas</v>
      </c>
      <c r="D453" s="1" t="str">
        <f>IFERROR(__xludf.DUMMYFUNCTION("GOOGLETRANSLATE(B453,""en"",""pt-br"")"),"positivo")</f>
        <v>positivo</v>
      </c>
    </row>
    <row r="454" ht="15.75" customHeight="1">
      <c r="A454" s="2" t="s">
        <v>456</v>
      </c>
      <c r="B454" s="2" t="s">
        <v>14</v>
      </c>
      <c r="C454" s="1" t="str">
        <f>IFERROR(__xludf.DUMMYFUNCTION("GOOGLETRANSLATE(A454,""en"",""pt-br"")"),"embelezar")</f>
        <v>embelezar</v>
      </c>
      <c r="D454" s="1" t="str">
        <f>IFERROR(__xludf.DUMMYFUNCTION("GOOGLETRANSLATE(B454,""en"",""pt-br"")"),"positivo")</f>
        <v>positivo</v>
      </c>
    </row>
    <row r="455" ht="15.75" customHeight="1">
      <c r="A455" s="2" t="s">
        <v>457</v>
      </c>
      <c r="B455" s="2" t="s">
        <v>14</v>
      </c>
      <c r="C455" s="1" t="str">
        <f>IFERROR(__xludf.DUMMYFUNCTION("GOOGLETRANSLATE(A455,""en"",""pt-br"")"),"beleza")</f>
        <v>beleza</v>
      </c>
      <c r="D455" s="1" t="str">
        <f>IFERROR(__xludf.DUMMYFUNCTION("GOOGLETRANSLATE(B455,""en"",""pt-br"")"),"positivo")</f>
        <v>positivo</v>
      </c>
    </row>
    <row r="456" ht="15.75" customHeight="1">
      <c r="A456" s="2" t="s">
        <v>458</v>
      </c>
      <c r="B456" s="2" t="s">
        <v>14</v>
      </c>
      <c r="C456" s="1" t="str">
        <f>IFERROR(__xludf.DUMMYFUNCTION("GOOGLETRANSLATE(A456,""en"",""pt-br"")"),"acenar")</f>
        <v>acenar</v>
      </c>
      <c r="D456" s="1" t="str">
        <f>IFERROR(__xludf.DUMMYFUNCTION("GOOGLETRANSLATE(B456,""en"",""pt-br"")"),"positivo")</f>
        <v>positivo</v>
      </c>
    </row>
    <row r="457" ht="15.75" customHeight="1">
      <c r="A457" s="2" t="s">
        <v>459</v>
      </c>
      <c r="B457" s="2" t="s">
        <v>14</v>
      </c>
      <c r="C457" s="1" t="str">
        <f>IFERROR(__xludf.DUMMYFUNCTION("GOOGLETRANSLATE(A457,""en"",""pt-br"")"),"acenou")</f>
        <v>acenou</v>
      </c>
      <c r="D457" s="1" t="str">
        <f>IFERROR(__xludf.DUMMYFUNCTION("GOOGLETRANSLATE(B457,""en"",""pt-br"")"),"positivo")</f>
        <v>positivo</v>
      </c>
    </row>
    <row r="458" ht="15.75" customHeight="1">
      <c r="A458" s="2" t="s">
        <v>460</v>
      </c>
      <c r="B458" s="2" t="s">
        <v>14</v>
      </c>
      <c r="C458" s="1" t="str">
        <f>IFERROR(__xludf.DUMMYFUNCTION("GOOGLETRANSLATE(A458,""en"",""pt-br"")"),"Beckoning")</f>
        <v>Beckoning</v>
      </c>
      <c r="D458" s="1" t="str">
        <f>IFERROR(__xludf.DUMMYFUNCTION("GOOGLETRANSLATE(B458,""en"",""pt-br"")"),"positivo")</f>
        <v>positivo</v>
      </c>
    </row>
    <row r="459" ht="15.75" customHeight="1">
      <c r="A459" s="2" t="s">
        <v>461</v>
      </c>
      <c r="B459" s="2" t="s">
        <v>14</v>
      </c>
      <c r="C459" s="1" t="str">
        <f>IFERROR(__xludf.DUMMYFUNCTION("GOOGLETRANSLATE(A459,""en"",""pt-br"")"),"acena")</f>
        <v>acena</v>
      </c>
      <c r="D459" s="1" t="str">
        <f>IFERROR(__xludf.DUMMYFUNCTION("GOOGLETRANSLATE(B459,""en"",""pt-br"")"),"positivo")</f>
        <v>positivo</v>
      </c>
    </row>
    <row r="460" ht="15.75" customHeight="1">
      <c r="A460" s="2" t="s">
        <v>462</v>
      </c>
      <c r="B460" s="2" t="s">
        <v>3</v>
      </c>
      <c r="C460" s="1" t="str">
        <f>IFERROR(__xludf.DUMMYFUNCTION("GOOGLETRANSLATE(A460,""en"",""pt-br"")"),"confusão")</f>
        <v>confusão</v>
      </c>
      <c r="D460" s="1" t="str">
        <f>IFERROR(__xludf.DUMMYFUNCTION("GOOGLETRANSLATE(B460,""en"",""pt-br"")"),"negativo")</f>
        <v>negativo</v>
      </c>
    </row>
    <row r="461" ht="15.75" customHeight="1">
      <c r="A461" s="2" t="s">
        <v>463</v>
      </c>
      <c r="B461" s="2" t="s">
        <v>3</v>
      </c>
      <c r="C461" s="1" t="str">
        <f>IFERROR(__xludf.DUMMYFUNCTION("GOOGLETRANSLATE(A461,""en"",""pt-br"")"),"alienado")</f>
        <v>alienado</v>
      </c>
      <c r="D461" s="1" t="str">
        <f>IFERROR(__xludf.DUMMYFUNCTION("GOOGLETRANSLATE(B461,""en"",""pt-br"")"),"negativo")</f>
        <v>negativo</v>
      </c>
    </row>
    <row r="462" ht="15.75" customHeight="1">
      <c r="A462" s="2" t="s">
        <v>464</v>
      </c>
      <c r="B462" s="2" t="s">
        <v>3</v>
      </c>
      <c r="C462" s="1" t="str">
        <f>IFERROR(__xludf.DUMMYFUNCTION("GOOGLETRANSLATE(A462,""en"",""pt-br"")"),"sujar")</f>
        <v>sujar</v>
      </c>
      <c r="D462" s="1" t="str">
        <f>IFERROR(__xludf.DUMMYFUNCTION("GOOGLETRANSLATE(B462,""en"",""pt-br"")"),"negativo")</f>
        <v>negativo</v>
      </c>
    </row>
    <row r="463" ht="15.75" customHeight="1">
      <c r="A463" s="2" t="s">
        <v>465</v>
      </c>
      <c r="B463" s="2" t="s">
        <v>3</v>
      </c>
      <c r="C463" s="1" t="str">
        <f>IFERROR(__xludf.DUMMYFUNCTION("GOOGLETRANSLATE(A463,""en"",""pt-br"")"),"implorar")</f>
        <v>implorar</v>
      </c>
      <c r="D463" s="1" t="str">
        <f>IFERROR(__xludf.DUMMYFUNCTION("GOOGLETRANSLATE(B463,""en"",""pt-br"")"),"negativo")</f>
        <v>negativo</v>
      </c>
    </row>
    <row r="464" ht="15.75" customHeight="1">
      <c r="A464" s="2" t="s">
        <v>466</v>
      </c>
      <c r="B464" s="2" t="s">
        <v>3</v>
      </c>
      <c r="C464" s="1" t="str">
        <f>IFERROR(__xludf.DUMMYFUNCTION("GOOGLETRANSLATE(A464,""en"",""pt-br"")"),"mendigo")</f>
        <v>mendigo</v>
      </c>
      <c r="D464" s="1" t="str">
        <f>IFERROR(__xludf.DUMMYFUNCTION("GOOGLETRANSLATE(B464,""en"",""pt-br"")"),"negativo")</f>
        <v>negativo</v>
      </c>
    </row>
    <row r="465" ht="15.75" customHeight="1">
      <c r="A465" s="2" t="s">
        <v>467</v>
      </c>
      <c r="B465" s="2" t="s">
        <v>3</v>
      </c>
      <c r="C465" s="1" t="str">
        <f>IFERROR(__xludf.DUMMYFUNCTION("GOOGLETRANSLATE(A465,""en"",""pt-br"")"),"indigente")</f>
        <v>indigente</v>
      </c>
      <c r="D465" s="1" t="str">
        <f>IFERROR(__xludf.DUMMYFUNCTION("GOOGLETRANSLATE(B465,""en"",""pt-br"")"),"negativo")</f>
        <v>negativo</v>
      </c>
    </row>
    <row r="466" ht="15.75" customHeight="1">
      <c r="A466" s="2" t="s">
        <v>468</v>
      </c>
      <c r="B466" s="2" t="s">
        <v>3</v>
      </c>
      <c r="C466" s="1" t="str">
        <f>IFERROR(__xludf.DUMMYFUNCTION("GOOGLETRANSLATE(A466,""en"",""pt-br"")"),"implorando")</f>
        <v>implorando</v>
      </c>
      <c r="D466" s="1" t="str">
        <f>IFERROR(__xludf.DUMMYFUNCTION("GOOGLETRANSLATE(B466,""en"",""pt-br"")"),"negativo")</f>
        <v>negativo</v>
      </c>
    </row>
    <row r="467" ht="15.75" customHeight="1">
      <c r="A467" s="2" t="s">
        <v>469</v>
      </c>
      <c r="B467" s="2" t="s">
        <v>3</v>
      </c>
      <c r="C467" s="1" t="str">
        <f>IFERROR(__xludf.DUMMYFUNCTION("GOOGLETRANSLATE(A467,""en"",""pt-br"")"),"beguile")</f>
        <v>beguile</v>
      </c>
      <c r="D467" s="1" t="str">
        <f>IFERROR(__xludf.DUMMYFUNCTION("GOOGLETRANSLATE(B467,""en"",""pt-br"")"),"negativo")</f>
        <v>negativo</v>
      </c>
    </row>
    <row r="468" ht="15.75" customHeight="1">
      <c r="A468" s="2" t="s">
        <v>470</v>
      </c>
      <c r="B468" s="2" t="s">
        <v>3</v>
      </c>
      <c r="C468" s="1" t="str">
        <f>IFERROR(__xludf.DUMMYFUNCTION("GOOGLETRANSLATE(A468,""en"",""pt-br"")"),"ridicularizar")</f>
        <v>ridicularizar</v>
      </c>
      <c r="D468" s="1" t="str">
        <f>IFERROR(__xludf.DUMMYFUNCTION("GOOGLETRANSLATE(B468,""en"",""pt-br"")"),"negativo")</f>
        <v>negativo</v>
      </c>
    </row>
    <row r="469" ht="15.75" customHeight="1">
      <c r="A469" s="2" t="s">
        <v>471</v>
      </c>
      <c r="B469" s="2" t="s">
        <v>3</v>
      </c>
      <c r="C469" s="1" t="str">
        <f>IFERROR(__xludf.DUMMYFUNCTION("GOOGLETRANSLATE(A469,""en"",""pt-br"")"),"atrasado")</f>
        <v>atrasado</v>
      </c>
      <c r="D469" s="1" t="str">
        <f>IFERROR(__xludf.DUMMYFUNCTION("GOOGLETRANSLATE(B469,""en"",""pt-br"")"),"negativo")</f>
        <v>negativo</v>
      </c>
    </row>
    <row r="470" ht="15.75" customHeight="1">
      <c r="A470" s="2" t="s">
        <v>472</v>
      </c>
      <c r="B470" s="2" t="s">
        <v>3</v>
      </c>
      <c r="C470" s="1" t="str">
        <f>IFERROR(__xludf.DUMMYFUNCTION("GOOGLETRANSLATE(A470,""en"",""pt-br"")"),"sitiar")</f>
        <v>sitiar</v>
      </c>
      <c r="D470" s="1" t="str">
        <f>IFERROR(__xludf.DUMMYFUNCTION("GOOGLETRANSLATE(B470,""en"",""pt-br"")"),"negativo")</f>
        <v>negativo</v>
      </c>
    </row>
    <row r="471" ht="15.75" customHeight="1">
      <c r="A471" s="2" t="s">
        <v>473</v>
      </c>
      <c r="B471" s="2" t="s">
        <v>3</v>
      </c>
      <c r="C471" s="1" t="str">
        <f>IFERROR(__xludf.DUMMYFUNCTION("GOOGLETRANSLATE(A471,""en"",""pt-br"")"),"desmentir")</f>
        <v>desmentir</v>
      </c>
      <c r="D471" s="1" t="str">
        <f>IFERROR(__xludf.DUMMYFUNCTION("GOOGLETRANSLATE(B471,""en"",""pt-br"")"),"negativo")</f>
        <v>negativo</v>
      </c>
    </row>
    <row r="472" ht="15.75" customHeight="1">
      <c r="A472" s="2" t="s">
        <v>474</v>
      </c>
      <c r="B472" s="2" t="s">
        <v>14</v>
      </c>
      <c r="C472" s="1" t="str">
        <f>IFERROR(__xludf.DUMMYFUNCTION("GOOGLETRANSLATE(A472,""en"",""pt-br"")"),"acreditável")</f>
        <v>acreditável</v>
      </c>
      <c r="D472" s="1" t="str">
        <f>IFERROR(__xludf.DUMMYFUNCTION("GOOGLETRANSLATE(B472,""en"",""pt-br"")"),"positivo")</f>
        <v>positivo</v>
      </c>
    </row>
    <row r="473" ht="15.75" customHeight="1">
      <c r="A473" s="2" t="s">
        <v>475</v>
      </c>
      <c r="B473" s="2" t="s">
        <v>14</v>
      </c>
      <c r="C473" s="1" t="str">
        <f>IFERROR(__xludf.DUMMYFUNCTION("GOOGLETRANSLATE(A473,""en"",""pt-br"")"),"believeable")</f>
        <v>believeable</v>
      </c>
      <c r="D473" s="1" t="str">
        <f>IFERROR(__xludf.DUMMYFUNCTION("GOOGLETRANSLATE(B473,""en"",""pt-br"")"),"positivo")</f>
        <v>positivo</v>
      </c>
    </row>
    <row r="474" ht="15.75" customHeight="1">
      <c r="A474" s="2" t="s">
        <v>476</v>
      </c>
      <c r="B474" s="2" t="s">
        <v>3</v>
      </c>
      <c r="C474" s="1" t="str">
        <f>IFERROR(__xludf.DUMMYFUNCTION("GOOGLETRANSLATE(A474,""en"",""pt-br"")"),"depreciar")</f>
        <v>depreciar</v>
      </c>
      <c r="D474" s="1" t="str">
        <f>IFERROR(__xludf.DUMMYFUNCTION("GOOGLETRANSLATE(B474,""en"",""pt-br"")"),"negativo")</f>
        <v>negativo</v>
      </c>
    </row>
    <row r="475" ht="15.75" customHeight="1">
      <c r="A475" s="2" t="s">
        <v>477</v>
      </c>
      <c r="B475" s="2" t="s">
        <v>3</v>
      </c>
      <c r="C475" s="1" t="str">
        <f>IFERROR(__xludf.DUMMYFUNCTION("GOOGLETRANSLATE(A475,""en"",""pt-br"")"),"menosprezado")</f>
        <v>menosprezado</v>
      </c>
      <c r="D475" s="1" t="str">
        <f>IFERROR(__xludf.DUMMYFUNCTION("GOOGLETRANSLATE(B475,""en"",""pt-br"")"),"negativo")</f>
        <v>negativo</v>
      </c>
    </row>
    <row r="476" ht="15.75" customHeight="1">
      <c r="A476" s="2" t="s">
        <v>478</v>
      </c>
      <c r="B476" s="2" t="s">
        <v>3</v>
      </c>
      <c r="C476" s="1" t="str">
        <f>IFERROR(__xludf.DUMMYFUNCTION("GOOGLETRANSLATE(A476,""en"",""pt-br"")"),"Menosprezando")</f>
        <v>Menosprezando</v>
      </c>
      <c r="D476" s="1" t="str">
        <f>IFERROR(__xludf.DUMMYFUNCTION("GOOGLETRANSLATE(B476,""en"",""pt-br"")"),"negativo")</f>
        <v>negativo</v>
      </c>
    </row>
    <row r="477" ht="15.75" customHeight="1">
      <c r="A477" s="2" t="s">
        <v>479</v>
      </c>
      <c r="B477" s="2" t="s">
        <v>3</v>
      </c>
      <c r="C477" s="1" t="str">
        <f>IFERROR(__xludf.DUMMYFUNCTION("GOOGLETRANSLATE(A477,""en"",""pt-br"")"),"belicoso")</f>
        <v>belicoso</v>
      </c>
      <c r="D477" s="1" t="str">
        <f>IFERROR(__xludf.DUMMYFUNCTION("GOOGLETRANSLATE(B477,""en"",""pt-br"")"),"negativo")</f>
        <v>negativo</v>
      </c>
    </row>
    <row r="478" ht="15.75" customHeight="1">
      <c r="A478" s="2" t="s">
        <v>480</v>
      </c>
      <c r="B478" s="2" t="s">
        <v>3</v>
      </c>
      <c r="C478" s="1" t="str">
        <f>IFERROR(__xludf.DUMMYFUNCTION("GOOGLETRANSLATE(A478,""en"",""pt-br"")"),"beligerância")</f>
        <v>beligerância</v>
      </c>
      <c r="D478" s="1" t="str">
        <f>IFERROR(__xludf.DUMMYFUNCTION("GOOGLETRANSLATE(B478,""en"",""pt-br"")"),"negativo")</f>
        <v>negativo</v>
      </c>
    </row>
    <row r="479" ht="15.75" customHeight="1">
      <c r="A479" s="2" t="s">
        <v>481</v>
      </c>
      <c r="B479" s="2" t="s">
        <v>3</v>
      </c>
      <c r="C479" s="1" t="str">
        <f>IFERROR(__xludf.DUMMYFUNCTION("GOOGLETRANSLATE(A479,""en"",""pt-br"")"),"beligerante")</f>
        <v>beligerante</v>
      </c>
      <c r="D479" s="1" t="str">
        <f>IFERROR(__xludf.DUMMYFUNCTION("GOOGLETRANSLATE(B479,""en"",""pt-br"")"),"negativo")</f>
        <v>negativo</v>
      </c>
    </row>
    <row r="480" ht="15.75" customHeight="1">
      <c r="A480" s="2" t="s">
        <v>482</v>
      </c>
      <c r="B480" s="2" t="s">
        <v>3</v>
      </c>
      <c r="C480" s="1" t="str">
        <f>IFERROR(__xludf.DUMMYFUNCTION("GOOGLETRANSLATE(A480,""en"",""pt-br"")"),"beligerante")</f>
        <v>beligerante</v>
      </c>
      <c r="D480" s="1" t="str">
        <f>IFERROR(__xludf.DUMMYFUNCTION("GOOGLETRANSLATE(B480,""en"",""pt-br"")"),"negativo")</f>
        <v>negativo</v>
      </c>
    </row>
    <row r="481" ht="15.75" customHeight="1">
      <c r="A481" s="2" t="s">
        <v>483</v>
      </c>
      <c r="B481" s="2" t="s">
        <v>14</v>
      </c>
      <c r="C481" s="1" t="str">
        <f>IFERROR(__xludf.DUMMYFUNCTION("GOOGLETRANSLATE(A481,""en"",""pt-br"")"),"Amado")</f>
        <v>Amado</v>
      </c>
      <c r="D481" s="1" t="str">
        <f>IFERROR(__xludf.DUMMYFUNCTION("GOOGLETRANSLATE(B481,""en"",""pt-br"")"),"positivo")</f>
        <v>positivo</v>
      </c>
    </row>
    <row r="482" ht="15.75" customHeight="1">
      <c r="A482" s="2" t="s">
        <v>484</v>
      </c>
      <c r="B482" s="2" t="s">
        <v>3</v>
      </c>
      <c r="C482" s="1" t="str">
        <f>IFERROR(__xludf.DUMMYFUNCTION("GOOGLETRANSLATE(A482,""en"",""pt-br"")"),"lamentar")</f>
        <v>lamentar</v>
      </c>
      <c r="D482" s="1" t="str">
        <f>IFERROR(__xludf.DUMMYFUNCTION("GOOGLETRANSLATE(B482,""en"",""pt-br"")"),"negativo")</f>
        <v>negativo</v>
      </c>
    </row>
    <row r="483" ht="15.75" customHeight="1">
      <c r="A483" s="2" t="s">
        <v>485</v>
      </c>
      <c r="B483" s="2" t="s">
        <v>3</v>
      </c>
      <c r="C483" s="1" t="str">
        <f>IFERROR(__xludf.DUMMYFUNCTION("GOOGLETRANSLATE(A483,""en"",""pt-br"")"),"lamentando")</f>
        <v>lamentando</v>
      </c>
      <c r="D483" s="1" t="str">
        <f>IFERROR(__xludf.DUMMYFUNCTION("GOOGLETRANSLATE(B483,""en"",""pt-br"")"),"negativo")</f>
        <v>negativo</v>
      </c>
    </row>
    <row r="484" ht="15.75" customHeight="1">
      <c r="A484" s="2" t="s">
        <v>486</v>
      </c>
      <c r="B484" s="2" t="s">
        <v>3</v>
      </c>
      <c r="C484" s="1" t="str">
        <f>IFERROR(__xludf.DUMMYFUNCTION("GOOGLETRANSLATE(A484,""en"",""pt-br"")"),"confuso")</f>
        <v>confuso</v>
      </c>
      <c r="D484" s="1" t="str">
        <f>IFERROR(__xludf.DUMMYFUNCTION("GOOGLETRANSLATE(B484,""en"",""pt-br"")"),"negativo")</f>
        <v>negativo</v>
      </c>
    </row>
    <row r="485" ht="15.75" customHeight="1">
      <c r="A485" s="2" t="s">
        <v>487</v>
      </c>
      <c r="B485" s="2" t="s">
        <v>14</v>
      </c>
      <c r="C485" s="1" t="str">
        <f>IFERROR(__xludf.DUMMYFUNCTION("GOOGLETRANSLATE(A485,""en"",""pt-br"")"),"benfeitor")</f>
        <v>benfeitor</v>
      </c>
      <c r="D485" s="1" t="str">
        <f>IFERROR(__xludf.DUMMYFUNCTION("GOOGLETRANSLATE(B485,""en"",""pt-br"")"),"positivo")</f>
        <v>positivo</v>
      </c>
    </row>
    <row r="486" ht="15.75" customHeight="1">
      <c r="A486" s="2" t="s">
        <v>488</v>
      </c>
      <c r="B486" s="2" t="s">
        <v>14</v>
      </c>
      <c r="C486" s="1" t="str">
        <f>IFERROR(__xludf.DUMMYFUNCTION("GOOGLETRANSLATE(A486,""en"",""pt-br"")"),"beneficente")</f>
        <v>beneficente</v>
      </c>
      <c r="D486" s="1" t="str">
        <f>IFERROR(__xludf.DUMMYFUNCTION("GOOGLETRANSLATE(B486,""en"",""pt-br"")"),"positivo")</f>
        <v>positivo</v>
      </c>
    </row>
    <row r="487" ht="15.75" customHeight="1">
      <c r="A487" s="2" t="s">
        <v>489</v>
      </c>
      <c r="B487" s="2" t="s">
        <v>14</v>
      </c>
      <c r="C487" s="1" t="str">
        <f>IFERROR(__xludf.DUMMYFUNCTION("GOOGLETRANSLATE(A487,""en"",""pt-br"")"),"benéfico")</f>
        <v>benéfico</v>
      </c>
      <c r="D487" s="1" t="str">
        <f>IFERROR(__xludf.DUMMYFUNCTION("GOOGLETRANSLATE(B487,""en"",""pt-br"")"),"positivo")</f>
        <v>positivo</v>
      </c>
    </row>
    <row r="488" ht="15.75" customHeight="1">
      <c r="A488" s="2" t="s">
        <v>490</v>
      </c>
      <c r="B488" s="2" t="s">
        <v>14</v>
      </c>
      <c r="C488" s="1" t="str">
        <f>IFERROR(__xludf.DUMMYFUNCTION("GOOGLETRANSLATE(A488,""en"",""pt-br"")"),"beneficamente")</f>
        <v>beneficamente</v>
      </c>
      <c r="D488" s="1" t="str">
        <f>IFERROR(__xludf.DUMMYFUNCTION("GOOGLETRANSLATE(B488,""en"",""pt-br"")"),"positivo")</f>
        <v>positivo</v>
      </c>
    </row>
    <row r="489" ht="15.75" customHeight="1">
      <c r="A489" s="2" t="s">
        <v>491</v>
      </c>
      <c r="B489" s="2" t="s">
        <v>14</v>
      </c>
      <c r="C489" s="1" t="str">
        <f>IFERROR(__xludf.DUMMYFUNCTION("GOOGLETRANSLATE(A489,""en"",""pt-br"")"),"beneficiário")</f>
        <v>beneficiário</v>
      </c>
      <c r="D489" s="1" t="str">
        <f>IFERROR(__xludf.DUMMYFUNCTION("GOOGLETRANSLATE(B489,""en"",""pt-br"")"),"positivo")</f>
        <v>positivo</v>
      </c>
    </row>
    <row r="490" ht="15.75" customHeight="1">
      <c r="A490" s="2" t="s">
        <v>492</v>
      </c>
      <c r="B490" s="2" t="s">
        <v>14</v>
      </c>
      <c r="C490" s="1" t="str">
        <f>IFERROR(__xludf.DUMMYFUNCTION("GOOGLETRANSLATE(A490,""en"",""pt-br"")"),"benefício")</f>
        <v>benefício</v>
      </c>
      <c r="D490" s="1" t="str">
        <f>IFERROR(__xludf.DUMMYFUNCTION("GOOGLETRANSLATE(B490,""en"",""pt-br"")"),"positivo")</f>
        <v>positivo</v>
      </c>
    </row>
    <row r="491" ht="15.75" customHeight="1">
      <c r="A491" s="2" t="s">
        <v>493</v>
      </c>
      <c r="B491" s="2" t="s">
        <v>14</v>
      </c>
      <c r="C491" s="1" t="str">
        <f>IFERROR(__xludf.DUMMYFUNCTION("GOOGLETRANSLATE(A491,""en"",""pt-br"")"),"benefícios")</f>
        <v>benefícios</v>
      </c>
      <c r="D491" s="1" t="str">
        <f>IFERROR(__xludf.DUMMYFUNCTION("GOOGLETRANSLATE(B491,""en"",""pt-br"")"),"positivo")</f>
        <v>positivo</v>
      </c>
    </row>
    <row r="492" ht="15.75" customHeight="1">
      <c r="A492" s="2" t="s">
        <v>494</v>
      </c>
      <c r="B492" s="2" t="s">
        <v>14</v>
      </c>
      <c r="C492" s="1" t="str">
        <f>IFERROR(__xludf.DUMMYFUNCTION("GOOGLETRANSLATE(A492,""en"",""pt-br"")"),"benevolência")</f>
        <v>benevolência</v>
      </c>
      <c r="D492" s="1" t="str">
        <f>IFERROR(__xludf.DUMMYFUNCTION("GOOGLETRANSLATE(B492,""en"",""pt-br"")"),"positivo")</f>
        <v>positivo</v>
      </c>
    </row>
    <row r="493" ht="15.75" customHeight="1">
      <c r="A493" s="2" t="s">
        <v>495</v>
      </c>
      <c r="B493" s="2" t="s">
        <v>14</v>
      </c>
      <c r="C493" s="1" t="str">
        <f>IFERROR(__xludf.DUMMYFUNCTION("GOOGLETRANSLATE(A493,""en"",""pt-br"")"),"benevolente")</f>
        <v>benevolente</v>
      </c>
      <c r="D493" s="1" t="str">
        <f>IFERROR(__xludf.DUMMYFUNCTION("GOOGLETRANSLATE(B493,""en"",""pt-br"")"),"positivo")</f>
        <v>positivo</v>
      </c>
    </row>
    <row r="494" ht="15.75" customHeight="1">
      <c r="A494" s="2" t="s">
        <v>496</v>
      </c>
      <c r="B494" s="2" t="s">
        <v>14</v>
      </c>
      <c r="C494" s="1" t="str">
        <f>IFERROR(__xludf.DUMMYFUNCTION("GOOGLETRANSLATE(A494,""en"",""pt-br"")"),"benifits")</f>
        <v>benifits</v>
      </c>
      <c r="D494" s="1" t="str">
        <f>IFERROR(__xludf.DUMMYFUNCTION("GOOGLETRANSLATE(B494,""en"",""pt-br"")"),"positivo")</f>
        <v>positivo</v>
      </c>
    </row>
    <row r="495" ht="15.75" customHeight="1">
      <c r="A495" s="2" t="s">
        <v>497</v>
      </c>
      <c r="B495" s="2" t="s">
        <v>3</v>
      </c>
      <c r="C495" s="1" t="str">
        <f>IFERROR(__xludf.DUMMYFUNCTION("GOOGLETRANSLATE(A495,""en"",""pt-br"")"),"dobrado")</f>
        <v>dobrado</v>
      </c>
      <c r="D495" s="1" t="str">
        <f>IFERROR(__xludf.DUMMYFUNCTION("GOOGLETRANSLATE(B495,""en"",""pt-br"")"),"negativo")</f>
        <v>negativo</v>
      </c>
    </row>
    <row r="496" ht="15.75" customHeight="1">
      <c r="A496" s="2" t="s">
        <v>498</v>
      </c>
      <c r="B496" s="2" t="s">
        <v>3</v>
      </c>
      <c r="C496" s="1" t="str">
        <f>IFERROR(__xludf.DUMMYFUNCTION("GOOGLETRANSLATE(A496,""en"",""pt-br"")"),"repreender")</f>
        <v>repreender</v>
      </c>
      <c r="D496" s="1" t="str">
        <f>IFERROR(__xludf.DUMMYFUNCTION("GOOGLETRANSLATE(B496,""en"",""pt-br"")"),"negativo")</f>
        <v>negativo</v>
      </c>
    </row>
    <row r="497" ht="15.75" customHeight="1">
      <c r="A497" s="2" t="s">
        <v>499</v>
      </c>
      <c r="B497" s="2" t="s">
        <v>3</v>
      </c>
      <c r="C497" s="1" t="str">
        <f>IFERROR(__xludf.DUMMYFUNCTION("GOOGLETRANSLATE(A497,""en"",""pt-br"")"),"privar")</f>
        <v>privar</v>
      </c>
      <c r="D497" s="1" t="str">
        <f>IFERROR(__xludf.DUMMYFUNCTION("GOOGLETRANSLATE(B497,""en"",""pt-br"")"),"negativo")</f>
        <v>negativo</v>
      </c>
    </row>
    <row r="498" ht="15.75" customHeight="1">
      <c r="A498" s="2" t="s">
        <v>500</v>
      </c>
      <c r="B498" s="2" t="s">
        <v>3</v>
      </c>
      <c r="C498" s="1" t="str">
        <f>IFERROR(__xludf.DUMMYFUNCTION("GOOGLETRANSLATE(A498,""en"",""pt-br"")"),"privação")</f>
        <v>privação</v>
      </c>
      <c r="D498" s="1" t="str">
        <f>IFERROR(__xludf.DUMMYFUNCTION("GOOGLETRANSLATE(B498,""en"",""pt-br"")"),"negativo")</f>
        <v>negativo</v>
      </c>
    </row>
    <row r="499" ht="15.75" customHeight="1">
      <c r="A499" s="2" t="s">
        <v>501</v>
      </c>
      <c r="B499" s="2" t="s">
        <v>3</v>
      </c>
      <c r="C499" s="1" t="str">
        <f>IFERROR(__xludf.DUMMYFUNCTION("GOOGLETRANSLATE(A499,""en"",""pt-br"")"),"desolado")</f>
        <v>desolado</v>
      </c>
      <c r="D499" s="1" t="str">
        <f>IFERROR(__xludf.DUMMYFUNCTION("GOOGLETRANSLATE(B499,""en"",""pt-br"")"),"negativo")</f>
        <v>negativo</v>
      </c>
    </row>
    <row r="500" ht="15.75" customHeight="1">
      <c r="A500" s="2" t="s">
        <v>502</v>
      </c>
      <c r="B500" s="2" t="s">
        <v>3</v>
      </c>
      <c r="C500" s="1" t="str">
        <f>IFERROR(__xludf.DUMMYFUNCTION("GOOGLETRANSLATE(A500,""en"",""pt-br"")"),"furioso")</f>
        <v>furioso</v>
      </c>
      <c r="D500" s="1" t="str">
        <f>IFERROR(__xludf.DUMMYFUNCTION("GOOGLETRANSLATE(B500,""en"",""pt-br"")"),"negativo")</f>
        <v>negativo</v>
      </c>
    </row>
    <row r="501" ht="15.75" customHeight="1">
      <c r="A501" s="2" t="s">
        <v>503</v>
      </c>
      <c r="B501" s="2" t="s">
        <v>3</v>
      </c>
      <c r="C501" s="1" t="str">
        <f>IFERROR(__xludf.DUMMYFUNCTION("GOOGLETRANSLATE(A501,""en"",""pt-br"")"),"beseech")</f>
        <v>beseech</v>
      </c>
      <c r="D501" s="1" t="str">
        <f>IFERROR(__xludf.DUMMYFUNCTION("GOOGLETRANSLATE(B501,""en"",""pt-br"")"),"negativo")</f>
        <v>negativo</v>
      </c>
    </row>
    <row r="502" ht="15.75" customHeight="1">
      <c r="A502" s="2" t="s">
        <v>504</v>
      </c>
      <c r="B502" s="2" t="s">
        <v>3</v>
      </c>
      <c r="C502" s="1" t="str">
        <f>IFERROR(__xludf.DUMMYFUNCTION("GOOGLETRANSLATE(A502,""en"",""pt-br"")"),"assaltar")</f>
        <v>assaltar</v>
      </c>
      <c r="D502" s="1" t="str">
        <f>IFERROR(__xludf.DUMMYFUNCTION("GOOGLETRANSLATE(B502,""en"",""pt-br"")"),"negativo")</f>
        <v>negativo</v>
      </c>
    </row>
    <row r="503" ht="15.75" customHeight="1">
      <c r="A503" s="2" t="s">
        <v>505</v>
      </c>
      <c r="B503" s="2" t="s">
        <v>3</v>
      </c>
      <c r="C503" s="1" t="str">
        <f>IFERROR(__xludf.DUMMYFUNCTION("GOOGLETRANSLATE(A503,""en"",""pt-br"")"),"sitio")</f>
        <v>sitio</v>
      </c>
      <c r="D503" s="1" t="str">
        <f>IFERROR(__xludf.DUMMYFUNCTION("GOOGLETRANSLATE(B503,""en"",""pt-br"")"),"negativo")</f>
        <v>negativo</v>
      </c>
    </row>
    <row r="504" ht="15.75" customHeight="1">
      <c r="A504" s="2" t="s">
        <v>506</v>
      </c>
      <c r="B504" s="2" t="s">
        <v>3</v>
      </c>
      <c r="C504" s="1" t="str">
        <f>IFERROR(__xludf.DUMMYFUNCTION("GOOGLETRANSLATE(A504,""en"",""pt-br"")"),"besmirch")</f>
        <v>besmirch</v>
      </c>
      <c r="D504" s="1" t="str">
        <f>IFERROR(__xludf.DUMMYFUNCTION("GOOGLETRANSLATE(B504,""en"",""pt-br"")"),"negativo")</f>
        <v>negativo</v>
      </c>
    </row>
    <row r="505" ht="15.75" customHeight="1">
      <c r="A505" s="2" t="s">
        <v>507</v>
      </c>
      <c r="B505" s="2" t="s">
        <v>14</v>
      </c>
      <c r="C505" s="1" t="str">
        <f>IFERROR(__xludf.DUMMYFUNCTION("GOOGLETRANSLATE(A505,""en"",""pt-br"")"),"melhor")</f>
        <v>melhor</v>
      </c>
      <c r="D505" s="1" t="str">
        <f>IFERROR(__xludf.DUMMYFUNCTION("GOOGLETRANSLATE(B505,""en"",""pt-br"")"),"positivo")</f>
        <v>positivo</v>
      </c>
    </row>
    <row r="506" ht="15.75" customHeight="1">
      <c r="A506" s="2" t="s">
        <v>508</v>
      </c>
      <c r="B506" s="2" t="s">
        <v>14</v>
      </c>
      <c r="C506" s="1" t="str">
        <f>IFERROR(__xludf.DUMMYFUNCTION("GOOGLETRANSLATE(A506,""en"",""pt-br"")"),"mais conhecido")</f>
        <v>mais conhecido</v>
      </c>
      <c r="D506" s="1" t="str">
        <f>IFERROR(__xludf.DUMMYFUNCTION("GOOGLETRANSLATE(B506,""en"",""pt-br"")"),"positivo")</f>
        <v>positivo</v>
      </c>
    </row>
    <row r="507" ht="15.75" customHeight="1">
      <c r="A507" s="2" t="s">
        <v>509</v>
      </c>
      <c r="B507" s="2" t="s">
        <v>14</v>
      </c>
      <c r="C507" s="1" t="str">
        <f>IFERROR(__xludf.DUMMYFUNCTION("GOOGLETRANSLATE(A507,""en"",""pt-br"")"),"melhor desempenho")</f>
        <v>melhor desempenho</v>
      </c>
      <c r="D507" s="1" t="str">
        <f>IFERROR(__xludf.DUMMYFUNCTION("GOOGLETRANSLATE(B507,""en"",""pt-br"")"),"positivo")</f>
        <v>positivo</v>
      </c>
    </row>
    <row r="508" ht="15.75" customHeight="1">
      <c r="A508" s="2" t="s">
        <v>510</v>
      </c>
      <c r="B508" s="2" t="s">
        <v>14</v>
      </c>
      <c r="C508" s="1" t="str">
        <f>IFERROR(__xludf.DUMMYFUNCTION("GOOGLETRANSLATE(A508,""en"",""pt-br"")"),"best-seller")</f>
        <v>best-seller</v>
      </c>
      <c r="D508" s="1" t="str">
        <f>IFERROR(__xludf.DUMMYFUNCTION("GOOGLETRANSLATE(B508,""en"",""pt-br"")"),"positivo")</f>
        <v>positivo</v>
      </c>
    </row>
    <row r="509" ht="15.75" customHeight="1">
      <c r="A509" s="2" t="s">
        <v>511</v>
      </c>
      <c r="B509" s="2" t="s">
        <v>3</v>
      </c>
      <c r="C509" s="1" t="str">
        <f>IFERROR(__xludf.DUMMYFUNCTION("GOOGLETRANSLATE(A509,""en"",""pt-br"")"),"bestial")</f>
        <v>bestial</v>
      </c>
      <c r="D509" s="1" t="str">
        <f>IFERROR(__xludf.DUMMYFUNCTION("GOOGLETRANSLATE(B509,""en"",""pt-br"")"),"negativo")</f>
        <v>negativo</v>
      </c>
    </row>
    <row r="510" ht="15.75" customHeight="1">
      <c r="A510" s="2" t="s">
        <v>512</v>
      </c>
      <c r="B510" s="2" t="s">
        <v>3</v>
      </c>
      <c r="C510" s="1" t="str">
        <f>IFERROR(__xludf.DUMMYFUNCTION("GOOGLETRANSLATE(A510,""en"",""pt-br"")"),"trair")</f>
        <v>trair</v>
      </c>
      <c r="D510" s="1" t="str">
        <f>IFERROR(__xludf.DUMMYFUNCTION("GOOGLETRANSLATE(B510,""en"",""pt-br"")"),"negativo")</f>
        <v>negativo</v>
      </c>
    </row>
    <row r="511" ht="15.75" customHeight="1">
      <c r="A511" s="2" t="s">
        <v>513</v>
      </c>
      <c r="B511" s="2" t="s">
        <v>3</v>
      </c>
      <c r="C511" s="1" t="str">
        <f>IFERROR(__xludf.DUMMYFUNCTION("GOOGLETRANSLATE(A511,""en"",""pt-br"")"),"traição")</f>
        <v>traição</v>
      </c>
      <c r="D511" s="1" t="str">
        <f>IFERROR(__xludf.DUMMYFUNCTION("GOOGLETRANSLATE(B511,""en"",""pt-br"")"),"negativo")</f>
        <v>negativo</v>
      </c>
    </row>
    <row r="512" ht="15.75" customHeight="1">
      <c r="A512" s="2" t="s">
        <v>514</v>
      </c>
      <c r="B512" s="2" t="s">
        <v>3</v>
      </c>
      <c r="C512" s="1" t="str">
        <f>IFERROR(__xludf.DUMMYFUNCTION("GOOGLETRANSLATE(A512,""en"",""pt-br"")"),"traições")</f>
        <v>traições</v>
      </c>
      <c r="D512" s="1" t="str">
        <f>IFERROR(__xludf.DUMMYFUNCTION("GOOGLETRANSLATE(B512,""en"",""pt-br"")"),"negativo")</f>
        <v>negativo</v>
      </c>
    </row>
    <row r="513" ht="15.75" customHeight="1">
      <c r="A513" s="2" t="s">
        <v>515</v>
      </c>
      <c r="B513" s="2" t="s">
        <v>3</v>
      </c>
      <c r="C513" s="1" t="str">
        <f>IFERROR(__xludf.DUMMYFUNCTION("GOOGLETRANSLATE(A513,""en"",""pt-br"")"),"traidor")</f>
        <v>traidor</v>
      </c>
      <c r="D513" s="1" t="str">
        <f>IFERROR(__xludf.DUMMYFUNCTION("GOOGLETRANSLATE(B513,""en"",""pt-br"")"),"negativo")</f>
        <v>negativo</v>
      </c>
    </row>
    <row r="514" ht="15.75" customHeight="1">
      <c r="A514" s="2" t="s">
        <v>516</v>
      </c>
      <c r="B514" s="2" t="s">
        <v>3</v>
      </c>
      <c r="C514" s="1" t="str">
        <f>IFERROR(__xludf.DUMMYFUNCTION("GOOGLETRANSLATE(A514,""en"",""pt-br"")"),"traindo")</f>
        <v>traindo</v>
      </c>
      <c r="D514" s="1" t="str">
        <f>IFERROR(__xludf.DUMMYFUNCTION("GOOGLETRANSLATE(B514,""en"",""pt-br"")"),"negativo")</f>
        <v>negativo</v>
      </c>
    </row>
    <row r="515" ht="15.75" customHeight="1">
      <c r="A515" s="2" t="s">
        <v>517</v>
      </c>
      <c r="B515" s="2" t="s">
        <v>3</v>
      </c>
      <c r="C515" s="1" t="str">
        <f>IFERROR(__xludf.DUMMYFUNCTION("GOOGLETRANSLATE(A515,""en"",""pt-br"")"),"trai")</f>
        <v>trai</v>
      </c>
      <c r="D515" s="1" t="str">
        <f>IFERROR(__xludf.DUMMYFUNCTION("GOOGLETRANSLATE(B515,""en"",""pt-br"")"),"negativo")</f>
        <v>negativo</v>
      </c>
    </row>
    <row r="516" ht="15.75" customHeight="1">
      <c r="A516" s="2" t="s">
        <v>518</v>
      </c>
      <c r="B516" s="2" t="s">
        <v>14</v>
      </c>
      <c r="C516" s="1" t="str">
        <f>IFERROR(__xludf.DUMMYFUNCTION("GOOGLETRANSLATE(A516,""en"",""pt-br"")"),"Melhor")</f>
        <v>Melhor</v>
      </c>
      <c r="D516" s="1" t="str">
        <f>IFERROR(__xludf.DUMMYFUNCTION("GOOGLETRANSLATE(B516,""en"",""pt-br"")"),"positivo")</f>
        <v>positivo</v>
      </c>
    </row>
    <row r="517" ht="15.75" customHeight="1">
      <c r="A517" s="2" t="s">
        <v>519</v>
      </c>
      <c r="B517" s="2" t="s">
        <v>14</v>
      </c>
      <c r="C517" s="1" t="str">
        <f>IFERROR(__xludf.DUMMYFUNCTION("GOOGLETRANSLATE(A517,""en"",""pt-br"")"),"melhor saber")</f>
        <v>melhor saber</v>
      </c>
      <c r="D517" s="1" t="str">
        <f>IFERROR(__xludf.DUMMYFUNCTION("GOOGLETRANSLATE(B517,""en"",""pt-br"")"),"positivo")</f>
        <v>positivo</v>
      </c>
    </row>
    <row r="518" ht="15.75" customHeight="1">
      <c r="A518" s="2" t="s">
        <v>520</v>
      </c>
      <c r="B518" s="2" t="s">
        <v>14</v>
      </c>
      <c r="C518" s="1" t="str">
        <f>IFERROR(__xludf.DUMMYFUNCTION("GOOGLETRANSLATE(A518,""en"",""pt-br"")"),"melhor que o esperado")</f>
        <v>melhor que o esperado</v>
      </c>
      <c r="D518" s="1" t="str">
        <f>IFERROR(__xludf.DUMMYFUNCTION("GOOGLETRANSLATE(B518,""en"",""pt-br"")"),"positivo")</f>
        <v>positivo</v>
      </c>
    </row>
    <row r="519" ht="15.75" customHeight="1">
      <c r="A519" s="2" t="s">
        <v>521</v>
      </c>
      <c r="B519" s="2" t="s">
        <v>14</v>
      </c>
      <c r="C519" s="1" t="str">
        <f>IFERROR(__xludf.DUMMYFUNCTION("GOOGLETRANSLATE(A519,""en"",""pt-br"")"),"beutifully")</f>
        <v>beutifully</v>
      </c>
      <c r="D519" s="1" t="str">
        <f>IFERROR(__xludf.DUMMYFUNCTION("GOOGLETRANSLATE(B519,""en"",""pt-br"")"),"positivo")</f>
        <v>positivo</v>
      </c>
    </row>
    <row r="520" ht="15.75" customHeight="1">
      <c r="A520" s="2" t="s">
        <v>522</v>
      </c>
      <c r="B520" s="2" t="s">
        <v>3</v>
      </c>
      <c r="C520" s="1" t="str">
        <f>IFERROR(__xludf.DUMMYFUNCTION("GOOGLETRANSLATE(A520,""en"",""pt-br"")"),"lamentar")</f>
        <v>lamentar</v>
      </c>
      <c r="D520" s="1" t="str">
        <f>IFERROR(__xludf.DUMMYFUNCTION("GOOGLETRANSLATE(B520,""en"",""pt-br"")"),"negativo")</f>
        <v>negativo</v>
      </c>
    </row>
    <row r="521" ht="15.75" customHeight="1">
      <c r="A521" s="2" t="s">
        <v>523</v>
      </c>
      <c r="B521" s="2" t="s">
        <v>3</v>
      </c>
      <c r="C521" s="1" t="str">
        <f>IFERROR(__xludf.DUMMYFUNCTION("GOOGLETRANSLATE(A521,""en"",""pt-br"")"),"ter cuidado")</f>
        <v>ter cuidado</v>
      </c>
      <c r="D521" s="1" t="str">
        <f>IFERROR(__xludf.DUMMYFUNCTION("GOOGLETRANSLATE(B521,""en"",""pt-br"")"),"negativo")</f>
        <v>negativo</v>
      </c>
    </row>
    <row r="522" ht="15.75" customHeight="1">
      <c r="A522" s="2" t="s">
        <v>524</v>
      </c>
      <c r="B522" s="2" t="s">
        <v>3</v>
      </c>
      <c r="C522" s="1" t="str">
        <f>IFERROR(__xludf.DUMMYFUNCTION("GOOGLETRANSLATE(A522,""en"",""pt-br"")"),"bewilder")</f>
        <v>bewilder</v>
      </c>
      <c r="D522" s="1" t="str">
        <f>IFERROR(__xludf.DUMMYFUNCTION("GOOGLETRANSLATE(B522,""en"",""pt-br"")"),"negativo")</f>
        <v>negativo</v>
      </c>
    </row>
    <row r="523" ht="15.75" customHeight="1">
      <c r="A523" s="2" t="s">
        <v>525</v>
      </c>
      <c r="B523" s="2" t="s">
        <v>3</v>
      </c>
      <c r="C523" s="1" t="str">
        <f>IFERROR(__xludf.DUMMYFUNCTION("GOOGLETRANSLATE(A523,""en"",""pt-br"")"),"aturdido")</f>
        <v>aturdido</v>
      </c>
      <c r="D523" s="1" t="str">
        <f>IFERROR(__xludf.DUMMYFUNCTION("GOOGLETRANSLATE(B523,""en"",""pt-br"")"),"negativo")</f>
        <v>negativo</v>
      </c>
    </row>
    <row r="524" ht="15.75" customHeight="1">
      <c r="A524" s="2" t="s">
        <v>526</v>
      </c>
      <c r="B524" s="2" t="s">
        <v>3</v>
      </c>
      <c r="C524" s="1" t="str">
        <f>IFERROR(__xludf.DUMMYFUNCTION("GOOGLETRANSLATE(A524,""en"",""pt-br"")"),"desconcertante")</f>
        <v>desconcertante</v>
      </c>
      <c r="D524" s="1" t="str">
        <f>IFERROR(__xludf.DUMMYFUNCTION("GOOGLETRANSLATE(B524,""en"",""pt-br"")"),"negativo")</f>
        <v>negativo</v>
      </c>
    </row>
    <row r="525" ht="15.75" customHeight="1">
      <c r="A525" s="2" t="s">
        <v>527</v>
      </c>
      <c r="B525" s="2" t="s">
        <v>3</v>
      </c>
      <c r="C525" s="1" t="str">
        <f>IFERROR(__xludf.DUMMYFUNCTION("GOOGLETRANSLATE(A525,""en"",""pt-br"")"),"bewilderingly")</f>
        <v>bewilderingly</v>
      </c>
      <c r="D525" s="1" t="str">
        <f>IFERROR(__xludf.DUMMYFUNCTION("GOOGLETRANSLATE(B525,""en"",""pt-br"")"),"negativo")</f>
        <v>negativo</v>
      </c>
    </row>
    <row r="526" ht="15.75" customHeight="1">
      <c r="A526" s="2" t="s">
        <v>528</v>
      </c>
      <c r="B526" s="2" t="s">
        <v>3</v>
      </c>
      <c r="C526" s="1" t="str">
        <f>IFERROR(__xludf.DUMMYFUNCTION("GOOGLETRANSLATE(A526,""en"",""pt-br"")"),"desnorteamento")</f>
        <v>desnorteamento</v>
      </c>
      <c r="D526" s="1" t="str">
        <f>IFERROR(__xludf.DUMMYFUNCTION("GOOGLETRANSLATE(B526,""en"",""pt-br"")"),"negativo")</f>
        <v>negativo</v>
      </c>
    </row>
    <row r="527" ht="15.75" customHeight="1">
      <c r="A527" s="2" t="s">
        <v>529</v>
      </c>
      <c r="B527" s="2" t="s">
        <v>3</v>
      </c>
      <c r="C527" s="1" t="str">
        <f>IFERROR(__xludf.DUMMYFUNCTION("GOOGLETRANSLATE(A527,""en"",""pt-br"")"),"enfeitiçar")</f>
        <v>enfeitiçar</v>
      </c>
      <c r="D527" s="1" t="str">
        <f>IFERROR(__xludf.DUMMYFUNCTION("GOOGLETRANSLATE(B527,""en"",""pt-br"")"),"negativo")</f>
        <v>negativo</v>
      </c>
    </row>
    <row r="528" ht="15.75" customHeight="1">
      <c r="A528" s="2" t="s">
        <v>530</v>
      </c>
      <c r="B528" s="2" t="s">
        <v>3</v>
      </c>
      <c r="C528" s="1" t="str">
        <f>IFERROR(__xludf.DUMMYFUNCTION("GOOGLETRANSLATE(A528,""en"",""pt-br"")"),"viés")</f>
        <v>viés</v>
      </c>
      <c r="D528" s="1" t="str">
        <f>IFERROR(__xludf.DUMMYFUNCTION("GOOGLETRANSLATE(B528,""en"",""pt-br"")"),"negativo")</f>
        <v>negativo</v>
      </c>
    </row>
    <row r="529" ht="15.75" customHeight="1">
      <c r="A529" s="2" t="s">
        <v>531</v>
      </c>
      <c r="B529" s="2" t="s">
        <v>3</v>
      </c>
      <c r="C529" s="1" t="str">
        <f>IFERROR(__xludf.DUMMYFUNCTION("GOOGLETRANSLATE(A529,""en"",""pt-br"")"),"tendenciosa")</f>
        <v>tendenciosa</v>
      </c>
      <c r="D529" s="1" t="str">
        <f>IFERROR(__xludf.DUMMYFUNCTION("GOOGLETRANSLATE(B529,""en"",""pt-br"")"),"negativo")</f>
        <v>negativo</v>
      </c>
    </row>
    <row r="530" ht="15.75" customHeight="1">
      <c r="A530" s="2" t="s">
        <v>532</v>
      </c>
      <c r="B530" s="2" t="s">
        <v>3</v>
      </c>
      <c r="C530" s="1" t="str">
        <f>IFERROR(__xludf.DUMMYFUNCTION("GOOGLETRANSLATE(A530,""en"",""pt-br"")"),"preconceitos")</f>
        <v>preconceitos</v>
      </c>
      <c r="D530" s="1" t="str">
        <f>IFERROR(__xludf.DUMMYFUNCTION("GOOGLETRANSLATE(B530,""en"",""pt-br"")"),"negativo")</f>
        <v>negativo</v>
      </c>
    </row>
    <row r="531" ht="15.75" customHeight="1">
      <c r="A531" s="2" t="s">
        <v>533</v>
      </c>
      <c r="B531" s="2" t="s">
        <v>3</v>
      </c>
      <c r="C531" s="1" t="str">
        <f>IFERROR(__xludf.DUMMYFUNCTION("GOOGLETRANSLATE(A531,""en"",""pt-br"")"),"Bicker")</f>
        <v>Bicker</v>
      </c>
      <c r="D531" s="1" t="str">
        <f>IFERROR(__xludf.DUMMYFUNCTION("GOOGLETRANSLATE(B531,""en"",""pt-br"")"),"negativo")</f>
        <v>negativo</v>
      </c>
    </row>
    <row r="532" ht="15.75" customHeight="1">
      <c r="A532" s="2" t="s">
        <v>534</v>
      </c>
      <c r="B532" s="2" t="s">
        <v>3</v>
      </c>
      <c r="C532" s="1" t="str">
        <f>IFERROR(__xludf.DUMMYFUNCTION("GOOGLETRANSLATE(A532,""en"",""pt-br"")"),"insignificância")</f>
        <v>insignificância</v>
      </c>
      <c r="D532" s="1" t="str">
        <f>IFERROR(__xludf.DUMMYFUNCTION("GOOGLETRANSLATE(B532,""en"",""pt-br"")"),"negativo")</f>
        <v>negativo</v>
      </c>
    </row>
    <row r="533" ht="15.75" customHeight="1">
      <c r="A533" s="2" t="s">
        <v>535</v>
      </c>
      <c r="B533" s="2" t="s">
        <v>3</v>
      </c>
      <c r="C533" s="1" t="str">
        <f>IFERROR(__xludf.DUMMYFUNCTION("GOOGLETRANSLATE(A533,""en"",""pt-br"")"),"licitações fraudulentas")</f>
        <v>licitações fraudulentas</v>
      </c>
      <c r="D533" s="1" t="str">
        <f>IFERROR(__xludf.DUMMYFUNCTION("GOOGLETRANSLATE(B533,""en"",""pt-br"")"),"negativo")</f>
        <v>negativo</v>
      </c>
    </row>
    <row r="534" ht="15.75" customHeight="1">
      <c r="A534" s="2" t="s">
        <v>536</v>
      </c>
      <c r="B534" s="2" t="s">
        <v>3</v>
      </c>
      <c r="C534" s="1" t="str">
        <f>IFERROR(__xludf.DUMMYFUNCTION("GOOGLETRANSLATE(A534,""en"",""pt-br"")"),"fanatismos")</f>
        <v>fanatismos</v>
      </c>
      <c r="D534" s="1" t="str">
        <f>IFERROR(__xludf.DUMMYFUNCTION("GOOGLETRANSLATE(B534,""en"",""pt-br"")"),"negativo")</f>
        <v>negativo</v>
      </c>
    </row>
    <row r="535" ht="15.75" customHeight="1">
      <c r="A535" s="2" t="s">
        <v>537</v>
      </c>
      <c r="B535" s="2" t="s">
        <v>3</v>
      </c>
      <c r="C535" s="1" t="str">
        <f>IFERROR(__xludf.DUMMYFUNCTION("GOOGLETRANSLATE(A535,""en"",""pt-br"")"),"intolerância")</f>
        <v>intolerância</v>
      </c>
      <c r="D535" s="1" t="str">
        <f>IFERROR(__xludf.DUMMYFUNCTION("GOOGLETRANSLATE(B535,""en"",""pt-br"")"),"negativo")</f>
        <v>negativo</v>
      </c>
    </row>
    <row r="536" ht="15.75" customHeight="1">
      <c r="A536" s="2" t="s">
        <v>538</v>
      </c>
      <c r="B536" s="2" t="s">
        <v>3</v>
      </c>
      <c r="C536" s="1" t="str">
        <f>IFERROR(__xludf.DUMMYFUNCTION("GOOGLETRANSLATE(A536,""en"",""pt-br"")"),"cadela")</f>
        <v>cadela</v>
      </c>
      <c r="D536" s="1" t="str">
        <f>IFERROR(__xludf.DUMMYFUNCTION("GOOGLETRANSLATE(B536,""en"",""pt-br"")"),"negativo")</f>
        <v>negativo</v>
      </c>
    </row>
    <row r="537" ht="15.75" customHeight="1">
      <c r="A537" s="2" t="s">
        <v>539</v>
      </c>
      <c r="B537" s="2" t="s">
        <v>3</v>
      </c>
      <c r="C537" s="1" t="str">
        <f>IFERROR(__xludf.DUMMYFUNCTION("GOOGLETRANSLATE(A537,""en"",""pt-br"")"),"bitchy")</f>
        <v>bitchy</v>
      </c>
      <c r="D537" s="1" t="str">
        <f>IFERROR(__xludf.DUMMYFUNCTION("GOOGLETRANSLATE(B537,""en"",""pt-br"")"),"negativo")</f>
        <v>negativo</v>
      </c>
    </row>
    <row r="538" ht="15.75" customHeight="1">
      <c r="A538" s="2" t="s">
        <v>540</v>
      </c>
      <c r="B538" s="2" t="s">
        <v>3</v>
      </c>
      <c r="C538" s="1" t="str">
        <f>IFERROR(__xludf.DUMMYFUNCTION("GOOGLETRANSLATE(A538,""en"",""pt-br"")"),"mordendo")</f>
        <v>mordendo</v>
      </c>
      <c r="D538" s="1" t="str">
        <f>IFERROR(__xludf.DUMMYFUNCTION("GOOGLETRANSLATE(B538,""en"",""pt-br"")"),"negativo")</f>
        <v>negativo</v>
      </c>
    </row>
    <row r="539" ht="15.75" customHeight="1">
      <c r="A539" s="2" t="s">
        <v>541</v>
      </c>
      <c r="B539" s="2" t="s">
        <v>3</v>
      </c>
      <c r="C539" s="1" t="str">
        <f>IFERROR(__xludf.DUMMYFUNCTION("GOOGLETRANSLATE(A539,""en"",""pt-br"")"),"bitingly")</f>
        <v>bitingly</v>
      </c>
      <c r="D539" s="1" t="str">
        <f>IFERROR(__xludf.DUMMYFUNCTION("GOOGLETRANSLATE(B539,""en"",""pt-br"")"),"negativo")</f>
        <v>negativo</v>
      </c>
    </row>
    <row r="540" ht="15.75" customHeight="1">
      <c r="A540" s="2" t="s">
        <v>542</v>
      </c>
      <c r="B540" s="2" t="s">
        <v>3</v>
      </c>
      <c r="C540" s="1" t="str">
        <f>IFERROR(__xludf.DUMMYFUNCTION("GOOGLETRANSLATE(A540,""en"",""pt-br"")"),"amargo")</f>
        <v>amargo</v>
      </c>
      <c r="D540" s="1" t="str">
        <f>IFERROR(__xludf.DUMMYFUNCTION("GOOGLETRANSLATE(B540,""en"",""pt-br"")"),"negativo")</f>
        <v>negativo</v>
      </c>
    </row>
    <row r="541" ht="15.75" customHeight="1">
      <c r="A541" s="2" t="s">
        <v>543</v>
      </c>
      <c r="B541" s="2" t="s">
        <v>3</v>
      </c>
      <c r="C541" s="1" t="str">
        <f>IFERROR(__xludf.DUMMYFUNCTION("GOOGLETRANSLATE(A541,""en"",""pt-br"")"),"amargamente")</f>
        <v>amargamente</v>
      </c>
      <c r="D541" s="1" t="str">
        <f>IFERROR(__xludf.DUMMYFUNCTION("GOOGLETRANSLATE(B541,""en"",""pt-br"")"),"negativo")</f>
        <v>negativo</v>
      </c>
    </row>
    <row r="542" ht="15.75" customHeight="1">
      <c r="A542" s="2" t="s">
        <v>544</v>
      </c>
      <c r="B542" s="2" t="s">
        <v>3</v>
      </c>
      <c r="C542" s="1" t="str">
        <f>IFERROR(__xludf.DUMMYFUNCTION("GOOGLETRANSLATE(A542,""en"",""pt-br"")"),"amargura")</f>
        <v>amargura</v>
      </c>
      <c r="D542" s="1" t="str">
        <f>IFERROR(__xludf.DUMMYFUNCTION("GOOGLETRANSLATE(B542,""en"",""pt-br"")"),"negativo")</f>
        <v>negativo</v>
      </c>
    </row>
    <row r="543" ht="15.75" customHeight="1">
      <c r="A543" s="2" t="s">
        <v>545</v>
      </c>
      <c r="B543" s="2" t="s">
        <v>3</v>
      </c>
      <c r="C543" s="1" t="str">
        <f>IFERROR(__xludf.DUMMYFUNCTION("GOOGLETRANSLATE(A543,""en"",""pt-br"")"),"bizarro")</f>
        <v>bizarro</v>
      </c>
      <c r="D543" s="1" t="str">
        <f>IFERROR(__xludf.DUMMYFUNCTION("GOOGLETRANSLATE(B543,""en"",""pt-br"")"),"negativo")</f>
        <v>negativo</v>
      </c>
    </row>
    <row r="544" ht="15.75" customHeight="1">
      <c r="A544" s="2" t="s">
        <v>546</v>
      </c>
      <c r="B544" s="2" t="s">
        <v>3</v>
      </c>
      <c r="C544" s="1" t="str">
        <f>IFERROR(__xludf.DUMMYFUNCTION("GOOGLETRANSLATE(A544,""en"",""pt-br"")"),"tagarela")</f>
        <v>tagarela</v>
      </c>
      <c r="D544" s="1" t="str">
        <f>IFERROR(__xludf.DUMMYFUNCTION("GOOGLETRANSLATE(B544,""en"",""pt-br"")"),"negativo")</f>
        <v>negativo</v>
      </c>
    </row>
    <row r="545" ht="15.75" customHeight="1">
      <c r="A545" s="2" t="s">
        <v>547</v>
      </c>
      <c r="B545" s="2" t="s">
        <v>3</v>
      </c>
      <c r="C545" s="1" t="str">
        <f>IFERROR(__xludf.DUMMYFUNCTION("GOOGLETRANSLATE(A545,""en"",""pt-br"")"),"indiscreto")</f>
        <v>indiscreto</v>
      </c>
      <c r="D545" s="1" t="str">
        <f>IFERROR(__xludf.DUMMYFUNCTION("GOOGLETRANSLATE(B545,""en"",""pt-br"")"),"negativo")</f>
        <v>negativo</v>
      </c>
    </row>
    <row r="546" ht="15.75" customHeight="1">
      <c r="A546" s="2" t="s">
        <v>548</v>
      </c>
      <c r="B546" s="2" t="s">
        <v>3</v>
      </c>
      <c r="C546" s="1" t="str">
        <f>IFERROR(__xludf.DUMMYFUNCTION("GOOGLETRANSLATE(A546,""en"",""pt-br"")"),"chantagem")</f>
        <v>chantagem</v>
      </c>
      <c r="D546" s="1" t="str">
        <f>IFERROR(__xludf.DUMMYFUNCTION("GOOGLETRANSLATE(B546,""en"",""pt-br"")"),"negativo")</f>
        <v>negativo</v>
      </c>
    </row>
    <row r="547" ht="15.75" customHeight="1">
      <c r="A547" s="2" t="s">
        <v>549</v>
      </c>
      <c r="B547" s="2" t="s">
        <v>3</v>
      </c>
      <c r="C547" s="1" t="str">
        <f>IFERROR(__xludf.DUMMYFUNCTION("GOOGLETRANSLATE(A547,""en"",""pt-br"")"),"blah")</f>
        <v>blah</v>
      </c>
      <c r="D547" s="1" t="str">
        <f>IFERROR(__xludf.DUMMYFUNCTION("GOOGLETRANSLATE(B547,""en"",""pt-br"")"),"negativo")</f>
        <v>negativo</v>
      </c>
    </row>
    <row r="548" ht="15.75" customHeight="1">
      <c r="A548" s="2" t="s">
        <v>550</v>
      </c>
      <c r="B548" s="2" t="s">
        <v>3</v>
      </c>
      <c r="C548" s="1" t="str">
        <f>IFERROR(__xludf.DUMMYFUNCTION("GOOGLETRANSLATE(A548,""en"",""pt-br"")"),"culpa")</f>
        <v>culpa</v>
      </c>
      <c r="D548" s="1" t="str">
        <f>IFERROR(__xludf.DUMMYFUNCTION("GOOGLETRANSLATE(B548,""en"",""pt-br"")"),"negativo")</f>
        <v>negativo</v>
      </c>
    </row>
    <row r="549" ht="15.75" customHeight="1">
      <c r="A549" s="2" t="s">
        <v>551</v>
      </c>
      <c r="B549" s="2" t="s">
        <v>14</v>
      </c>
      <c r="C549" s="1" t="str">
        <f>IFERROR(__xludf.DUMMYFUNCTION("GOOGLETRANSLATE(A549,""en"",""pt-br"")"),"sem culpa")</f>
        <v>sem culpa</v>
      </c>
      <c r="D549" s="1" t="str">
        <f>IFERROR(__xludf.DUMMYFUNCTION("GOOGLETRANSLATE(B549,""en"",""pt-br"")"),"positivo")</f>
        <v>positivo</v>
      </c>
    </row>
    <row r="550" ht="15.75" customHeight="1">
      <c r="A550" s="2" t="s">
        <v>552</v>
      </c>
      <c r="B550" s="2" t="s">
        <v>3</v>
      </c>
      <c r="C550" s="1" t="str">
        <f>IFERROR(__xludf.DUMMYFUNCTION("GOOGLETRANSLATE(A550,""en"",""pt-br"")"),"condenável")</f>
        <v>condenável</v>
      </c>
      <c r="D550" s="1" t="str">
        <f>IFERROR(__xludf.DUMMYFUNCTION("GOOGLETRANSLATE(B550,""en"",""pt-br"")"),"negativo")</f>
        <v>negativo</v>
      </c>
    </row>
    <row r="551" ht="15.75" customHeight="1">
      <c r="A551" s="2" t="s">
        <v>553</v>
      </c>
      <c r="B551" s="2" t="s">
        <v>3</v>
      </c>
      <c r="C551" s="1" t="str">
        <f>IFERROR(__xludf.DUMMYFUNCTION("GOOGLETRANSLATE(A551,""en"",""pt-br"")"),"suave")</f>
        <v>suave</v>
      </c>
      <c r="D551" s="1" t="str">
        <f>IFERROR(__xludf.DUMMYFUNCTION("GOOGLETRANSLATE(B551,""en"",""pt-br"")"),"negativo")</f>
        <v>negativo</v>
      </c>
    </row>
    <row r="552" ht="15.75" customHeight="1">
      <c r="A552" s="2" t="s">
        <v>554</v>
      </c>
      <c r="B552" s="2" t="s">
        <v>3</v>
      </c>
      <c r="C552" s="1" t="str">
        <f>IFERROR(__xludf.DUMMYFUNCTION("GOOGLETRANSLATE(A552,""en"",""pt-br"")"),"acariciar")</f>
        <v>acariciar</v>
      </c>
      <c r="D552" s="1" t="str">
        <f>IFERROR(__xludf.DUMMYFUNCTION("GOOGLETRANSLATE(B552,""en"",""pt-br"")"),"negativo")</f>
        <v>negativo</v>
      </c>
    </row>
    <row r="553" ht="15.75" customHeight="1">
      <c r="A553" s="2" t="s">
        <v>555</v>
      </c>
      <c r="B553" s="2" t="s">
        <v>3</v>
      </c>
      <c r="C553" s="1" t="str">
        <f>IFERROR(__xludf.DUMMYFUNCTION("GOOGLETRANSLATE(A553,""en"",""pt-br"")"),"blasfemar")</f>
        <v>blasfemar</v>
      </c>
      <c r="D553" s="1" t="str">
        <f>IFERROR(__xludf.DUMMYFUNCTION("GOOGLETRANSLATE(B553,""en"",""pt-br"")"),"negativo")</f>
        <v>negativo</v>
      </c>
    </row>
    <row r="554" ht="15.75" customHeight="1">
      <c r="A554" s="2" t="s">
        <v>556</v>
      </c>
      <c r="B554" s="2" t="s">
        <v>3</v>
      </c>
      <c r="C554" s="1" t="str">
        <f>IFERROR(__xludf.DUMMYFUNCTION("GOOGLETRANSLATE(A554,""en"",""pt-br"")"),"blasfemo")</f>
        <v>blasfemo</v>
      </c>
      <c r="D554" s="1" t="str">
        <f>IFERROR(__xludf.DUMMYFUNCTION("GOOGLETRANSLATE(B554,""en"",""pt-br"")"),"negativo")</f>
        <v>negativo</v>
      </c>
    </row>
    <row r="555" ht="15.75" customHeight="1">
      <c r="A555" s="2" t="s">
        <v>557</v>
      </c>
      <c r="B555" s="2" t="s">
        <v>3</v>
      </c>
      <c r="C555" s="1" t="str">
        <f>IFERROR(__xludf.DUMMYFUNCTION("GOOGLETRANSLATE(A555,""en"",""pt-br"")"),"blasfêmia")</f>
        <v>blasfêmia</v>
      </c>
      <c r="D555" s="1" t="str">
        <f>IFERROR(__xludf.DUMMYFUNCTION("GOOGLETRANSLATE(B555,""en"",""pt-br"")"),"negativo")</f>
        <v>negativo</v>
      </c>
    </row>
    <row r="556" ht="15.75" customHeight="1">
      <c r="A556" s="2" t="s">
        <v>558</v>
      </c>
      <c r="B556" s="2" t="s">
        <v>3</v>
      </c>
      <c r="C556" s="1" t="str">
        <f>IFERROR(__xludf.DUMMYFUNCTION("GOOGLETRANSLATE(A556,""en"",""pt-br"")"),"jateada")</f>
        <v>jateada</v>
      </c>
      <c r="D556" s="1" t="str">
        <f>IFERROR(__xludf.DUMMYFUNCTION("GOOGLETRANSLATE(B556,""en"",""pt-br"")"),"negativo")</f>
        <v>negativo</v>
      </c>
    </row>
    <row r="557" ht="15.75" customHeight="1">
      <c r="A557" s="2" t="s">
        <v>559</v>
      </c>
      <c r="B557" s="2" t="s">
        <v>3</v>
      </c>
      <c r="C557" s="1" t="str">
        <f>IFERROR(__xludf.DUMMYFUNCTION("GOOGLETRANSLATE(A557,""en"",""pt-br"")"),"ruidoso")</f>
        <v>ruidoso</v>
      </c>
      <c r="D557" s="1" t="str">
        <f>IFERROR(__xludf.DUMMYFUNCTION("GOOGLETRANSLATE(B557,""en"",""pt-br"")"),"negativo")</f>
        <v>negativo</v>
      </c>
    </row>
    <row r="558" ht="15.75" customHeight="1">
      <c r="A558" s="2" t="s">
        <v>560</v>
      </c>
      <c r="B558" s="2" t="s">
        <v>3</v>
      </c>
      <c r="C558" s="1" t="str">
        <f>IFERROR(__xludf.DUMMYFUNCTION("GOOGLETRANSLATE(A558,""en"",""pt-br"")"),"descaradamente")</f>
        <v>descaradamente</v>
      </c>
      <c r="D558" s="1" t="str">
        <f>IFERROR(__xludf.DUMMYFUNCTION("GOOGLETRANSLATE(B558,""en"",""pt-br"")"),"negativo")</f>
        <v>negativo</v>
      </c>
    </row>
    <row r="559" ht="15.75" customHeight="1">
      <c r="A559" s="2" t="s">
        <v>561</v>
      </c>
      <c r="B559" s="2" t="s">
        <v>3</v>
      </c>
      <c r="C559" s="1" t="str">
        <f>IFERROR(__xludf.DUMMYFUNCTION("GOOGLETRANSLATE(A559,""en"",""pt-br"")"),"tagarelice")</f>
        <v>tagarelice</v>
      </c>
      <c r="D559" s="1" t="str">
        <f>IFERROR(__xludf.DUMMYFUNCTION("GOOGLETRANSLATE(B559,""en"",""pt-br"")"),"negativo")</f>
        <v>negativo</v>
      </c>
    </row>
    <row r="560" ht="15.75" customHeight="1">
      <c r="A560" s="2" t="s">
        <v>562</v>
      </c>
      <c r="B560" s="2" t="s">
        <v>3</v>
      </c>
      <c r="C560" s="1" t="str">
        <f>IFERROR(__xludf.DUMMYFUNCTION("GOOGLETRANSLATE(A560,""en"",""pt-br"")"),"ermo")</f>
        <v>ermo</v>
      </c>
      <c r="D560" s="1" t="str">
        <f>IFERROR(__xludf.DUMMYFUNCTION("GOOGLETRANSLATE(B560,""en"",""pt-br"")"),"negativo")</f>
        <v>negativo</v>
      </c>
    </row>
    <row r="561" ht="15.75" customHeight="1">
      <c r="A561" s="2" t="s">
        <v>563</v>
      </c>
      <c r="B561" s="2" t="s">
        <v>3</v>
      </c>
      <c r="C561" s="1" t="str">
        <f>IFERROR(__xludf.DUMMYFUNCTION("GOOGLETRANSLATE(A561,""en"",""pt-br"")"),"tristemente")</f>
        <v>tristemente</v>
      </c>
      <c r="D561" s="1" t="str">
        <f>IFERROR(__xludf.DUMMYFUNCTION("GOOGLETRANSLATE(B561,""en"",""pt-br"")"),"negativo")</f>
        <v>negativo</v>
      </c>
    </row>
    <row r="562" ht="15.75" customHeight="1">
      <c r="A562" s="2" t="s">
        <v>564</v>
      </c>
      <c r="B562" s="2" t="s">
        <v>3</v>
      </c>
      <c r="C562" s="1" t="str">
        <f>IFERROR(__xludf.DUMMYFUNCTION("GOOGLETRANSLATE(A562,""en"",""pt-br"")"),"frieza")</f>
        <v>frieza</v>
      </c>
      <c r="D562" s="1" t="str">
        <f>IFERROR(__xludf.DUMMYFUNCTION("GOOGLETRANSLATE(B562,""en"",""pt-br"")"),"negativo")</f>
        <v>negativo</v>
      </c>
    </row>
    <row r="563" ht="15.75" customHeight="1">
      <c r="A563" s="2" t="s">
        <v>565</v>
      </c>
      <c r="B563" s="2" t="s">
        <v>3</v>
      </c>
      <c r="C563" s="1" t="str">
        <f>IFERROR(__xludf.DUMMYFUNCTION("GOOGLETRANSLATE(A563,""en"",""pt-br"")"),"sangrar")</f>
        <v>sangrar</v>
      </c>
      <c r="D563" s="1" t="str">
        <f>IFERROR(__xludf.DUMMYFUNCTION("GOOGLETRANSLATE(B563,""en"",""pt-br"")"),"negativo")</f>
        <v>negativo</v>
      </c>
    </row>
    <row r="564" ht="15.75" customHeight="1">
      <c r="A564" s="2" t="s">
        <v>566</v>
      </c>
      <c r="B564" s="2" t="s">
        <v>3</v>
      </c>
      <c r="C564" s="1" t="str">
        <f>IFERROR(__xludf.DUMMYFUNCTION("GOOGLETRANSLATE(A564,""en"",""pt-br"")"),"sangramento")</f>
        <v>sangramento</v>
      </c>
      <c r="D564" s="1" t="str">
        <f>IFERROR(__xludf.DUMMYFUNCTION("GOOGLETRANSLATE(B564,""en"",""pt-br"")"),"negativo")</f>
        <v>negativo</v>
      </c>
    </row>
    <row r="565" ht="15.75" customHeight="1">
      <c r="A565" s="2" t="s">
        <v>567</v>
      </c>
      <c r="B565" s="2" t="s">
        <v>3</v>
      </c>
      <c r="C565" s="1" t="str">
        <f>IFERROR(__xludf.DUMMYFUNCTION("GOOGLETRANSLATE(A565,""en"",""pt-br"")"),"sangramentos")</f>
        <v>sangramentos</v>
      </c>
      <c r="D565" s="1" t="str">
        <f>IFERROR(__xludf.DUMMYFUNCTION("GOOGLETRANSLATE(B565,""en"",""pt-br"")"),"negativo")</f>
        <v>negativo</v>
      </c>
    </row>
    <row r="566" ht="15.75" customHeight="1">
      <c r="A566" s="2" t="s">
        <v>568</v>
      </c>
      <c r="B566" s="2" t="s">
        <v>3</v>
      </c>
      <c r="C566" s="1" t="str">
        <f>IFERROR(__xludf.DUMMYFUNCTION("GOOGLETRANSLATE(A566,""en"",""pt-br"")"),"defeito")</f>
        <v>defeito</v>
      </c>
      <c r="D566" s="1" t="str">
        <f>IFERROR(__xludf.DUMMYFUNCTION("GOOGLETRANSLATE(B566,""en"",""pt-br"")"),"negativo")</f>
        <v>negativo</v>
      </c>
    </row>
    <row r="567" ht="15.75" customHeight="1">
      <c r="A567" s="2" t="s">
        <v>569</v>
      </c>
      <c r="B567" s="2" t="s">
        <v>14</v>
      </c>
      <c r="C567" s="1" t="str">
        <f>IFERROR(__xludf.DUMMYFUNCTION("GOOGLETRANSLATE(A567,""en"",""pt-br"")"),"abençoar")</f>
        <v>abençoar</v>
      </c>
      <c r="D567" s="1" t="str">
        <f>IFERROR(__xludf.DUMMYFUNCTION("GOOGLETRANSLATE(B567,""en"",""pt-br"")"),"positivo")</f>
        <v>positivo</v>
      </c>
    </row>
    <row r="568" ht="15.75" customHeight="1">
      <c r="A568" s="2" t="s">
        <v>570</v>
      </c>
      <c r="B568" s="2" t="s">
        <v>14</v>
      </c>
      <c r="C568" s="1" t="str">
        <f>IFERROR(__xludf.DUMMYFUNCTION("GOOGLETRANSLATE(A568,""en"",""pt-br"")"),"bênção")</f>
        <v>bênção</v>
      </c>
      <c r="D568" s="1" t="str">
        <f>IFERROR(__xludf.DUMMYFUNCTION("GOOGLETRANSLATE(B568,""en"",""pt-br"")"),"positivo")</f>
        <v>positivo</v>
      </c>
    </row>
    <row r="569" ht="15.75" customHeight="1">
      <c r="A569" s="2" t="s">
        <v>571</v>
      </c>
      <c r="B569" s="2" t="s">
        <v>3</v>
      </c>
      <c r="C569" s="1" t="str">
        <f>IFERROR(__xludf.DUMMYFUNCTION("GOOGLETRANSLATE(A569,""en"",""pt-br"")"),"cego")</f>
        <v>cego</v>
      </c>
      <c r="D569" s="1" t="str">
        <f>IFERROR(__xludf.DUMMYFUNCTION("GOOGLETRANSLATE(B569,""en"",""pt-br"")"),"negativo")</f>
        <v>negativo</v>
      </c>
    </row>
    <row r="570" ht="15.75" customHeight="1">
      <c r="A570" s="2" t="s">
        <v>572</v>
      </c>
      <c r="B570" s="2" t="s">
        <v>3</v>
      </c>
      <c r="C570" s="1" t="str">
        <f>IFERROR(__xludf.DUMMYFUNCTION("GOOGLETRANSLATE(A570,""en"",""pt-br"")"),"cegando")</f>
        <v>cegando</v>
      </c>
      <c r="D570" s="1" t="str">
        <f>IFERROR(__xludf.DUMMYFUNCTION("GOOGLETRANSLATE(B570,""en"",""pt-br"")"),"negativo")</f>
        <v>negativo</v>
      </c>
    </row>
    <row r="571" ht="15.75" customHeight="1">
      <c r="A571" s="2" t="s">
        <v>573</v>
      </c>
      <c r="B571" s="2" t="s">
        <v>3</v>
      </c>
      <c r="C571" s="1" t="str">
        <f>IFERROR(__xludf.DUMMYFUNCTION("GOOGLETRANSLATE(A571,""en"",""pt-br"")"),"blindingly")</f>
        <v>blindingly</v>
      </c>
      <c r="D571" s="1" t="str">
        <f>IFERROR(__xludf.DUMMYFUNCTION("GOOGLETRANSLATE(B571,""en"",""pt-br"")"),"negativo")</f>
        <v>negativo</v>
      </c>
    </row>
    <row r="572" ht="15.75" customHeight="1">
      <c r="A572" s="2" t="s">
        <v>574</v>
      </c>
      <c r="B572" s="2" t="s">
        <v>3</v>
      </c>
      <c r="C572" s="1" t="str">
        <f>IFERROR(__xludf.DUMMYFUNCTION("GOOGLETRANSLATE(A572,""en"",""pt-br"")"),"lado Cego")</f>
        <v>lado Cego</v>
      </c>
      <c r="D572" s="1" t="str">
        <f>IFERROR(__xludf.DUMMYFUNCTION("GOOGLETRANSLATE(B572,""en"",""pt-br"")"),"negativo")</f>
        <v>negativo</v>
      </c>
    </row>
    <row r="573" ht="15.75" customHeight="1">
      <c r="A573" s="2" t="s">
        <v>575</v>
      </c>
      <c r="B573" s="2" t="s">
        <v>14</v>
      </c>
      <c r="C573" s="1" t="str">
        <f>IFERROR(__xludf.DUMMYFUNCTION("GOOGLETRANSLATE(A573,""en"",""pt-br"")"),"felicidade")</f>
        <v>felicidade</v>
      </c>
      <c r="D573" s="1" t="str">
        <f>IFERROR(__xludf.DUMMYFUNCTION("GOOGLETRANSLATE(B573,""en"",""pt-br"")"),"positivo")</f>
        <v>positivo</v>
      </c>
    </row>
    <row r="574" ht="15.75" customHeight="1">
      <c r="A574" s="2" t="s">
        <v>576</v>
      </c>
      <c r="B574" s="2" t="s">
        <v>14</v>
      </c>
      <c r="C574" s="1" t="str">
        <f>IFERROR(__xludf.DUMMYFUNCTION("GOOGLETRANSLATE(A574,""en"",""pt-br"")"),"feliz")</f>
        <v>feliz</v>
      </c>
      <c r="D574" s="1" t="str">
        <f>IFERROR(__xludf.DUMMYFUNCTION("GOOGLETRANSLATE(B574,""en"",""pt-br"")"),"positivo")</f>
        <v>positivo</v>
      </c>
    </row>
    <row r="575" ht="15.75" customHeight="1">
      <c r="A575" s="2" t="s">
        <v>577</v>
      </c>
      <c r="B575" s="2" t="s">
        <v>14</v>
      </c>
      <c r="C575" s="1" t="str">
        <f>IFERROR(__xludf.DUMMYFUNCTION("GOOGLETRANSLATE(A575,""en"",""pt-br"")"),"blissfully")</f>
        <v>blissfully</v>
      </c>
      <c r="D575" s="1" t="str">
        <f>IFERROR(__xludf.DUMMYFUNCTION("GOOGLETRANSLATE(B575,""en"",""pt-br"")"),"positivo")</f>
        <v>positivo</v>
      </c>
    </row>
    <row r="576" ht="15.75" customHeight="1">
      <c r="A576" s="2" t="s">
        <v>578</v>
      </c>
      <c r="B576" s="2" t="s">
        <v>3</v>
      </c>
      <c r="C576" s="1" t="str">
        <f>IFERROR(__xludf.DUMMYFUNCTION("GOOGLETRANSLATE(A576,""en"",""pt-br"")"),"bolha")</f>
        <v>bolha</v>
      </c>
      <c r="D576" s="1" t="str">
        <f>IFERROR(__xludf.DUMMYFUNCTION("GOOGLETRANSLATE(B576,""en"",""pt-br"")"),"negativo")</f>
        <v>negativo</v>
      </c>
    </row>
    <row r="577" ht="15.75" customHeight="1">
      <c r="A577" s="2" t="s">
        <v>579</v>
      </c>
      <c r="B577" s="2" t="s">
        <v>3</v>
      </c>
      <c r="C577" s="1" t="str">
        <f>IFERROR(__xludf.DUMMYFUNCTION("GOOGLETRANSLATE(A577,""en"",""pt-br"")"),"formação de bolhas")</f>
        <v>formação de bolhas</v>
      </c>
      <c r="D577" s="1" t="str">
        <f>IFERROR(__xludf.DUMMYFUNCTION("GOOGLETRANSLATE(B577,""en"",""pt-br"")"),"negativo")</f>
        <v>negativo</v>
      </c>
    </row>
    <row r="578" ht="15.75" customHeight="1">
      <c r="A578" s="2" t="s">
        <v>580</v>
      </c>
      <c r="B578" s="2" t="s">
        <v>14</v>
      </c>
      <c r="C578" s="1" t="str">
        <f>IFERROR(__xludf.DUMMYFUNCTION("GOOGLETRANSLATE(A578,""en"",""pt-br"")"),"alegre")</f>
        <v>alegre</v>
      </c>
      <c r="D578" s="1" t="str">
        <f>IFERROR(__xludf.DUMMYFUNCTION("GOOGLETRANSLATE(B578,""en"",""pt-br"")"),"positivo")</f>
        <v>positivo</v>
      </c>
    </row>
    <row r="579" ht="15.75" customHeight="1">
      <c r="A579" s="2" t="s">
        <v>581</v>
      </c>
      <c r="B579" s="2" t="s">
        <v>3</v>
      </c>
      <c r="C579" s="1" t="str">
        <f>IFERROR(__xludf.DUMMYFUNCTION("GOOGLETRANSLATE(A579,""en"",""pt-br"")"),"inchado")</f>
        <v>inchado</v>
      </c>
      <c r="D579" s="1" t="str">
        <f>IFERROR(__xludf.DUMMYFUNCTION("GOOGLETRANSLATE(B579,""en"",""pt-br"")"),"negativo")</f>
        <v>negativo</v>
      </c>
    </row>
    <row r="580" ht="15.75" customHeight="1">
      <c r="A580" s="2" t="s">
        <v>582</v>
      </c>
      <c r="B580" s="2" t="s">
        <v>3</v>
      </c>
      <c r="C580" s="1" t="str">
        <f>IFERROR(__xludf.DUMMYFUNCTION("GOOGLETRANSLATE(A580,""en"",""pt-br"")"),"bloqueio")</f>
        <v>bloqueio</v>
      </c>
      <c r="D580" s="1" t="str">
        <f>IFERROR(__xludf.DUMMYFUNCTION("GOOGLETRANSLATE(B580,""en"",""pt-br"")"),"negativo")</f>
        <v>negativo</v>
      </c>
    </row>
    <row r="581" ht="15.75" customHeight="1">
      <c r="A581" s="2" t="s">
        <v>583</v>
      </c>
      <c r="B581" s="2" t="s">
        <v>14</v>
      </c>
      <c r="C581" s="1" t="str">
        <f>IFERROR(__xludf.DUMMYFUNCTION("GOOGLETRANSLATE(A581,""en"",""pt-br"")"),"sucesso")</f>
        <v>sucesso</v>
      </c>
      <c r="D581" s="1" t="str">
        <f>IFERROR(__xludf.DUMMYFUNCTION("GOOGLETRANSLATE(B581,""en"",""pt-br"")"),"positivo")</f>
        <v>positivo</v>
      </c>
    </row>
    <row r="582" ht="15.75" customHeight="1">
      <c r="A582" s="2" t="s">
        <v>584</v>
      </c>
      <c r="B582" s="2" t="s">
        <v>3</v>
      </c>
      <c r="C582" s="1" t="str">
        <f>IFERROR(__xludf.DUMMYFUNCTION("GOOGLETRANSLATE(A582,""en"",""pt-br"")"),"estúpido")</f>
        <v>estúpido</v>
      </c>
      <c r="D582" s="1" t="str">
        <f>IFERROR(__xludf.DUMMYFUNCTION("GOOGLETRANSLATE(B582,""en"",""pt-br"")"),"negativo")</f>
        <v>negativo</v>
      </c>
    </row>
    <row r="583" ht="15.75" customHeight="1">
      <c r="A583" s="2" t="s">
        <v>585</v>
      </c>
      <c r="B583" s="2" t="s">
        <v>3</v>
      </c>
      <c r="C583" s="1" t="str">
        <f>IFERROR(__xludf.DUMMYFUNCTION("GOOGLETRANSLATE(A583,""en"",""pt-br"")"),"derramamento de sangue")</f>
        <v>derramamento de sangue</v>
      </c>
      <c r="D583" s="1" t="str">
        <f>IFERROR(__xludf.DUMMYFUNCTION("GOOGLETRANSLATE(B583,""en"",""pt-br"")"),"negativo")</f>
        <v>negativo</v>
      </c>
    </row>
    <row r="584" ht="15.75" customHeight="1">
      <c r="A584" s="2" t="s">
        <v>586</v>
      </c>
      <c r="B584" s="2" t="s">
        <v>3</v>
      </c>
      <c r="C584" s="1" t="str">
        <f>IFERROR(__xludf.DUMMYFUNCTION("GOOGLETRANSLATE(A584,""en"",""pt-br"")"),"sanguinário")</f>
        <v>sanguinário</v>
      </c>
      <c r="D584" s="1" t="str">
        <f>IFERROR(__xludf.DUMMYFUNCTION("GOOGLETRANSLATE(B584,""en"",""pt-br"")"),"negativo")</f>
        <v>negativo</v>
      </c>
    </row>
    <row r="585" ht="15.75" customHeight="1">
      <c r="A585" s="2" t="s">
        <v>587</v>
      </c>
      <c r="B585" s="2" t="s">
        <v>3</v>
      </c>
      <c r="C585" s="1" t="str">
        <f>IFERROR(__xludf.DUMMYFUNCTION("GOOGLETRANSLATE(A585,""en"",""pt-br"")"),"sangrento")</f>
        <v>sangrento</v>
      </c>
      <c r="D585" s="1" t="str">
        <f>IFERROR(__xludf.DUMMYFUNCTION("GOOGLETRANSLATE(B585,""en"",""pt-br"")"),"negativo")</f>
        <v>negativo</v>
      </c>
    </row>
    <row r="586" ht="15.75" customHeight="1">
      <c r="A586" s="2" t="s">
        <v>588</v>
      </c>
      <c r="B586" s="2" t="s">
        <v>14</v>
      </c>
      <c r="C586" s="1" t="str">
        <f>IFERROR(__xludf.DUMMYFUNCTION("GOOGLETRANSLATE(A586,""en"",""pt-br"")"),"flor")</f>
        <v>flor</v>
      </c>
      <c r="D586" s="1" t="str">
        <f>IFERROR(__xludf.DUMMYFUNCTION("GOOGLETRANSLATE(B586,""en"",""pt-br"")"),"positivo")</f>
        <v>positivo</v>
      </c>
    </row>
    <row r="587" ht="15.75" customHeight="1">
      <c r="A587" s="2" t="s">
        <v>589</v>
      </c>
      <c r="B587" s="2" t="s">
        <v>14</v>
      </c>
      <c r="C587" s="1" t="str">
        <f>IFERROR(__xludf.DUMMYFUNCTION("GOOGLETRANSLATE(A587,""en"",""pt-br"")"),"Flor")</f>
        <v>Flor</v>
      </c>
      <c r="D587" s="1" t="str">
        <f>IFERROR(__xludf.DUMMYFUNCTION("GOOGLETRANSLATE(B587,""en"",""pt-br"")"),"positivo")</f>
        <v>positivo</v>
      </c>
    </row>
    <row r="588" ht="15.75" customHeight="1">
      <c r="A588" s="2" t="s">
        <v>590</v>
      </c>
      <c r="B588" s="2" t="s">
        <v>3</v>
      </c>
      <c r="C588" s="1" t="str">
        <f>IFERROR(__xludf.DUMMYFUNCTION("GOOGLETRANSLATE(A588,""en"",""pt-br"")"),"manchado")</f>
        <v>manchado</v>
      </c>
      <c r="D588" s="1" t="str">
        <f>IFERROR(__xludf.DUMMYFUNCTION("GOOGLETRANSLATE(B588,""en"",""pt-br"")"),"negativo")</f>
        <v>negativo</v>
      </c>
    </row>
    <row r="589" ht="15.75" customHeight="1">
      <c r="A589" s="2" t="s">
        <v>591</v>
      </c>
      <c r="B589" s="2" t="s">
        <v>3</v>
      </c>
      <c r="C589" s="1" t="str">
        <f>IFERROR(__xludf.DUMMYFUNCTION("GOOGLETRANSLATE(A589,""en"",""pt-br"")"),"golpe")</f>
        <v>golpe</v>
      </c>
      <c r="D589" s="1" t="str">
        <f>IFERROR(__xludf.DUMMYFUNCTION("GOOGLETRANSLATE(B589,""en"",""pt-br"")"),"negativo")</f>
        <v>negativo</v>
      </c>
    </row>
    <row r="590" ht="15.75" customHeight="1">
      <c r="A590" s="2" t="s">
        <v>592</v>
      </c>
      <c r="B590" s="2" t="s">
        <v>3</v>
      </c>
      <c r="C590" s="1" t="str">
        <f>IFERROR(__xludf.DUMMYFUNCTION("GOOGLETRANSLATE(A590,""en"",""pt-br"")"),"mancada")</f>
        <v>mancada</v>
      </c>
      <c r="D590" s="1" t="str">
        <f>IFERROR(__xludf.DUMMYFUNCTION("GOOGLETRANSLATE(B590,""en"",""pt-br"")"),"negativo")</f>
        <v>negativo</v>
      </c>
    </row>
    <row r="591" ht="15.75" customHeight="1">
      <c r="A591" s="2" t="s">
        <v>593</v>
      </c>
      <c r="B591" s="2" t="s">
        <v>3</v>
      </c>
      <c r="C591" s="1" t="str">
        <f>IFERROR(__xludf.DUMMYFUNCTION("GOOGLETRANSLATE(A591,""en"",""pt-br"")"),"desajeitado")</f>
        <v>desajeitado</v>
      </c>
      <c r="D591" s="1" t="str">
        <f>IFERROR(__xludf.DUMMYFUNCTION("GOOGLETRANSLATE(B591,""en"",""pt-br"")"),"negativo")</f>
        <v>negativo</v>
      </c>
    </row>
    <row r="592" ht="15.75" customHeight="1">
      <c r="A592" s="2" t="s">
        <v>594</v>
      </c>
      <c r="B592" s="2" t="s">
        <v>3</v>
      </c>
      <c r="C592" s="1" t="str">
        <f>IFERROR(__xludf.DUMMYFUNCTION("GOOGLETRANSLATE(A592,""en"",""pt-br"")"),"erros")</f>
        <v>erros</v>
      </c>
      <c r="D592" s="1" t="str">
        <f>IFERROR(__xludf.DUMMYFUNCTION("GOOGLETRANSLATE(B592,""en"",""pt-br"")"),"negativo")</f>
        <v>negativo</v>
      </c>
    </row>
    <row r="593" ht="15.75" customHeight="1">
      <c r="A593" s="2" t="s">
        <v>595</v>
      </c>
      <c r="B593" s="2" t="s">
        <v>3</v>
      </c>
      <c r="C593" s="1" t="str">
        <f>IFERROR(__xludf.DUMMYFUNCTION("GOOGLETRANSLATE(A593,""en"",""pt-br"")"),"brusco")</f>
        <v>brusco</v>
      </c>
      <c r="D593" s="1" t="str">
        <f>IFERROR(__xludf.DUMMYFUNCTION("GOOGLETRANSLATE(B593,""en"",""pt-br"")"),"negativo")</f>
        <v>negativo</v>
      </c>
    </row>
    <row r="594" ht="15.75" customHeight="1">
      <c r="A594" s="2" t="s">
        <v>596</v>
      </c>
      <c r="B594" s="2" t="s">
        <v>3</v>
      </c>
      <c r="C594" s="1" t="str">
        <f>IFERROR(__xludf.DUMMYFUNCTION("GOOGLETRANSLATE(A594,""en"",""pt-br"")"),"borrão")</f>
        <v>borrão</v>
      </c>
      <c r="D594" s="1" t="str">
        <f>IFERROR(__xludf.DUMMYFUNCTION("GOOGLETRANSLATE(B594,""en"",""pt-br"")"),"negativo")</f>
        <v>negativo</v>
      </c>
    </row>
    <row r="595" ht="15.75" customHeight="1">
      <c r="A595" s="2" t="s">
        <v>597</v>
      </c>
      <c r="B595" s="2" t="s">
        <v>3</v>
      </c>
      <c r="C595" s="1" t="str">
        <f>IFERROR(__xludf.DUMMYFUNCTION("GOOGLETRANSLATE(A595,""en"",""pt-br"")"),"bluring")</f>
        <v>bluring</v>
      </c>
      <c r="D595" s="1" t="str">
        <f>IFERROR(__xludf.DUMMYFUNCTION("GOOGLETRANSLATE(B595,""en"",""pt-br"")"),"negativo")</f>
        <v>negativo</v>
      </c>
    </row>
    <row r="596" ht="15.75" customHeight="1">
      <c r="A596" s="2" t="s">
        <v>598</v>
      </c>
      <c r="B596" s="2" t="s">
        <v>3</v>
      </c>
      <c r="C596" s="1" t="str">
        <f>IFERROR(__xludf.DUMMYFUNCTION("GOOGLETRANSLATE(A596,""en"",""pt-br"")"),"borrado")</f>
        <v>borrado</v>
      </c>
      <c r="D596" s="1" t="str">
        <f>IFERROR(__xludf.DUMMYFUNCTION("GOOGLETRANSLATE(B596,""en"",""pt-br"")"),"negativo")</f>
        <v>negativo</v>
      </c>
    </row>
    <row r="597" ht="15.75" customHeight="1">
      <c r="A597" s="2" t="s">
        <v>599</v>
      </c>
      <c r="B597" s="2" t="s">
        <v>3</v>
      </c>
      <c r="C597" s="1" t="str">
        <f>IFERROR(__xludf.DUMMYFUNCTION("GOOGLETRANSLATE(A597,""en"",""pt-br"")"),"borrar")</f>
        <v>borrar</v>
      </c>
      <c r="D597" s="1" t="str">
        <f>IFERROR(__xludf.DUMMYFUNCTION("GOOGLETRANSLATE(B597,""en"",""pt-br"")"),"negativo")</f>
        <v>negativo</v>
      </c>
    </row>
    <row r="598" ht="15.75" customHeight="1">
      <c r="A598" s="2" t="s">
        <v>600</v>
      </c>
      <c r="B598" s="2" t="s">
        <v>3</v>
      </c>
      <c r="C598" s="1" t="str">
        <f>IFERROR(__xludf.DUMMYFUNCTION("GOOGLETRANSLATE(A598,""en"",""pt-br"")"),"borrada")</f>
        <v>borrada</v>
      </c>
      <c r="D598" s="1" t="str">
        <f>IFERROR(__xludf.DUMMYFUNCTION("GOOGLETRANSLATE(B598,""en"",""pt-br"")"),"negativo")</f>
        <v>negativo</v>
      </c>
    </row>
    <row r="599" ht="15.75" customHeight="1">
      <c r="A599" s="2" t="s">
        <v>601</v>
      </c>
      <c r="B599" s="2" t="s">
        <v>3</v>
      </c>
      <c r="C599" s="1" t="str">
        <f>IFERROR(__xludf.DUMMYFUNCTION("GOOGLETRANSLATE(A599,""en"",""pt-br"")"),"borrões")</f>
        <v>borrões</v>
      </c>
      <c r="D599" s="1" t="str">
        <f>IFERROR(__xludf.DUMMYFUNCTION("GOOGLETRANSLATE(B599,""en"",""pt-br"")"),"negativo")</f>
        <v>negativo</v>
      </c>
    </row>
    <row r="600" ht="15.75" customHeight="1">
      <c r="A600" s="2" t="s">
        <v>602</v>
      </c>
      <c r="B600" s="2" t="s">
        <v>3</v>
      </c>
      <c r="C600" s="1" t="str">
        <f>IFERROR(__xludf.DUMMYFUNCTION("GOOGLETRANSLATE(A600,""en"",""pt-br"")"),"blurt")</f>
        <v>blurt</v>
      </c>
      <c r="D600" s="1" t="str">
        <f>IFERROR(__xludf.DUMMYFUNCTION("GOOGLETRANSLATE(B600,""en"",""pt-br"")"),"negativo")</f>
        <v>negativo</v>
      </c>
    </row>
    <row r="601" ht="15.75" customHeight="1">
      <c r="A601" s="2" t="s">
        <v>603</v>
      </c>
      <c r="B601" s="2" t="s">
        <v>3</v>
      </c>
      <c r="C601" s="1" t="str">
        <f>IFERROR(__xludf.DUMMYFUNCTION("GOOGLETRANSLATE(A601,""en"",""pt-br"")"),"fanfarrão")</f>
        <v>fanfarrão</v>
      </c>
      <c r="D601" s="1" t="str">
        <f>IFERROR(__xludf.DUMMYFUNCTION("GOOGLETRANSLATE(B601,""en"",""pt-br"")"),"negativo")</f>
        <v>negativo</v>
      </c>
    </row>
    <row r="602" ht="15.75" customHeight="1">
      <c r="A602" s="2" t="s">
        <v>604</v>
      </c>
      <c r="B602" s="2" t="s">
        <v>3</v>
      </c>
      <c r="C602" s="1" t="str">
        <f>IFERROR(__xludf.DUMMYFUNCTION("GOOGLETRANSLATE(A602,""en"",""pt-br"")"),"vacilação")</f>
        <v>vacilação</v>
      </c>
      <c r="D602" s="1" t="str">
        <f>IFERROR(__xludf.DUMMYFUNCTION("GOOGLETRANSLATE(B602,""en"",""pt-br"")"),"negativo")</f>
        <v>negativo</v>
      </c>
    </row>
    <row r="603" ht="15.75" customHeight="1">
      <c r="A603" s="2" t="s">
        <v>605</v>
      </c>
      <c r="B603" s="2" t="s">
        <v>3</v>
      </c>
      <c r="C603" s="1" t="str">
        <f>IFERROR(__xludf.DUMMYFUNCTION("GOOGLETRANSLATE(A603,""en"",""pt-br"")"),"falso")</f>
        <v>falso</v>
      </c>
      <c r="D603" s="1" t="str">
        <f>IFERROR(__xludf.DUMMYFUNCTION("GOOGLETRANSLATE(B603,""en"",""pt-br"")"),"negativo")</f>
        <v>negativo</v>
      </c>
    </row>
    <row r="604" ht="15.75" customHeight="1">
      <c r="A604" s="2" t="s">
        <v>606</v>
      </c>
      <c r="B604" s="2" t="s">
        <v>3</v>
      </c>
      <c r="C604" s="1" t="str">
        <f>IFERROR(__xludf.DUMMYFUNCTION("GOOGLETRANSLATE(A604,""en"",""pt-br"")"),"ferver")</f>
        <v>ferver</v>
      </c>
      <c r="D604" s="1" t="str">
        <f>IFERROR(__xludf.DUMMYFUNCTION("GOOGLETRANSLATE(B604,""en"",""pt-br"")"),"negativo")</f>
        <v>negativo</v>
      </c>
    </row>
    <row r="605" ht="15.75" customHeight="1">
      <c r="A605" s="2" t="s">
        <v>607</v>
      </c>
      <c r="B605" s="2" t="s">
        <v>3</v>
      </c>
      <c r="C605" s="1" t="str">
        <f>IFERROR(__xludf.DUMMYFUNCTION("GOOGLETRANSLATE(A605,""en"",""pt-br"")"),"ebulição")</f>
        <v>ebulição</v>
      </c>
      <c r="D605" s="1" t="str">
        <f>IFERROR(__xludf.DUMMYFUNCTION("GOOGLETRANSLATE(B605,""en"",""pt-br"")"),"negativo")</f>
        <v>negativo</v>
      </c>
    </row>
    <row r="606" ht="15.75" customHeight="1">
      <c r="A606" s="2" t="s">
        <v>608</v>
      </c>
      <c r="B606" s="2" t="s">
        <v>3</v>
      </c>
      <c r="C606" s="1" t="str">
        <f>IFERROR(__xludf.DUMMYFUNCTION("GOOGLETRANSLATE(A606,""en"",""pt-br"")"),"violento")</f>
        <v>violento</v>
      </c>
      <c r="D606" s="1" t="str">
        <f>IFERROR(__xludf.DUMMYFUNCTION("GOOGLETRANSLATE(B606,""en"",""pt-br"")"),"negativo")</f>
        <v>negativo</v>
      </c>
    </row>
    <row r="607" ht="15.75" customHeight="1">
      <c r="A607" s="2" t="s">
        <v>609</v>
      </c>
      <c r="B607" s="2" t="s">
        <v>14</v>
      </c>
      <c r="C607" s="1" t="str">
        <f>IFERROR(__xludf.DUMMYFUNCTION("GOOGLETRANSLATE(A607,""en"",""pt-br"")"),"apoiar")</f>
        <v>apoiar</v>
      </c>
      <c r="D607" s="1" t="str">
        <f>IFERROR(__xludf.DUMMYFUNCTION("GOOGLETRANSLATE(B607,""en"",""pt-br"")"),"positivo")</f>
        <v>positivo</v>
      </c>
    </row>
    <row r="608" ht="15.75" customHeight="1">
      <c r="A608" s="2" t="s">
        <v>610</v>
      </c>
      <c r="B608" s="2" t="s">
        <v>3</v>
      </c>
      <c r="C608" s="1" t="str">
        <f>IFERROR(__xludf.DUMMYFUNCTION("GOOGLETRANSLATE(A608,""en"",""pt-br"")"),"bombear")</f>
        <v>bombear</v>
      </c>
      <c r="D608" s="1" t="str">
        <f>IFERROR(__xludf.DUMMYFUNCTION("GOOGLETRANSLATE(B608,""en"",""pt-br"")"),"negativo")</f>
        <v>negativo</v>
      </c>
    </row>
    <row r="609" ht="15.75" customHeight="1">
      <c r="A609" s="2" t="s">
        <v>611</v>
      </c>
      <c r="B609" s="2" t="s">
        <v>3</v>
      </c>
      <c r="C609" s="1" t="str">
        <f>IFERROR(__xludf.DUMMYFUNCTION("GOOGLETRANSLATE(A609,""en"",""pt-br"")"),"bombardear")</f>
        <v>bombardear</v>
      </c>
      <c r="D609" s="1" t="str">
        <f>IFERROR(__xludf.DUMMYFUNCTION("GOOGLETRANSLATE(B609,""en"",""pt-br"")"),"negativo")</f>
        <v>negativo</v>
      </c>
    </row>
    <row r="610" ht="15.75" customHeight="1">
      <c r="A610" s="2" t="s">
        <v>612</v>
      </c>
      <c r="B610" s="2" t="s">
        <v>3</v>
      </c>
      <c r="C610" s="1" t="str">
        <f>IFERROR(__xludf.DUMMYFUNCTION("GOOGLETRANSLATE(A610,""en"",""pt-br"")"),"bombardeamento")</f>
        <v>bombardeamento</v>
      </c>
      <c r="D610" s="1" t="str">
        <f>IFERROR(__xludf.DUMMYFUNCTION("GOOGLETRANSLATE(B610,""en"",""pt-br"")"),"negativo")</f>
        <v>negativo</v>
      </c>
    </row>
    <row r="611" ht="15.75" customHeight="1">
      <c r="A611" s="2" t="s">
        <v>613</v>
      </c>
      <c r="B611" s="2" t="s">
        <v>3</v>
      </c>
      <c r="C611" s="1" t="str">
        <f>IFERROR(__xludf.DUMMYFUNCTION("GOOGLETRANSLATE(A611,""en"",""pt-br"")"),"bombástico")</f>
        <v>bombástico</v>
      </c>
      <c r="D611" s="1" t="str">
        <f>IFERROR(__xludf.DUMMYFUNCTION("GOOGLETRANSLATE(B611,""en"",""pt-br"")"),"negativo")</f>
        <v>negativo</v>
      </c>
    </row>
    <row r="612" ht="15.75" customHeight="1">
      <c r="A612" s="2" t="s">
        <v>614</v>
      </c>
      <c r="B612" s="2" t="s">
        <v>3</v>
      </c>
      <c r="C612" s="1" t="str">
        <f>IFERROR(__xludf.DUMMYFUNCTION("GOOGLETRANSLATE(A612,""en"",""pt-br"")"),"escravidão")</f>
        <v>escravidão</v>
      </c>
      <c r="D612" s="1" t="str">
        <f>IFERROR(__xludf.DUMMYFUNCTION("GOOGLETRANSLATE(B612,""en"",""pt-br"")"),"negativo")</f>
        <v>negativo</v>
      </c>
    </row>
    <row r="613" ht="15.75" customHeight="1">
      <c r="A613" s="2" t="s">
        <v>615</v>
      </c>
      <c r="B613" s="2" t="s">
        <v>3</v>
      </c>
      <c r="C613" s="1" t="str">
        <f>IFERROR(__xludf.DUMMYFUNCTION("GOOGLETRANSLATE(A613,""en"",""pt-br"")"),"bonkers")</f>
        <v>bonkers</v>
      </c>
      <c r="D613" s="1" t="str">
        <f>IFERROR(__xludf.DUMMYFUNCTION("GOOGLETRANSLATE(B613,""en"",""pt-br"")"),"negativo")</f>
        <v>negativo</v>
      </c>
    </row>
    <row r="614" ht="15.75" customHeight="1">
      <c r="A614" s="2" t="s">
        <v>616</v>
      </c>
      <c r="B614" s="2" t="s">
        <v>14</v>
      </c>
      <c r="C614" s="1" t="str">
        <f>IFERROR(__xludf.DUMMYFUNCTION("GOOGLETRANSLATE(A614,""en"",""pt-br"")"),"galante")</f>
        <v>galante</v>
      </c>
      <c r="D614" s="1" t="str">
        <f>IFERROR(__xludf.DUMMYFUNCTION("GOOGLETRANSLATE(B614,""en"",""pt-br"")"),"positivo")</f>
        <v>positivo</v>
      </c>
    </row>
    <row r="615" ht="15.75" customHeight="1">
      <c r="A615" s="2" t="s">
        <v>617</v>
      </c>
      <c r="B615" s="2" t="s">
        <v>14</v>
      </c>
      <c r="C615" s="1" t="str">
        <f>IFERROR(__xludf.DUMMYFUNCTION("GOOGLETRANSLATE(A615,""en"",""pt-br"")"),"bônus")</f>
        <v>bônus</v>
      </c>
      <c r="D615" s="1" t="str">
        <f>IFERROR(__xludf.DUMMYFUNCTION("GOOGLETRANSLATE(B615,""en"",""pt-br"")"),"positivo")</f>
        <v>positivo</v>
      </c>
    </row>
    <row r="616" ht="15.75" customHeight="1">
      <c r="A616" s="2" t="s">
        <v>618</v>
      </c>
      <c r="B616" s="2" t="s">
        <v>14</v>
      </c>
      <c r="C616" s="1" t="str">
        <f>IFERROR(__xludf.DUMMYFUNCTION("GOOGLETRANSLATE(A616,""en"",""pt-br"")"),"bônus")</f>
        <v>bônus</v>
      </c>
      <c r="D616" s="1" t="str">
        <f>IFERROR(__xludf.DUMMYFUNCTION("GOOGLETRANSLATE(B616,""en"",""pt-br"")"),"positivo")</f>
        <v>positivo</v>
      </c>
    </row>
    <row r="617" ht="15.75" customHeight="1">
      <c r="A617" s="2" t="s">
        <v>619</v>
      </c>
      <c r="B617" s="2" t="s">
        <v>14</v>
      </c>
      <c r="C617" s="1" t="str">
        <f>IFERROR(__xludf.DUMMYFUNCTION("GOOGLETRANSLATE(A617,""en"",""pt-br"")"),"estrondo")</f>
        <v>estrondo</v>
      </c>
      <c r="D617" s="1" t="str">
        <f>IFERROR(__xludf.DUMMYFUNCTION("GOOGLETRANSLATE(B617,""en"",""pt-br"")"),"positivo")</f>
        <v>positivo</v>
      </c>
    </row>
    <row r="618" ht="15.75" customHeight="1">
      <c r="A618" s="2" t="s">
        <v>620</v>
      </c>
      <c r="B618" s="2" t="s">
        <v>14</v>
      </c>
      <c r="C618" s="1" t="str">
        <f>IFERROR(__xludf.DUMMYFUNCTION("GOOGLETRANSLATE(A618,""en"",""pt-br"")"),"crescendo")</f>
        <v>crescendo</v>
      </c>
      <c r="D618" s="1" t="str">
        <f>IFERROR(__xludf.DUMMYFUNCTION("GOOGLETRANSLATE(B618,""en"",""pt-br"")"),"positivo")</f>
        <v>positivo</v>
      </c>
    </row>
    <row r="619" ht="15.75" customHeight="1">
      <c r="A619" s="2" t="s">
        <v>621</v>
      </c>
      <c r="B619" s="2" t="s">
        <v>14</v>
      </c>
      <c r="C619" s="1" t="str">
        <f>IFERROR(__xludf.DUMMYFUNCTION("GOOGLETRANSLATE(A619,""en"",""pt-br"")"),"impulso")</f>
        <v>impulso</v>
      </c>
      <c r="D619" s="1" t="str">
        <f>IFERROR(__xludf.DUMMYFUNCTION("GOOGLETRANSLATE(B619,""en"",""pt-br"")"),"positivo")</f>
        <v>positivo</v>
      </c>
    </row>
    <row r="620" ht="15.75" customHeight="1">
      <c r="A620" s="2" t="s">
        <v>622</v>
      </c>
      <c r="B620" s="2" t="s">
        <v>3</v>
      </c>
      <c r="C620" s="1" t="str">
        <f>IFERROR(__xludf.DUMMYFUNCTION("GOOGLETRANSLATE(A620,""en"",""pt-br"")"),"calibre")</f>
        <v>calibre</v>
      </c>
      <c r="D620" s="1" t="str">
        <f>IFERROR(__xludf.DUMMYFUNCTION("GOOGLETRANSLATE(B620,""en"",""pt-br"")"),"negativo")</f>
        <v>negativo</v>
      </c>
    </row>
    <row r="621" ht="15.75" customHeight="1">
      <c r="A621" s="2" t="s">
        <v>623</v>
      </c>
      <c r="B621" s="2" t="s">
        <v>3</v>
      </c>
      <c r="C621" s="1" t="str">
        <f>IFERROR(__xludf.DUMMYFUNCTION("GOOGLETRANSLATE(A621,""en"",""pt-br"")"),"entediado")</f>
        <v>entediado</v>
      </c>
      <c r="D621" s="1" t="str">
        <f>IFERROR(__xludf.DUMMYFUNCTION("GOOGLETRANSLATE(B621,""en"",""pt-br"")"),"negativo")</f>
        <v>negativo</v>
      </c>
    </row>
    <row r="622" ht="15.75" customHeight="1">
      <c r="A622" s="2" t="s">
        <v>624</v>
      </c>
      <c r="B622" s="2" t="s">
        <v>3</v>
      </c>
      <c r="C622" s="1" t="str">
        <f>IFERROR(__xludf.DUMMYFUNCTION("GOOGLETRANSLATE(A622,""en"",""pt-br"")"),"tédio")</f>
        <v>tédio</v>
      </c>
      <c r="D622" s="1" t="str">
        <f>IFERROR(__xludf.DUMMYFUNCTION("GOOGLETRANSLATE(B622,""en"",""pt-br"")"),"negativo")</f>
        <v>negativo</v>
      </c>
    </row>
    <row r="623" ht="15.75" customHeight="1">
      <c r="A623" s="2" t="s">
        <v>625</v>
      </c>
      <c r="B623" s="2" t="s">
        <v>3</v>
      </c>
      <c r="C623" s="1" t="str">
        <f>IFERROR(__xludf.DUMMYFUNCTION("GOOGLETRANSLATE(A623,""en"",""pt-br"")"),"furos")</f>
        <v>furos</v>
      </c>
      <c r="D623" s="1" t="str">
        <f>IFERROR(__xludf.DUMMYFUNCTION("GOOGLETRANSLATE(B623,""en"",""pt-br"")"),"negativo")</f>
        <v>negativo</v>
      </c>
    </row>
    <row r="624" ht="15.75" customHeight="1">
      <c r="A624" s="2" t="s">
        <v>626</v>
      </c>
      <c r="B624" s="2" t="s">
        <v>3</v>
      </c>
      <c r="C624" s="1" t="str">
        <f>IFERROR(__xludf.DUMMYFUNCTION("GOOGLETRANSLATE(A624,""en"",""pt-br"")"),"entediante")</f>
        <v>entediante</v>
      </c>
      <c r="D624" s="1" t="str">
        <f>IFERROR(__xludf.DUMMYFUNCTION("GOOGLETRANSLATE(B624,""en"",""pt-br"")"),"negativo")</f>
        <v>negativo</v>
      </c>
    </row>
    <row r="625" ht="15.75" customHeight="1">
      <c r="A625" s="2" t="s">
        <v>627</v>
      </c>
      <c r="B625" s="2" t="s">
        <v>3</v>
      </c>
      <c r="C625" s="1" t="str">
        <f>IFERROR(__xludf.DUMMYFUNCTION("GOOGLETRANSLATE(A625,""en"",""pt-br"")"),"remendo")</f>
        <v>remendo</v>
      </c>
      <c r="D625" s="1" t="str">
        <f>IFERROR(__xludf.DUMMYFUNCTION("GOOGLETRANSLATE(B625,""en"",""pt-br"")"),"negativo")</f>
        <v>negativo</v>
      </c>
    </row>
    <row r="626" ht="15.75" customHeight="1">
      <c r="A626" s="2" t="s">
        <v>628</v>
      </c>
      <c r="B626" s="2" t="s">
        <v>3</v>
      </c>
      <c r="C626" s="1" t="str">
        <f>IFERROR(__xludf.DUMMYFUNCTION("GOOGLETRANSLATE(A626,""en"",""pt-br"")"),"incomodar")</f>
        <v>incomodar</v>
      </c>
      <c r="D626" s="1" t="str">
        <f>IFERROR(__xludf.DUMMYFUNCTION("GOOGLETRANSLATE(B626,""en"",""pt-br"")"),"negativo")</f>
        <v>negativo</v>
      </c>
    </row>
    <row r="627" ht="15.75" customHeight="1">
      <c r="A627" s="2" t="s">
        <v>629</v>
      </c>
      <c r="B627" s="2" t="s">
        <v>3</v>
      </c>
      <c r="C627" s="1" t="str">
        <f>IFERROR(__xludf.DUMMYFUNCTION("GOOGLETRANSLATE(A627,""en"",""pt-br"")"),"incomodado")</f>
        <v>incomodado</v>
      </c>
      <c r="D627" s="1" t="str">
        <f>IFERROR(__xludf.DUMMYFUNCTION("GOOGLETRANSLATE(B627,""en"",""pt-br"")"),"negativo")</f>
        <v>negativo</v>
      </c>
    </row>
    <row r="628" ht="15.75" customHeight="1">
      <c r="A628" s="2" t="s">
        <v>630</v>
      </c>
      <c r="B628" s="2" t="s">
        <v>3</v>
      </c>
      <c r="C628" s="1" t="str">
        <f>IFERROR(__xludf.DUMMYFUNCTION("GOOGLETRANSLATE(A628,""en"",""pt-br"")"),"incomodando")</f>
        <v>incomodando</v>
      </c>
      <c r="D628" s="1" t="str">
        <f>IFERROR(__xludf.DUMMYFUNCTION("GOOGLETRANSLATE(B628,""en"",""pt-br"")"),"negativo")</f>
        <v>negativo</v>
      </c>
    </row>
    <row r="629" ht="15.75" customHeight="1">
      <c r="A629" s="2" t="s">
        <v>631</v>
      </c>
      <c r="B629" s="2" t="s">
        <v>3</v>
      </c>
      <c r="C629" s="1" t="str">
        <f>IFERROR(__xludf.DUMMYFUNCTION("GOOGLETRANSLATE(A629,""en"",""pt-br"")"),"incomoda")</f>
        <v>incomoda</v>
      </c>
      <c r="D629" s="1" t="str">
        <f>IFERROR(__xludf.DUMMYFUNCTION("GOOGLETRANSLATE(B629,""en"",""pt-br"")"),"negativo")</f>
        <v>negativo</v>
      </c>
    </row>
    <row r="630" ht="15.75" customHeight="1">
      <c r="A630" s="2" t="s">
        <v>632</v>
      </c>
      <c r="B630" s="2" t="s">
        <v>3</v>
      </c>
      <c r="C630" s="1" t="str">
        <f>IFERROR(__xludf.DUMMYFUNCTION("GOOGLETRANSLATE(A630,""en"",""pt-br"")"),"enfadonho")</f>
        <v>enfadonho</v>
      </c>
      <c r="D630" s="1" t="str">
        <f>IFERROR(__xludf.DUMMYFUNCTION("GOOGLETRANSLATE(B630,""en"",""pt-br"")"),"negativo")</f>
        <v>negativo</v>
      </c>
    </row>
    <row r="631" ht="15.75" customHeight="1">
      <c r="A631" s="2" t="s">
        <v>633</v>
      </c>
      <c r="B631" s="2" t="s">
        <v>14</v>
      </c>
      <c r="C631" s="1" t="str">
        <f>IFERROR(__xludf.DUMMYFUNCTION("GOOGLETRANSLATE(A631,""en"",""pt-br"")"),"sem limites")</f>
        <v>sem limites</v>
      </c>
      <c r="D631" s="1" t="str">
        <f>IFERROR(__xludf.DUMMYFUNCTION("GOOGLETRANSLATE(B631,""en"",""pt-br"")"),"positivo")</f>
        <v>positivo</v>
      </c>
    </row>
    <row r="632" ht="15.75" customHeight="1">
      <c r="A632" s="2" t="s">
        <v>634</v>
      </c>
      <c r="B632" s="2" t="s">
        <v>14</v>
      </c>
      <c r="C632" s="1" t="str">
        <f>IFERROR(__xludf.DUMMYFUNCTION("GOOGLETRANSLATE(A632,""en"",""pt-br"")"),"caridoso")</f>
        <v>caridoso</v>
      </c>
      <c r="D632" s="1" t="str">
        <f>IFERROR(__xludf.DUMMYFUNCTION("GOOGLETRANSLATE(B632,""en"",""pt-br"")"),"positivo")</f>
        <v>positivo</v>
      </c>
    </row>
    <row r="633" ht="15.75" customHeight="1">
      <c r="A633" s="2" t="s">
        <v>635</v>
      </c>
      <c r="B633" s="2" t="s">
        <v>3</v>
      </c>
      <c r="C633" s="1" t="str">
        <f>IFERROR(__xludf.DUMMYFUNCTION("GOOGLETRANSLATE(A633,""en"",""pt-br"")"),"expurgar livros")</f>
        <v>expurgar livros</v>
      </c>
      <c r="D633" s="1" t="str">
        <f>IFERROR(__xludf.DUMMYFUNCTION("GOOGLETRANSLATE(B633,""en"",""pt-br"")"),"negativo")</f>
        <v>negativo</v>
      </c>
    </row>
    <row r="634" ht="15.75" customHeight="1">
      <c r="A634" s="2" t="s">
        <v>636</v>
      </c>
      <c r="B634" s="2" t="s">
        <v>3</v>
      </c>
      <c r="C634" s="1" t="str">
        <f>IFERROR(__xludf.DUMMYFUNCTION("GOOGLETRANSLATE(A634,""en"",""pt-br"")"),"boicote")</f>
        <v>boicote</v>
      </c>
      <c r="D634" s="1" t="str">
        <f>IFERROR(__xludf.DUMMYFUNCTION("GOOGLETRANSLATE(B634,""en"",""pt-br"")"),"negativo")</f>
        <v>negativo</v>
      </c>
    </row>
    <row r="635" ht="15.75" customHeight="1">
      <c r="A635" s="2" t="s">
        <v>637</v>
      </c>
      <c r="B635" s="2" t="s">
        <v>3</v>
      </c>
      <c r="C635" s="1" t="str">
        <f>IFERROR(__xludf.DUMMYFUNCTION("GOOGLETRANSLATE(A635,""en"",""pt-br"")"),"fanfarrão")</f>
        <v>fanfarrão</v>
      </c>
      <c r="D635" s="1" t="str">
        <f>IFERROR(__xludf.DUMMYFUNCTION("GOOGLETRANSLATE(B635,""en"",""pt-br"")"),"negativo")</f>
        <v>negativo</v>
      </c>
    </row>
    <row r="636" ht="15.75" customHeight="1">
      <c r="A636" s="2" t="s">
        <v>638</v>
      </c>
      <c r="B636" s="2" t="s">
        <v>3</v>
      </c>
      <c r="C636" s="1" t="str">
        <f>IFERROR(__xludf.DUMMYFUNCTION("GOOGLETRANSLATE(A636,""en"",""pt-br"")"),"bragger")</f>
        <v>bragger</v>
      </c>
      <c r="D636" s="1" t="str">
        <f>IFERROR(__xludf.DUMMYFUNCTION("GOOGLETRANSLATE(B636,""en"",""pt-br"")"),"negativo")</f>
        <v>negativo</v>
      </c>
    </row>
    <row r="637" ht="15.75" customHeight="1">
      <c r="A637" s="2" t="s">
        <v>639</v>
      </c>
      <c r="B637" s="2" t="s">
        <v>14</v>
      </c>
      <c r="C637" s="1" t="str">
        <f>IFERROR(__xludf.DUMMYFUNCTION("GOOGLETRANSLATE(A637,""en"",""pt-br"")"),"Brainiest")</f>
        <v>Brainiest</v>
      </c>
      <c r="D637" s="1" t="str">
        <f>IFERROR(__xludf.DUMMYFUNCTION("GOOGLETRANSLATE(B637,""en"",""pt-br"")"),"positivo")</f>
        <v>positivo</v>
      </c>
    </row>
    <row r="638" ht="15.75" customHeight="1">
      <c r="A638" s="2" t="s">
        <v>640</v>
      </c>
      <c r="B638" s="2" t="s">
        <v>3</v>
      </c>
      <c r="C638" s="1" t="str">
        <f>IFERROR(__xludf.DUMMYFUNCTION("GOOGLETRANSLATE(A638,""en"",""pt-br"")"),"sem cérebro")</f>
        <v>sem cérebro</v>
      </c>
      <c r="D638" s="1" t="str">
        <f>IFERROR(__xludf.DUMMYFUNCTION("GOOGLETRANSLATE(B638,""en"",""pt-br"")"),"negativo")</f>
        <v>negativo</v>
      </c>
    </row>
    <row r="639" ht="15.75" customHeight="1">
      <c r="A639" s="2" t="s">
        <v>641</v>
      </c>
      <c r="B639" s="2" t="s">
        <v>3</v>
      </c>
      <c r="C639" s="1" t="str">
        <f>IFERROR(__xludf.DUMMYFUNCTION("GOOGLETRANSLATE(A639,""en"",""pt-br"")"),"lavagem cerebral")</f>
        <v>lavagem cerebral</v>
      </c>
      <c r="D639" s="1" t="str">
        <f>IFERROR(__xludf.DUMMYFUNCTION("GOOGLETRANSLATE(B639,""en"",""pt-br"")"),"negativo")</f>
        <v>negativo</v>
      </c>
    </row>
    <row r="640" ht="15.75" customHeight="1">
      <c r="A640" s="2" t="s">
        <v>642</v>
      </c>
      <c r="B640" s="2" t="s">
        <v>14</v>
      </c>
      <c r="C640" s="1" t="str">
        <f>IFERROR(__xludf.DUMMYFUNCTION("GOOGLETRANSLATE(A640,""en"",""pt-br"")"),"inteligente")</f>
        <v>inteligente</v>
      </c>
      <c r="D640" s="1" t="str">
        <f>IFERROR(__xludf.DUMMYFUNCTION("GOOGLETRANSLATE(B640,""en"",""pt-br"")"),"positivo")</f>
        <v>positivo</v>
      </c>
    </row>
    <row r="641" ht="15.75" customHeight="1">
      <c r="A641" s="2" t="s">
        <v>643</v>
      </c>
      <c r="B641" s="2" t="s">
        <v>14</v>
      </c>
      <c r="C641" s="1" t="str">
        <f>IFERROR(__xludf.DUMMYFUNCTION("GOOGLETRANSLATE(A641,""en"",""pt-br"")"),"novo em folha")</f>
        <v>novo em folha</v>
      </c>
      <c r="D641" s="1" t="str">
        <f>IFERROR(__xludf.DUMMYFUNCTION("GOOGLETRANSLATE(B641,""en"",""pt-br"")"),"positivo")</f>
        <v>positivo</v>
      </c>
    </row>
    <row r="642" ht="15.75" customHeight="1">
      <c r="A642" s="2" t="s">
        <v>644</v>
      </c>
      <c r="B642" s="2" t="s">
        <v>3</v>
      </c>
      <c r="C642" s="1" t="str">
        <f>IFERROR(__xludf.DUMMYFUNCTION("GOOGLETRANSLATE(A642,""en"",""pt-br"")"),"imprudente")</f>
        <v>imprudente</v>
      </c>
      <c r="D642" s="1" t="str">
        <f>IFERROR(__xludf.DUMMYFUNCTION("GOOGLETRANSLATE(B642,""en"",""pt-br"")"),"negativo")</f>
        <v>negativo</v>
      </c>
    </row>
    <row r="643" ht="15.75" customHeight="1">
      <c r="A643" s="2" t="s">
        <v>645</v>
      </c>
      <c r="B643" s="2" t="s">
        <v>3</v>
      </c>
      <c r="C643" s="1" t="str">
        <f>IFERROR(__xludf.DUMMYFUNCTION("GOOGLETRANSLATE(A643,""en"",""pt-br"")"),"impetuosa")</f>
        <v>impetuosa</v>
      </c>
      <c r="D643" s="1" t="str">
        <f>IFERROR(__xludf.DUMMYFUNCTION("GOOGLETRANSLATE(B643,""en"",""pt-br"")"),"negativo")</f>
        <v>negativo</v>
      </c>
    </row>
    <row r="644" ht="15.75" customHeight="1">
      <c r="A644" s="2" t="s">
        <v>646</v>
      </c>
      <c r="B644" s="2" t="s">
        <v>3</v>
      </c>
      <c r="C644" s="1" t="str">
        <f>IFERROR(__xludf.DUMMYFUNCTION("GOOGLETRANSLATE(A644,""en"",""pt-br"")"),"brashness")</f>
        <v>brashness</v>
      </c>
      <c r="D644" s="1" t="str">
        <f>IFERROR(__xludf.DUMMYFUNCTION("GOOGLETRANSLATE(B644,""en"",""pt-br"")"),"negativo")</f>
        <v>negativo</v>
      </c>
    </row>
    <row r="645" ht="15.75" customHeight="1">
      <c r="A645" s="2" t="s">
        <v>647</v>
      </c>
      <c r="B645" s="2" t="s">
        <v>3</v>
      </c>
      <c r="C645" s="1" t="str">
        <f>IFERROR(__xludf.DUMMYFUNCTION("GOOGLETRANSLATE(A645,""en"",""pt-br"")"),"fedelho")</f>
        <v>fedelho</v>
      </c>
      <c r="D645" s="1" t="str">
        <f>IFERROR(__xludf.DUMMYFUNCTION("GOOGLETRANSLATE(B645,""en"",""pt-br"")"),"negativo")</f>
        <v>negativo</v>
      </c>
    </row>
    <row r="646" ht="15.75" customHeight="1">
      <c r="A646" s="2" t="s">
        <v>648</v>
      </c>
      <c r="B646" s="2" t="s">
        <v>3</v>
      </c>
      <c r="C646" s="1" t="str">
        <f>IFERROR(__xludf.DUMMYFUNCTION("GOOGLETRANSLATE(A646,""en"",""pt-br"")"),"bravata")</f>
        <v>bravata</v>
      </c>
      <c r="D646" s="1" t="str">
        <f>IFERROR(__xludf.DUMMYFUNCTION("GOOGLETRANSLATE(B646,""en"",""pt-br"")"),"negativo")</f>
        <v>negativo</v>
      </c>
    </row>
    <row r="647" ht="15.75" customHeight="1">
      <c r="A647" s="2" t="s">
        <v>649</v>
      </c>
      <c r="B647" s="2" t="s">
        <v>14</v>
      </c>
      <c r="C647" s="1" t="str">
        <f>IFERROR(__xludf.DUMMYFUNCTION("GOOGLETRANSLATE(A647,""en"",""pt-br"")"),"bravo")</f>
        <v>bravo</v>
      </c>
      <c r="D647" s="1" t="str">
        <f>IFERROR(__xludf.DUMMYFUNCTION("GOOGLETRANSLATE(B647,""en"",""pt-br"")"),"positivo")</f>
        <v>positivo</v>
      </c>
    </row>
    <row r="648" ht="15.75" customHeight="1">
      <c r="A648" s="2" t="s">
        <v>650</v>
      </c>
      <c r="B648" s="2" t="s">
        <v>14</v>
      </c>
      <c r="C648" s="1" t="str">
        <f>IFERROR(__xludf.DUMMYFUNCTION("GOOGLETRANSLATE(A648,""en"",""pt-br"")"),"bravura")</f>
        <v>bravura</v>
      </c>
      <c r="D648" s="1" t="str">
        <f>IFERROR(__xludf.DUMMYFUNCTION("GOOGLETRANSLATE(B648,""en"",""pt-br"")"),"positivo")</f>
        <v>positivo</v>
      </c>
    </row>
    <row r="649" ht="15.75" customHeight="1">
      <c r="A649" s="2" t="s">
        <v>651</v>
      </c>
      <c r="B649" s="2" t="s">
        <v>14</v>
      </c>
      <c r="C649" s="1" t="str">
        <f>IFERROR(__xludf.DUMMYFUNCTION("GOOGLETRANSLATE(A649,""en"",""pt-br"")"),"bravo")</f>
        <v>bravo</v>
      </c>
      <c r="D649" s="1" t="str">
        <f>IFERROR(__xludf.DUMMYFUNCTION("GOOGLETRANSLATE(B649,""en"",""pt-br"")"),"positivo")</f>
        <v>positivo</v>
      </c>
    </row>
    <row r="650" ht="15.75" customHeight="1">
      <c r="A650" s="2" t="s">
        <v>652</v>
      </c>
      <c r="B650" s="2" t="s">
        <v>3</v>
      </c>
      <c r="C650" s="1" t="str">
        <f>IFERROR(__xludf.DUMMYFUNCTION("GOOGLETRANSLATE(A650,""en"",""pt-br"")"),"descarado")</f>
        <v>descarado</v>
      </c>
      <c r="D650" s="1" t="str">
        <f>IFERROR(__xludf.DUMMYFUNCTION("GOOGLETRANSLATE(B650,""en"",""pt-br"")"),"negativo")</f>
        <v>negativo</v>
      </c>
    </row>
    <row r="651" ht="15.75" customHeight="1">
      <c r="A651" s="2" t="s">
        <v>653</v>
      </c>
      <c r="B651" s="2" t="s">
        <v>3</v>
      </c>
      <c r="C651" s="1" t="str">
        <f>IFERROR(__xludf.DUMMYFUNCTION("GOOGLETRANSLATE(A651,""en"",""pt-br"")"),"descaradamente")</f>
        <v>descaradamente</v>
      </c>
      <c r="D651" s="1" t="str">
        <f>IFERROR(__xludf.DUMMYFUNCTION("GOOGLETRANSLATE(B651,""en"",""pt-br"")"),"negativo")</f>
        <v>negativo</v>
      </c>
    </row>
    <row r="652" ht="15.75" customHeight="1">
      <c r="A652" s="2" t="s">
        <v>654</v>
      </c>
      <c r="B652" s="2" t="s">
        <v>3</v>
      </c>
      <c r="C652" s="1" t="str">
        <f>IFERROR(__xludf.DUMMYFUNCTION("GOOGLETRANSLATE(A652,""en"",""pt-br"")"),"brazenness")</f>
        <v>brazenness</v>
      </c>
      <c r="D652" s="1" t="str">
        <f>IFERROR(__xludf.DUMMYFUNCTION("GOOGLETRANSLATE(B652,""en"",""pt-br"")"),"negativo")</f>
        <v>negativo</v>
      </c>
    </row>
    <row r="653" ht="15.75" customHeight="1">
      <c r="A653" s="2" t="s">
        <v>655</v>
      </c>
      <c r="B653" s="2" t="s">
        <v>3</v>
      </c>
      <c r="C653" s="1" t="str">
        <f>IFERROR(__xludf.DUMMYFUNCTION("GOOGLETRANSLATE(A653,""en"",""pt-br"")"),"violação")</f>
        <v>violação</v>
      </c>
      <c r="D653" s="1" t="str">
        <f>IFERROR(__xludf.DUMMYFUNCTION("GOOGLETRANSLATE(B653,""en"",""pt-br"")"),"negativo")</f>
        <v>negativo</v>
      </c>
    </row>
    <row r="654" ht="15.75" customHeight="1">
      <c r="A654" s="2" t="s">
        <v>656</v>
      </c>
      <c r="B654" s="2" t="s">
        <v>3</v>
      </c>
      <c r="C654" s="1" t="str">
        <f>IFERROR(__xludf.DUMMYFUNCTION("GOOGLETRANSLATE(A654,""en"",""pt-br"")"),"quebrar")</f>
        <v>quebrar</v>
      </c>
      <c r="D654" s="1" t="str">
        <f>IFERROR(__xludf.DUMMYFUNCTION("GOOGLETRANSLATE(B654,""en"",""pt-br"")"),"negativo")</f>
        <v>negativo</v>
      </c>
    </row>
    <row r="655" ht="15.75" customHeight="1">
      <c r="A655" s="2" t="s">
        <v>657</v>
      </c>
      <c r="B655" s="2" t="s">
        <v>3</v>
      </c>
      <c r="C655" s="1" t="str">
        <f>IFERROR(__xludf.DUMMYFUNCTION("GOOGLETRANSLATE(A655,""en"",""pt-br"")"),"rompimento")</f>
        <v>rompimento</v>
      </c>
      <c r="D655" s="1" t="str">
        <f>IFERROR(__xludf.DUMMYFUNCTION("GOOGLETRANSLATE(B655,""en"",""pt-br"")"),"negativo")</f>
        <v>negativo</v>
      </c>
    </row>
    <row r="656" ht="15.75" customHeight="1">
      <c r="A656" s="2" t="s">
        <v>658</v>
      </c>
      <c r="B656" s="2" t="s">
        <v>3</v>
      </c>
      <c r="C656" s="1" t="str">
        <f>IFERROR(__xludf.DUMMYFUNCTION("GOOGLETRANSLATE(A656,""en"",""pt-br"")"),"break-ups")</f>
        <v>break-ups</v>
      </c>
      <c r="D656" s="1" t="str">
        <f>IFERROR(__xludf.DUMMYFUNCTION("GOOGLETRANSLATE(B656,""en"",""pt-br"")"),"negativo")</f>
        <v>negativo</v>
      </c>
    </row>
    <row r="657" ht="15.75" customHeight="1">
      <c r="A657" s="2" t="s">
        <v>659</v>
      </c>
      <c r="B657" s="2" t="s">
        <v>3</v>
      </c>
      <c r="C657" s="1" t="str">
        <f>IFERROR(__xludf.DUMMYFUNCTION("GOOGLETRANSLATE(A657,""en"",""pt-br"")"),"demolir")</f>
        <v>demolir</v>
      </c>
      <c r="D657" s="1" t="str">
        <f>IFERROR(__xludf.DUMMYFUNCTION("GOOGLETRANSLATE(B657,""en"",""pt-br"")"),"negativo")</f>
        <v>negativo</v>
      </c>
    </row>
    <row r="658" ht="15.75" customHeight="1">
      <c r="A658" s="2" t="s">
        <v>660</v>
      </c>
      <c r="B658" s="2" t="s">
        <v>3</v>
      </c>
      <c r="C658" s="1" t="str">
        <f>IFERROR(__xludf.DUMMYFUNCTION("GOOGLETRANSLATE(A658,""en"",""pt-br"")"),"quebra")</f>
        <v>quebra</v>
      </c>
      <c r="D658" s="1" t="str">
        <f>IFERROR(__xludf.DUMMYFUNCTION("GOOGLETRANSLATE(B658,""en"",""pt-br"")"),"negativo")</f>
        <v>negativo</v>
      </c>
    </row>
    <row r="659" ht="15.75" customHeight="1">
      <c r="A659" s="2" t="s">
        <v>661</v>
      </c>
      <c r="B659" s="2" t="s">
        <v>3</v>
      </c>
      <c r="C659" s="1" t="str">
        <f>IFERROR(__xludf.DUMMYFUNCTION("GOOGLETRANSLATE(A659,""en"",""pt-br"")"),"rompe")</f>
        <v>rompe</v>
      </c>
      <c r="D659" s="1" t="str">
        <f>IFERROR(__xludf.DUMMYFUNCTION("GOOGLETRANSLATE(B659,""en"",""pt-br"")"),"negativo")</f>
        <v>negativo</v>
      </c>
    </row>
    <row r="660" ht="15.75" customHeight="1">
      <c r="A660" s="2" t="s">
        <v>662</v>
      </c>
      <c r="B660" s="2" t="s">
        <v>14</v>
      </c>
      <c r="C660" s="1" t="str">
        <f>IFERROR(__xludf.DUMMYFUNCTION("GOOGLETRANSLATE(A660,""en"",""pt-br"")"),"avanço")</f>
        <v>avanço</v>
      </c>
      <c r="D660" s="1" t="str">
        <f>IFERROR(__xludf.DUMMYFUNCTION("GOOGLETRANSLATE(B660,""en"",""pt-br"")"),"positivo")</f>
        <v>positivo</v>
      </c>
    </row>
    <row r="661" ht="15.75" customHeight="1">
      <c r="A661" s="2" t="s">
        <v>663</v>
      </c>
      <c r="B661" s="2" t="s">
        <v>14</v>
      </c>
      <c r="C661" s="1" t="str">
        <f>IFERROR(__xludf.DUMMYFUNCTION("GOOGLETRANSLATE(A661,""en"",""pt-br"")"),"avanços")</f>
        <v>avanços</v>
      </c>
      <c r="D661" s="1" t="str">
        <f>IFERROR(__xludf.DUMMYFUNCTION("GOOGLETRANSLATE(B661,""en"",""pt-br"")"),"positivo")</f>
        <v>positivo</v>
      </c>
    </row>
    <row r="662" ht="15.75" customHeight="1">
      <c r="A662" s="2" t="s">
        <v>664</v>
      </c>
      <c r="B662" s="2" t="s">
        <v>3</v>
      </c>
      <c r="C662" s="1" t="str">
        <f>IFERROR(__xludf.DUMMYFUNCTION("GOOGLETRANSLATE(A662,""en"",""pt-br"")"),"rompimento")</f>
        <v>rompimento</v>
      </c>
      <c r="D662" s="1" t="str">
        <f>IFERROR(__xludf.DUMMYFUNCTION("GOOGLETRANSLATE(B662,""en"",""pt-br"")"),"negativo")</f>
        <v>negativo</v>
      </c>
    </row>
    <row r="663" ht="15.75" customHeight="1">
      <c r="A663" s="2" t="s">
        <v>665</v>
      </c>
      <c r="B663" s="2" t="s">
        <v>3</v>
      </c>
      <c r="C663" s="1" t="str">
        <f>IFERROR(__xludf.DUMMYFUNCTION("GOOGLETRANSLATE(A663,""en"",""pt-br"")"),"rompimentos")</f>
        <v>rompimentos</v>
      </c>
      <c r="D663" s="1" t="str">
        <f>IFERROR(__xludf.DUMMYFUNCTION("GOOGLETRANSLATE(B663,""en"",""pt-br"")"),"negativo")</f>
        <v>negativo</v>
      </c>
    </row>
    <row r="664" ht="15.75" customHeight="1">
      <c r="A664" s="2" t="s">
        <v>666</v>
      </c>
      <c r="B664" s="2" t="s">
        <v>14</v>
      </c>
      <c r="C664" s="1" t="str">
        <f>IFERROR(__xludf.DUMMYFUNCTION("GOOGLETRANSLATE(A664,""en"",""pt-br"")"),"falta de ar")</f>
        <v>falta de ar</v>
      </c>
      <c r="D664" s="1" t="str">
        <f>IFERROR(__xludf.DUMMYFUNCTION("GOOGLETRANSLATE(B664,""en"",""pt-br"")"),"positivo")</f>
        <v>positivo</v>
      </c>
    </row>
    <row r="665" ht="15.75" customHeight="1">
      <c r="A665" s="2" t="s">
        <v>667</v>
      </c>
      <c r="B665" s="2" t="s">
        <v>14</v>
      </c>
      <c r="C665" s="1" t="str">
        <f>IFERROR(__xludf.DUMMYFUNCTION("GOOGLETRANSLATE(A665,""en"",""pt-br"")"),"tirar o fôlego")</f>
        <v>tirar o fôlego</v>
      </c>
      <c r="D665" s="1" t="str">
        <f>IFERROR(__xludf.DUMMYFUNCTION("GOOGLETRANSLATE(B665,""en"",""pt-br"")"),"positivo")</f>
        <v>positivo</v>
      </c>
    </row>
    <row r="666" ht="15.75" customHeight="1">
      <c r="A666" s="2" t="s">
        <v>668</v>
      </c>
      <c r="B666" s="2" t="s">
        <v>14</v>
      </c>
      <c r="C666" s="1" t="str">
        <f>IFERROR(__xludf.DUMMYFUNCTION("GOOGLETRANSLATE(A666,""en"",""pt-br"")"),"impressionantemente")</f>
        <v>impressionantemente</v>
      </c>
      <c r="D666" s="1" t="str">
        <f>IFERROR(__xludf.DUMMYFUNCTION("GOOGLETRANSLATE(B666,""en"",""pt-br"")"),"positivo")</f>
        <v>positivo</v>
      </c>
    </row>
    <row r="667" ht="15.75" customHeight="1">
      <c r="A667" s="2" t="s">
        <v>669</v>
      </c>
      <c r="B667" s="2" t="s">
        <v>14</v>
      </c>
      <c r="C667" s="1" t="str">
        <f>IFERROR(__xludf.DUMMYFUNCTION("GOOGLETRANSLATE(A667,""en"",""pt-br"")"),"brisa")</f>
        <v>brisa</v>
      </c>
      <c r="D667" s="1" t="str">
        <f>IFERROR(__xludf.DUMMYFUNCTION("GOOGLETRANSLATE(B667,""en"",""pt-br"")"),"positivo")</f>
        <v>positivo</v>
      </c>
    </row>
    <row r="668" ht="15.75" customHeight="1">
      <c r="A668" s="2" t="s">
        <v>670</v>
      </c>
      <c r="B668" s="2" t="s">
        <v>3</v>
      </c>
      <c r="C668" s="1" t="str">
        <f>IFERROR(__xludf.DUMMYFUNCTION("GOOGLETRANSLATE(A668,""en"",""pt-br"")"),"suborno")</f>
        <v>suborno</v>
      </c>
      <c r="D668" s="1" t="str">
        <f>IFERROR(__xludf.DUMMYFUNCTION("GOOGLETRANSLATE(B668,""en"",""pt-br"")"),"negativo")</f>
        <v>negativo</v>
      </c>
    </row>
    <row r="669" ht="15.75" customHeight="1">
      <c r="A669" s="2" t="s">
        <v>671</v>
      </c>
      <c r="B669" s="2" t="s">
        <v>14</v>
      </c>
      <c r="C669" s="1" t="str">
        <f>IFERROR(__xludf.DUMMYFUNCTION("GOOGLETRANSLATE(A669,""en"",""pt-br"")"),"brilhante")</f>
        <v>brilhante</v>
      </c>
      <c r="D669" s="1" t="str">
        <f>IFERROR(__xludf.DUMMYFUNCTION("GOOGLETRANSLATE(B669,""en"",""pt-br"")"),"positivo")</f>
        <v>positivo</v>
      </c>
    </row>
    <row r="670" ht="15.75" customHeight="1">
      <c r="A670" s="2" t="s">
        <v>672</v>
      </c>
      <c r="B670" s="2" t="s">
        <v>14</v>
      </c>
      <c r="C670" s="1" t="str">
        <f>IFERROR(__xludf.DUMMYFUNCTION("GOOGLETRANSLATE(A670,""en"",""pt-br"")"),"Brighten")</f>
        <v>Brighten</v>
      </c>
      <c r="D670" s="1" t="str">
        <f>IFERROR(__xludf.DUMMYFUNCTION("GOOGLETRANSLATE(B670,""en"",""pt-br"")"),"positivo")</f>
        <v>positivo</v>
      </c>
    </row>
    <row r="671" ht="15.75" customHeight="1">
      <c r="A671" s="2" t="s">
        <v>673</v>
      </c>
      <c r="B671" s="2" t="s">
        <v>14</v>
      </c>
      <c r="C671" s="1" t="str">
        <f>IFERROR(__xludf.DUMMYFUNCTION("GOOGLETRANSLATE(A671,""en"",""pt-br"")"),"mais brilhante")</f>
        <v>mais brilhante</v>
      </c>
      <c r="D671" s="1" t="str">
        <f>IFERROR(__xludf.DUMMYFUNCTION("GOOGLETRANSLATE(B671,""en"",""pt-br"")"),"positivo")</f>
        <v>positivo</v>
      </c>
    </row>
    <row r="672" ht="15.75" customHeight="1">
      <c r="A672" s="2" t="s">
        <v>674</v>
      </c>
      <c r="B672" s="2" t="s">
        <v>14</v>
      </c>
      <c r="C672" s="1" t="str">
        <f>IFERROR(__xludf.DUMMYFUNCTION("GOOGLETRANSLATE(A672,""en"",""pt-br"")"),"mais brilhante")</f>
        <v>mais brilhante</v>
      </c>
      <c r="D672" s="1" t="str">
        <f>IFERROR(__xludf.DUMMYFUNCTION("GOOGLETRANSLATE(B672,""en"",""pt-br"")"),"positivo")</f>
        <v>positivo</v>
      </c>
    </row>
    <row r="673" ht="15.75" customHeight="1">
      <c r="A673" s="2" t="s">
        <v>675</v>
      </c>
      <c r="B673" s="2" t="s">
        <v>14</v>
      </c>
      <c r="C673" s="1" t="str">
        <f>IFERROR(__xludf.DUMMYFUNCTION("GOOGLETRANSLATE(A673,""en"",""pt-br"")"),"brilho")</f>
        <v>brilho</v>
      </c>
      <c r="D673" s="1" t="str">
        <f>IFERROR(__xludf.DUMMYFUNCTION("GOOGLETRANSLATE(B673,""en"",""pt-br"")"),"positivo")</f>
        <v>positivo</v>
      </c>
    </row>
    <row r="674" ht="15.75" customHeight="1">
      <c r="A674" s="2" t="s">
        <v>676</v>
      </c>
      <c r="B674" s="2" t="s">
        <v>14</v>
      </c>
      <c r="C674" s="1" t="str">
        <f>IFERROR(__xludf.DUMMYFUNCTION("GOOGLETRANSLATE(A674,""en"",""pt-br"")"),"brilliances")</f>
        <v>brilliances</v>
      </c>
      <c r="D674" s="1" t="str">
        <f>IFERROR(__xludf.DUMMYFUNCTION("GOOGLETRANSLATE(B674,""en"",""pt-br"")"),"positivo")</f>
        <v>positivo</v>
      </c>
    </row>
    <row r="675" ht="15.75" customHeight="1">
      <c r="A675" s="2" t="s">
        <v>677</v>
      </c>
      <c r="B675" s="2" t="s">
        <v>14</v>
      </c>
      <c r="C675" s="1" t="str">
        <f>IFERROR(__xludf.DUMMYFUNCTION("GOOGLETRANSLATE(A675,""en"",""pt-br"")"),"brilhante")</f>
        <v>brilhante</v>
      </c>
      <c r="D675" s="1" t="str">
        <f>IFERROR(__xludf.DUMMYFUNCTION("GOOGLETRANSLATE(B675,""en"",""pt-br"")"),"positivo")</f>
        <v>positivo</v>
      </c>
    </row>
    <row r="676" ht="15.75" customHeight="1">
      <c r="A676" s="2" t="s">
        <v>678</v>
      </c>
      <c r="B676" s="2" t="s">
        <v>14</v>
      </c>
      <c r="C676" s="1" t="str">
        <f>IFERROR(__xludf.DUMMYFUNCTION("GOOGLETRANSLATE(A676,""en"",""pt-br"")"),"brilhantemente")</f>
        <v>brilhantemente</v>
      </c>
      <c r="D676" s="1" t="str">
        <f>IFERROR(__xludf.DUMMYFUNCTION("GOOGLETRANSLATE(B676,""en"",""pt-br"")"),"positivo")</f>
        <v>positivo</v>
      </c>
    </row>
    <row r="677" ht="15.75" customHeight="1">
      <c r="A677" s="2" t="s">
        <v>679</v>
      </c>
      <c r="B677" s="2" t="s">
        <v>3</v>
      </c>
      <c r="C677" s="1" t="str">
        <f>IFERROR(__xludf.DUMMYFUNCTION("GOOGLETRANSLATE(A677,""en"",""pt-br"")"),"enxofre")</f>
        <v>enxofre</v>
      </c>
      <c r="D677" s="1" t="str">
        <f>IFERROR(__xludf.DUMMYFUNCTION("GOOGLETRANSLATE(B677,""en"",""pt-br"")"),"negativo")</f>
        <v>negativo</v>
      </c>
    </row>
    <row r="678" ht="15.75" customHeight="1">
      <c r="A678" s="2" t="s">
        <v>680</v>
      </c>
      <c r="B678" s="2" t="s">
        <v>14</v>
      </c>
      <c r="C678" s="1" t="str">
        <f>IFERROR(__xludf.DUMMYFUNCTION("GOOGLETRANSLATE(A678,""en"",""pt-br"")"),"vivo")</f>
        <v>vivo</v>
      </c>
      <c r="D678" s="1" t="str">
        <f>IFERROR(__xludf.DUMMYFUNCTION("GOOGLETRANSLATE(B678,""en"",""pt-br"")"),"positivo")</f>
        <v>positivo</v>
      </c>
    </row>
    <row r="679" ht="15.75" customHeight="1">
      <c r="A679" s="2" t="s">
        <v>681</v>
      </c>
      <c r="B679" s="2" t="s">
        <v>3</v>
      </c>
      <c r="C679" s="1" t="str">
        <f>IFERROR(__xludf.DUMMYFUNCTION("GOOGLETRANSLATE(A679,""en"",""pt-br"")"),"pêlos")</f>
        <v>pêlos</v>
      </c>
      <c r="D679" s="1" t="str">
        <f>IFERROR(__xludf.DUMMYFUNCTION("GOOGLETRANSLATE(B679,""en"",""pt-br"")"),"negativo")</f>
        <v>negativo</v>
      </c>
    </row>
    <row r="680" ht="15.75" customHeight="1">
      <c r="A680" s="2" t="s">
        <v>682</v>
      </c>
      <c r="B680" s="2" t="s">
        <v>3</v>
      </c>
      <c r="C680" s="1" t="str">
        <f>IFERROR(__xludf.DUMMYFUNCTION("GOOGLETRANSLATE(A680,""en"",""pt-br"")"),"frágil")</f>
        <v>frágil</v>
      </c>
      <c r="D680" s="1" t="str">
        <f>IFERROR(__xludf.DUMMYFUNCTION("GOOGLETRANSLATE(B680,""en"",""pt-br"")"),"negativo")</f>
        <v>negativo</v>
      </c>
    </row>
    <row r="681" ht="15.75" customHeight="1">
      <c r="A681" s="2" t="s">
        <v>683</v>
      </c>
      <c r="B681" s="2" t="s">
        <v>3</v>
      </c>
      <c r="C681" s="1" t="str">
        <f>IFERROR(__xludf.DUMMYFUNCTION("GOOGLETRANSLATE(A681,""en"",""pt-br"")"),"quebrou")</f>
        <v>quebrou</v>
      </c>
      <c r="D681" s="1" t="str">
        <f>IFERROR(__xludf.DUMMYFUNCTION("GOOGLETRANSLATE(B681,""en"",""pt-br"")"),"negativo")</f>
        <v>negativo</v>
      </c>
    </row>
    <row r="682" ht="15.75" customHeight="1">
      <c r="A682" s="2" t="s">
        <v>684</v>
      </c>
      <c r="B682" s="2" t="s">
        <v>3</v>
      </c>
      <c r="C682" s="1" t="str">
        <f>IFERROR(__xludf.DUMMYFUNCTION("GOOGLETRANSLATE(A682,""en"",""pt-br"")"),"partido")</f>
        <v>partido</v>
      </c>
      <c r="D682" s="1" t="str">
        <f>IFERROR(__xludf.DUMMYFUNCTION("GOOGLETRANSLATE(B682,""en"",""pt-br"")"),"negativo")</f>
        <v>negativo</v>
      </c>
    </row>
    <row r="683" ht="15.75" customHeight="1">
      <c r="A683" s="2" t="s">
        <v>685</v>
      </c>
      <c r="B683" s="2" t="s">
        <v>3</v>
      </c>
      <c r="C683" s="1" t="str">
        <f>IFERROR(__xludf.DUMMYFUNCTION("GOOGLETRANSLATE(A683,""en"",""pt-br"")"),"coração partido")</f>
        <v>coração partido</v>
      </c>
      <c r="D683" s="1" t="str">
        <f>IFERROR(__xludf.DUMMYFUNCTION("GOOGLETRANSLATE(B683,""en"",""pt-br"")"),"negativo")</f>
        <v>negativo</v>
      </c>
    </row>
    <row r="684" ht="15.75" customHeight="1">
      <c r="A684" s="2" t="s">
        <v>686</v>
      </c>
      <c r="B684" s="2" t="s">
        <v>3</v>
      </c>
      <c r="C684" s="1" t="str">
        <f>IFERROR(__xludf.DUMMYFUNCTION("GOOGLETRANSLATE(A684,""en"",""pt-br"")"),"ninhada")</f>
        <v>ninhada</v>
      </c>
      <c r="D684" s="1" t="str">
        <f>IFERROR(__xludf.DUMMYFUNCTION("GOOGLETRANSLATE(B684,""en"",""pt-br"")"),"negativo")</f>
        <v>negativo</v>
      </c>
    </row>
    <row r="685" ht="15.75" customHeight="1">
      <c r="A685" s="2" t="s">
        <v>687</v>
      </c>
      <c r="B685" s="2" t="s">
        <v>14</v>
      </c>
      <c r="C685" s="1" t="str">
        <f>IFERROR(__xludf.DUMMYFUNCTION("GOOGLETRANSLATE(A685,""en"",""pt-br"")"),"fraternal")</f>
        <v>fraternal</v>
      </c>
      <c r="D685" s="1" t="str">
        <f>IFERROR(__xludf.DUMMYFUNCTION("GOOGLETRANSLATE(B685,""en"",""pt-br"")"),"positivo")</f>
        <v>positivo</v>
      </c>
    </row>
    <row r="686" ht="15.75" customHeight="1">
      <c r="A686" s="2" t="s">
        <v>688</v>
      </c>
      <c r="B686" s="2" t="s">
        <v>3</v>
      </c>
      <c r="C686" s="1" t="str">
        <f>IFERROR(__xludf.DUMMYFUNCTION("GOOGLETRANSLATE(A686,""en"",""pt-br"")"),"intimidar")</f>
        <v>intimidar</v>
      </c>
      <c r="D686" s="1" t="str">
        <f>IFERROR(__xludf.DUMMYFUNCTION("GOOGLETRANSLATE(B686,""en"",""pt-br"")"),"negativo")</f>
        <v>negativo</v>
      </c>
    </row>
    <row r="687" ht="15.75" customHeight="1">
      <c r="A687" s="2" t="s">
        <v>689</v>
      </c>
      <c r="B687" s="2" t="s">
        <v>3</v>
      </c>
      <c r="C687" s="1" t="str">
        <f>IFERROR(__xludf.DUMMYFUNCTION("GOOGLETRANSLATE(A687,""en"",""pt-br"")"),"ematoma")</f>
        <v>ematoma</v>
      </c>
      <c r="D687" s="1" t="str">
        <f>IFERROR(__xludf.DUMMYFUNCTION("GOOGLETRANSLATE(B687,""en"",""pt-br"")"),"negativo")</f>
        <v>negativo</v>
      </c>
    </row>
    <row r="688" ht="15.75" customHeight="1">
      <c r="A688" s="2" t="s">
        <v>690</v>
      </c>
      <c r="B688" s="2" t="s">
        <v>3</v>
      </c>
      <c r="C688" s="1" t="str">
        <f>IFERROR(__xludf.DUMMYFUNCTION("GOOGLETRANSLATE(A688,""en"",""pt-br"")"),"ferido")</f>
        <v>ferido</v>
      </c>
      <c r="D688" s="1" t="str">
        <f>IFERROR(__xludf.DUMMYFUNCTION("GOOGLETRANSLATE(B688,""en"",""pt-br"")"),"negativo")</f>
        <v>negativo</v>
      </c>
    </row>
    <row r="689" ht="15.75" customHeight="1">
      <c r="A689" s="2" t="s">
        <v>691</v>
      </c>
      <c r="B689" s="2" t="s">
        <v>3</v>
      </c>
      <c r="C689" s="1" t="str">
        <f>IFERROR(__xludf.DUMMYFUNCTION("GOOGLETRANSLATE(A689,""en"",""pt-br"")"),"contusões")</f>
        <v>contusões</v>
      </c>
      <c r="D689" s="1" t="str">
        <f>IFERROR(__xludf.DUMMYFUNCTION("GOOGLETRANSLATE(B689,""en"",""pt-br"")"),"negativo")</f>
        <v>negativo</v>
      </c>
    </row>
    <row r="690" ht="15.75" customHeight="1">
      <c r="A690" s="2" t="s">
        <v>692</v>
      </c>
      <c r="B690" s="2" t="s">
        <v>3</v>
      </c>
      <c r="C690" s="1" t="str">
        <f>IFERROR(__xludf.DUMMYFUNCTION("GOOGLETRANSLATE(A690,""en"",""pt-br"")"),"contundente")</f>
        <v>contundente</v>
      </c>
      <c r="D690" s="1" t="str">
        <f>IFERROR(__xludf.DUMMYFUNCTION("GOOGLETRANSLATE(B690,""en"",""pt-br"")"),"negativo")</f>
        <v>negativo</v>
      </c>
    </row>
    <row r="691" ht="15.75" customHeight="1">
      <c r="A691" s="2" t="s">
        <v>693</v>
      </c>
      <c r="B691" s="2" t="s">
        <v>3</v>
      </c>
      <c r="C691" s="1" t="str">
        <f>IFERROR(__xludf.DUMMYFUNCTION("GOOGLETRANSLATE(A691,""en"",""pt-br"")"),"brusco")</f>
        <v>brusco</v>
      </c>
      <c r="D691" s="1" t="str">
        <f>IFERROR(__xludf.DUMMYFUNCTION("GOOGLETRANSLATE(B691,""en"",""pt-br"")"),"negativo")</f>
        <v>negativo</v>
      </c>
    </row>
    <row r="692" ht="15.75" customHeight="1">
      <c r="A692" s="2" t="s">
        <v>694</v>
      </c>
      <c r="B692" s="2" t="s">
        <v>3</v>
      </c>
      <c r="C692" s="1" t="str">
        <f>IFERROR(__xludf.DUMMYFUNCTION("GOOGLETRANSLATE(A692,""en"",""pt-br"")"),"brutal")</f>
        <v>brutal</v>
      </c>
      <c r="D692" s="1" t="str">
        <f>IFERROR(__xludf.DUMMYFUNCTION("GOOGLETRANSLATE(B692,""en"",""pt-br"")"),"negativo")</f>
        <v>negativo</v>
      </c>
    </row>
    <row r="693" ht="15.75" customHeight="1">
      <c r="A693" s="2" t="s">
        <v>695</v>
      </c>
      <c r="B693" s="2" t="s">
        <v>3</v>
      </c>
      <c r="C693" s="1" t="str">
        <f>IFERROR(__xludf.DUMMYFUNCTION("GOOGLETRANSLATE(A693,""en"",""pt-br"")"),"brutalização")</f>
        <v>brutalização</v>
      </c>
      <c r="D693" s="1" t="str">
        <f>IFERROR(__xludf.DUMMYFUNCTION("GOOGLETRANSLATE(B693,""en"",""pt-br"")"),"negativo")</f>
        <v>negativo</v>
      </c>
    </row>
    <row r="694" ht="15.75" customHeight="1">
      <c r="A694" s="2" t="s">
        <v>696</v>
      </c>
      <c r="B694" s="2" t="s">
        <v>3</v>
      </c>
      <c r="C694" s="1" t="str">
        <f>IFERROR(__xludf.DUMMYFUNCTION("GOOGLETRANSLATE(A694,""en"",""pt-br"")"),"brutalidades")</f>
        <v>brutalidades</v>
      </c>
      <c r="D694" s="1" t="str">
        <f>IFERROR(__xludf.DUMMYFUNCTION("GOOGLETRANSLATE(B694,""en"",""pt-br"")"),"negativo")</f>
        <v>negativo</v>
      </c>
    </row>
    <row r="695" ht="15.75" customHeight="1">
      <c r="A695" s="2" t="s">
        <v>697</v>
      </c>
      <c r="B695" s="2" t="s">
        <v>3</v>
      </c>
      <c r="C695" s="1" t="str">
        <f>IFERROR(__xludf.DUMMYFUNCTION("GOOGLETRANSLATE(A695,""en"",""pt-br"")"),"brutalidade")</f>
        <v>brutalidade</v>
      </c>
      <c r="D695" s="1" t="str">
        <f>IFERROR(__xludf.DUMMYFUNCTION("GOOGLETRANSLATE(B695,""en"",""pt-br"")"),"negativo")</f>
        <v>negativo</v>
      </c>
    </row>
    <row r="696" ht="15.75" customHeight="1">
      <c r="A696" s="2" t="s">
        <v>698</v>
      </c>
      <c r="B696" s="2" t="s">
        <v>3</v>
      </c>
      <c r="C696" s="1" t="str">
        <f>IFERROR(__xludf.DUMMYFUNCTION("GOOGLETRANSLATE(A696,""en"",""pt-br"")"),"brutalizar")</f>
        <v>brutalizar</v>
      </c>
      <c r="D696" s="1" t="str">
        <f>IFERROR(__xludf.DUMMYFUNCTION("GOOGLETRANSLATE(B696,""en"",""pt-br"")"),"negativo")</f>
        <v>negativo</v>
      </c>
    </row>
    <row r="697" ht="15.75" customHeight="1">
      <c r="A697" s="2" t="s">
        <v>699</v>
      </c>
      <c r="B697" s="2" t="s">
        <v>3</v>
      </c>
      <c r="C697" s="1" t="str">
        <f>IFERROR(__xludf.DUMMYFUNCTION("GOOGLETRANSLATE(A697,""en"",""pt-br"")"),"brutalização")</f>
        <v>brutalização</v>
      </c>
      <c r="D697" s="1" t="str">
        <f>IFERROR(__xludf.DUMMYFUNCTION("GOOGLETRANSLATE(B697,""en"",""pt-br"")"),"negativo")</f>
        <v>negativo</v>
      </c>
    </row>
    <row r="698" ht="15.75" customHeight="1">
      <c r="A698" s="2" t="s">
        <v>700</v>
      </c>
      <c r="B698" s="2" t="s">
        <v>3</v>
      </c>
      <c r="C698" s="1" t="str">
        <f>IFERROR(__xludf.DUMMYFUNCTION("GOOGLETRANSLATE(A698,""en"",""pt-br"")"),"brutalmente")</f>
        <v>brutalmente</v>
      </c>
      <c r="D698" s="1" t="str">
        <f>IFERROR(__xludf.DUMMYFUNCTION("GOOGLETRANSLATE(B698,""en"",""pt-br"")"),"negativo")</f>
        <v>negativo</v>
      </c>
    </row>
    <row r="699" ht="15.75" customHeight="1">
      <c r="A699" s="2" t="s">
        <v>701</v>
      </c>
      <c r="B699" s="2" t="s">
        <v>3</v>
      </c>
      <c r="C699" s="1" t="str">
        <f>IFERROR(__xludf.DUMMYFUNCTION("GOOGLETRANSLATE(A699,""en"",""pt-br"")"),"bruto")</f>
        <v>bruto</v>
      </c>
      <c r="D699" s="1" t="str">
        <f>IFERROR(__xludf.DUMMYFUNCTION("GOOGLETRANSLATE(B699,""en"",""pt-br"")"),"negativo")</f>
        <v>negativo</v>
      </c>
    </row>
    <row r="700" ht="15.75" customHeight="1">
      <c r="A700" s="2" t="s">
        <v>702</v>
      </c>
      <c r="B700" s="2" t="s">
        <v>3</v>
      </c>
      <c r="C700" s="1" t="str">
        <f>IFERROR(__xludf.DUMMYFUNCTION("GOOGLETRANSLATE(A700,""en"",""pt-br"")"),"brutal")</f>
        <v>brutal</v>
      </c>
      <c r="D700" s="1" t="str">
        <f>IFERROR(__xludf.DUMMYFUNCTION("GOOGLETRANSLATE(B700,""en"",""pt-br"")"),"negativo")</f>
        <v>negativo</v>
      </c>
    </row>
    <row r="701" ht="15.75" customHeight="1">
      <c r="A701" s="2" t="s">
        <v>703</v>
      </c>
      <c r="B701" s="2" t="s">
        <v>3</v>
      </c>
      <c r="C701" s="1" t="str">
        <f>IFERROR(__xludf.DUMMYFUNCTION("GOOGLETRANSLATE(A701,""en"",""pt-br"")"),"bs")</f>
        <v>bs</v>
      </c>
      <c r="D701" s="1" t="str">
        <f>IFERROR(__xludf.DUMMYFUNCTION("GOOGLETRANSLATE(B701,""en"",""pt-br"")"),"negativo")</f>
        <v>negativo</v>
      </c>
    </row>
    <row r="702" ht="15.75" customHeight="1">
      <c r="A702" s="2" t="s">
        <v>704</v>
      </c>
      <c r="B702" s="2" t="s">
        <v>3</v>
      </c>
      <c r="C702" s="1" t="str">
        <f>IFERROR(__xludf.DUMMYFUNCTION("GOOGLETRANSLATE(A702,""en"",""pt-br"")"),"fivela")</f>
        <v>fivela</v>
      </c>
      <c r="D702" s="1" t="str">
        <f>IFERROR(__xludf.DUMMYFUNCTION("GOOGLETRANSLATE(B702,""en"",""pt-br"")"),"negativo")</f>
        <v>negativo</v>
      </c>
    </row>
    <row r="703" ht="15.75" customHeight="1">
      <c r="A703" s="2" t="s">
        <v>705</v>
      </c>
      <c r="B703" s="2" t="s">
        <v>3</v>
      </c>
      <c r="C703" s="1" t="str">
        <f>IFERROR(__xludf.DUMMYFUNCTION("GOOGLETRANSLATE(A703,""en"",""pt-br"")"),"erro")</f>
        <v>erro</v>
      </c>
      <c r="D703" s="1" t="str">
        <f>IFERROR(__xludf.DUMMYFUNCTION("GOOGLETRANSLATE(B703,""en"",""pt-br"")"),"negativo")</f>
        <v>negativo</v>
      </c>
    </row>
    <row r="704" ht="15.75" customHeight="1">
      <c r="A704" s="2" t="s">
        <v>706</v>
      </c>
      <c r="B704" s="2" t="s">
        <v>3</v>
      </c>
      <c r="C704" s="1" t="str">
        <f>IFERROR(__xludf.DUMMYFUNCTION("GOOGLETRANSLATE(A704,""en"",""pt-br"")"),"escuta")</f>
        <v>escuta</v>
      </c>
      <c r="D704" s="1" t="str">
        <f>IFERROR(__xludf.DUMMYFUNCTION("GOOGLETRANSLATE(B704,""en"",""pt-br"")"),"negativo")</f>
        <v>negativo</v>
      </c>
    </row>
    <row r="705" ht="15.75" customHeight="1">
      <c r="A705" s="2" t="s">
        <v>707</v>
      </c>
      <c r="B705" s="2" t="s">
        <v>3</v>
      </c>
      <c r="C705" s="1" t="str">
        <f>IFERROR(__xludf.DUMMYFUNCTION("GOOGLETRANSLATE(A705,""en"",""pt-br"")"),"Buggy")</f>
        <v>Buggy</v>
      </c>
      <c r="D705" s="1" t="str">
        <f>IFERROR(__xludf.DUMMYFUNCTION("GOOGLETRANSLATE(B705,""en"",""pt-br"")"),"negativo")</f>
        <v>negativo</v>
      </c>
    </row>
    <row r="706" ht="15.75" customHeight="1">
      <c r="A706" s="2" t="s">
        <v>708</v>
      </c>
      <c r="B706" s="2" t="s">
        <v>3</v>
      </c>
      <c r="C706" s="1" t="str">
        <f>IFERROR(__xludf.DUMMYFUNCTION("GOOGLETRANSLATE(A706,""en"",""pt-br"")"),"insetos")</f>
        <v>insetos</v>
      </c>
      <c r="D706" s="1" t="str">
        <f>IFERROR(__xludf.DUMMYFUNCTION("GOOGLETRANSLATE(B706,""en"",""pt-br"")"),"negativo")</f>
        <v>negativo</v>
      </c>
    </row>
    <row r="707" ht="15.75" customHeight="1">
      <c r="A707" s="2" t="s">
        <v>709</v>
      </c>
      <c r="B707" s="2" t="s">
        <v>3</v>
      </c>
      <c r="C707" s="1" t="str">
        <f>IFERROR(__xludf.DUMMYFUNCTION("GOOGLETRANSLATE(A707,""en"",""pt-br"")"),"mais volumoso")</f>
        <v>mais volumoso</v>
      </c>
      <c r="D707" s="1" t="str">
        <f>IFERROR(__xludf.DUMMYFUNCTION("GOOGLETRANSLATE(B707,""en"",""pt-br"")"),"negativo")</f>
        <v>negativo</v>
      </c>
    </row>
    <row r="708" ht="15.75" customHeight="1">
      <c r="A708" s="2" t="s">
        <v>710</v>
      </c>
      <c r="B708" s="2" t="s">
        <v>3</v>
      </c>
      <c r="C708" s="1" t="str">
        <f>IFERROR(__xludf.DUMMYFUNCTION("GOOGLETRANSLATE(A708,""en"",""pt-br"")"),"bulkiness")</f>
        <v>bulkiness</v>
      </c>
      <c r="D708" s="1" t="str">
        <f>IFERROR(__xludf.DUMMYFUNCTION("GOOGLETRANSLATE(B708,""en"",""pt-br"")"),"negativo")</f>
        <v>negativo</v>
      </c>
    </row>
    <row r="709" ht="15.75" customHeight="1">
      <c r="A709" s="2" t="s">
        <v>711</v>
      </c>
      <c r="B709" s="2" t="s">
        <v>3</v>
      </c>
      <c r="C709" s="1" t="str">
        <f>IFERROR(__xludf.DUMMYFUNCTION("GOOGLETRANSLATE(A709,""en"",""pt-br"")"),"volumoso")</f>
        <v>volumoso</v>
      </c>
      <c r="D709" s="1" t="str">
        <f>IFERROR(__xludf.DUMMYFUNCTION("GOOGLETRANSLATE(B709,""en"",""pt-br"")"),"negativo")</f>
        <v>negativo</v>
      </c>
    </row>
    <row r="710" ht="15.75" customHeight="1">
      <c r="A710" s="2" t="s">
        <v>712</v>
      </c>
      <c r="B710" s="2" t="s">
        <v>3</v>
      </c>
      <c r="C710" s="1" t="str">
        <f>IFERROR(__xludf.DUMMYFUNCTION("GOOGLETRANSLATE(A710,""en"",""pt-br"")"),"bulkyness")</f>
        <v>bulkyness</v>
      </c>
      <c r="D710" s="1" t="str">
        <f>IFERROR(__xludf.DUMMYFUNCTION("GOOGLETRANSLATE(B710,""en"",""pt-br"")"),"negativo")</f>
        <v>negativo</v>
      </c>
    </row>
    <row r="711" ht="15.75" customHeight="1">
      <c r="A711" s="2" t="s">
        <v>713</v>
      </c>
      <c r="B711" s="2" t="s">
        <v>3</v>
      </c>
      <c r="C711" s="1" t="str">
        <f>IFERROR(__xludf.DUMMYFUNCTION("GOOGLETRANSLATE(A711,""en"",""pt-br"")"),"touro----")</f>
        <v>touro----</v>
      </c>
      <c r="D711" s="1" t="str">
        <f>IFERROR(__xludf.DUMMYFUNCTION("GOOGLETRANSLATE(B711,""en"",""pt-br"")"),"negativo")</f>
        <v>negativo</v>
      </c>
    </row>
    <row r="712" ht="15.75" customHeight="1">
      <c r="A712" s="2" t="s">
        <v>714</v>
      </c>
      <c r="B712" s="2" t="s">
        <v>3</v>
      </c>
      <c r="C712" s="1" t="str">
        <f>IFERROR(__xludf.DUMMYFUNCTION("GOOGLETRANSLATE(A712,""en"",""pt-br"")"),"touro****")</f>
        <v>touro****</v>
      </c>
      <c r="D712" s="1" t="str">
        <f>IFERROR(__xludf.DUMMYFUNCTION("GOOGLETRANSLATE(B712,""en"",""pt-br"")"),"negativo")</f>
        <v>negativo</v>
      </c>
    </row>
    <row r="713" ht="15.75" customHeight="1">
      <c r="A713" s="2" t="s">
        <v>715</v>
      </c>
      <c r="B713" s="2" t="s">
        <v>3</v>
      </c>
      <c r="C713" s="1" t="str">
        <f>IFERROR(__xludf.DUMMYFUNCTION("GOOGLETRANSLATE(A713,""en"",""pt-br"")"),"valentões")</f>
        <v>valentões</v>
      </c>
      <c r="D713" s="1" t="str">
        <f>IFERROR(__xludf.DUMMYFUNCTION("GOOGLETRANSLATE(B713,""en"",""pt-br"")"),"negativo")</f>
        <v>negativo</v>
      </c>
    </row>
    <row r="714" ht="15.75" customHeight="1">
      <c r="A714" s="2" t="s">
        <v>716</v>
      </c>
      <c r="B714" s="2" t="s">
        <v>14</v>
      </c>
      <c r="C714" s="1" t="str">
        <f>IFERROR(__xludf.DUMMYFUNCTION("GOOGLETRANSLATE(A714,""en"",""pt-br"")"),"otimista")</f>
        <v>otimista</v>
      </c>
      <c r="D714" s="1" t="str">
        <f>IFERROR(__xludf.DUMMYFUNCTION("GOOGLETRANSLATE(B714,""en"",""pt-br"")"),"positivo")</f>
        <v>positivo</v>
      </c>
    </row>
    <row r="715" ht="15.75" customHeight="1">
      <c r="A715" s="2" t="s">
        <v>717</v>
      </c>
      <c r="B715" s="2" t="s">
        <v>3</v>
      </c>
      <c r="C715" s="1" t="str">
        <f>IFERROR(__xludf.DUMMYFUNCTION("GOOGLETRANSLATE(A715,""en"",""pt-br"")"),"besteira")</f>
        <v>besteira</v>
      </c>
      <c r="D715" s="1" t="str">
        <f>IFERROR(__xludf.DUMMYFUNCTION("GOOGLETRANSLATE(B715,""en"",""pt-br"")"),"negativo")</f>
        <v>negativo</v>
      </c>
    </row>
    <row r="716" ht="15.75" customHeight="1">
      <c r="A716" s="2" t="s">
        <v>718</v>
      </c>
      <c r="B716" s="2" t="s">
        <v>3</v>
      </c>
      <c r="C716" s="1" t="str">
        <f>IFERROR(__xludf.DUMMYFUNCTION("GOOGLETRANSLATE(A716,""en"",""pt-br"")"),"bullshyt")</f>
        <v>bullshyt</v>
      </c>
      <c r="D716" s="1" t="str">
        <f>IFERROR(__xludf.DUMMYFUNCTION("GOOGLETRANSLATE(B716,""en"",""pt-br"")"),"negativo")</f>
        <v>negativo</v>
      </c>
    </row>
    <row r="717" ht="15.75" customHeight="1">
      <c r="A717" s="2" t="s">
        <v>719</v>
      </c>
      <c r="B717" s="2" t="s">
        <v>3</v>
      </c>
      <c r="C717" s="1" t="str">
        <f>IFERROR(__xludf.DUMMYFUNCTION("GOOGLETRANSLATE(A717,""en"",""pt-br"")"),"valentão")</f>
        <v>valentão</v>
      </c>
      <c r="D717" s="1" t="str">
        <f>IFERROR(__xludf.DUMMYFUNCTION("GOOGLETRANSLATE(B717,""en"",""pt-br"")"),"negativo")</f>
        <v>negativo</v>
      </c>
    </row>
    <row r="718" ht="15.75" customHeight="1">
      <c r="A718" s="2" t="s">
        <v>720</v>
      </c>
      <c r="B718" s="2" t="s">
        <v>3</v>
      </c>
      <c r="C718" s="1" t="str">
        <f>IFERROR(__xludf.DUMMYFUNCTION("GOOGLETRANSLATE(A718,""en"",""pt-br"")"),"assédio moral")</f>
        <v>assédio moral</v>
      </c>
      <c r="D718" s="1" t="str">
        <f>IFERROR(__xludf.DUMMYFUNCTION("GOOGLETRANSLATE(B718,""en"",""pt-br"")"),"negativo")</f>
        <v>negativo</v>
      </c>
    </row>
    <row r="719" ht="15.75" customHeight="1">
      <c r="A719" s="2" t="s">
        <v>721</v>
      </c>
      <c r="B719" s="2" t="s">
        <v>3</v>
      </c>
      <c r="C719" s="1" t="str">
        <f>IFERROR(__xludf.DUMMYFUNCTION("GOOGLETRANSLATE(A719,""en"",""pt-br"")"),"bullyingly")</f>
        <v>bullyingly</v>
      </c>
      <c r="D719" s="1" t="str">
        <f>IFERROR(__xludf.DUMMYFUNCTION("GOOGLETRANSLATE(B719,""en"",""pt-br"")"),"negativo")</f>
        <v>negativo</v>
      </c>
    </row>
    <row r="720" ht="15.75" customHeight="1">
      <c r="A720" s="2" t="s">
        <v>722</v>
      </c>
      <c r="B720" s="2" t="s">
        <v>3</v>
      </c>
      <c r="C720" s="1" t="str">
        <f>IFERROR(__xludf.DUMMYFUNCTION("GOOGLETRANSLATE(A720,""en"",""pt-br"")"),"vagabundo")</f>
        <v>vagabundo</v>
      </c>
      <c r="D720" s="1" t="str">
        <f>IFERROR(__xludf.DUMMYFUNCTION("GOOGLETRANSLATE(B720,""en"",""pt-br"")"),"negativo")</f>
        <v>negativo</v>
      </c>
    </row>
    <row r="721" ht="15.75" customHeight="1">
      <c r="A721" s="2" t="s">
        <v>723</v>
      </c>
      <c r="B721" s="2" t="s">
        <v>3</v>
      </c>
      <c r="C721" s="1" t="str">
        <f>IFERROR(__xludf.DUMMYFUNCTION("GOOGLETRANSLATE(A721,""en"",""pt-br"")"),"colisão")</f>
        <v>colisão</v>
      </c>
      <c r="D721" s="1" t="str">
        <f>IFERROR(__xludf.DUMMYFUNCTION("GOOGLETRANSLATE(B721,""en"",""pt-br"")"),"negativo")</f>
        <v>negativo</v>
      </c>
    </row>
    <row r="722" ht="15.75" customHeight="1">
      <c r="A722" s="2" t="s">
        <v>724</v>
      </c>
      <c r="B722" s="2" t="s">
        <v>3</v>
      </c>
      <c r="C722" s="1" t="str">
        <f>IFERROR(__xludf.DUMMYFUNCTION("GOOGLETRANSLATE(A722,""en"",""pt-br"")"),"Bumped")</f>
        <v>Bumped</v>
      </c>
      <c r="D722" s="1" t="str">
        <f>IFERROR(__xludf.DUMMYFUNCTION("GOOGLETRANSLATE(B722,""en"",""pt-br"")"),"negativo")</f>
        <v>negativo</v>
      </c>
    </row>
    <row r="723" ht="15.75" customHeight="1">
      <c r="A723" s="2" t="s">
        <v>725</v>
      </c>
      <c r="B723" s="2" t="s">
        <v>3</v>
      </c>
      <c r="C723" s="1" t="str">
        <f>IFERROR(__xludf.DUMMYFUNCTION("GOOGLETRANSLATE(A723,""en"",""pt-br"")"),"bumping")</f>
        <v>bumping</v>
      </c>
      <c r="D723" s="1" t="str">
        <f>IFERROR(__xludf.DUMMYFUNCTION("GOOGLETRANSLATE(B723,""en"",""pt-br"")"),"negativo")</f>
        <v>negativo</v>
      </c>
    </row>
    <row r="724" ht="15.75" customHeight="1">
      <c r="A724" s="2" t="s">
        <v>726</v>
      </c>
      <c r="B724" s="2" t="s">
        <v>3</v>
      </c>
      <c r="C724" s="1" t="str">
        <f>IFERROR(__xludf.DUMMYFUNCTION("GOOGLETRANSLATE(A724,""en"",""pt-br"")"),"bumpping")</f>
        <v>bumpping</v>
      </c>
      <c r="D724" s="1" t="str">
        <f>IFERROR(__xludf.DUMMYFUNCTION("GOOGLETRANSLATE(B724,""en"",""pt-br"")"),"negativo")</f>
        <v>negativo</v>
      </c>
    </row>
    <row r="725" ht="15.75" customHeight="1">
      <c r="A725" s="2" t="s">
        <v>727</v>
      </c>
      <c r="B725" s="2" t="s">
        <v>3</v>
      </c>
      <c r="C725" s="1" t="str">
        <f>IFERROR(__xludf.DUMMYFUNCTION("GOOGLETRANSLATE(A725,""en"",""pt-br"")"),"solavancos")</f>
        <v>solavancos</v>
      </c>
      <c r="D725" s="1" t="str">
        <f>IFERROR(__xludf.DUMMYFUNCTION("GOOGLETRANSLATE(B725,""en"",""pt-br"")"),"negativo")</f>
        <v>negativo</v>
      </c>
    </row>
    <row r="726" ht="15.75" customHeight="1">
      <c r="A726" s="2" t="s">
        <v>728</v>
      </c>
      <c r="B726" s="2" t="s">
        <v>3</v>
      </c>
      <c r="C726" s="1" t="str">
        <f>IFERROR(__xludf.DUMMYFUNCTION("GOOGLETRANSLATE(A726,""en"",""pt-br"")"),"protuberância")</f>
        <v>protuberância</v>
      </c>
      <c r="D726" s="1" t="str">
        <f>IFERROR(__xludf.DUMMYFUNCTION("GOOGLETRANSLATE(B726,""en"",""pt-br"")"),"negativo")</f>
        <v>negativo</v>
      </c>
    </row>
    <row r="727" ht="15.75" customHeight="1">
      <c r="A727" s="2" t="s">
        <v>729</v>
      </c>
      <c r="B727" s="2" t="s">
        <v>3</v>
      </c>
      <c r="C727" s="1" t="str">
        <f>IFERROR(__xludf.DUMMYFUNCTION("GOOGLETRANSLATE(A727,""en"",""pt-br"")"),"estragar")</f>
        <v>estragar</v>
      </c>
      <c r="D727" s="1" t="str">
        <f>IFERROR(__xludf.DUMMYFUNCTION("GOOGLETRANSLATE(B727,""en"",""pt-br"")"),"negativo")</f>
        <v>negativo</v>
      </c>
    </row>
    <row r="728" ht="15.75" customHeight="1">
      <c r="A728" s="2" t="s">
        <v>730</v>
      </c>
      <c r="B728" s="2" t="s">
        <v>3</v>
      </c>
      <c r="C728" s="1" t="str">
        <f>IFERROR(__xludf.DUMMYFUNCTION("GOOGLETRANSLATE(A728,""en"",""pt-br"")"),"trapalhão")</f>
        <v>trapalhão</v>
      </c>
      <c r="D728" s="1" t="str">
        <f>IFERROR(__xludf.DUMMYFUNCTION("GOOGLETRANSLATE(B728,""en"",""pt-br"")"),"negativo")</f>
        <v>negativo</v>
      </c>
    </row>
    <row r="729" ht="15.75" customHeight="1">
      <c r="A729" s="2" t="s">
        <v>731</v>
      </c>
      <c r="B729" s="2" t="s">
        <v>3</v>
      </c>
      <c r="C729" s="1" t="str">
        <f>IFERROR(__xludf.DUMMYFUNCTION("GOOGLETRANSLATE(A729,""en"",""pt-br"")"),"bungling")</f>
        <v>bungling</v>
      </c>
      <c r="D729" s="1" t="str">
        <f>IFERROR(__xludf.DUMMYFUNCTION("GOOGLETRANSLATE(B729,""en"",""pt-br"")"),"negativo")</f>
        <v>negativo</v>
      </c>
    </row>
    <row r="730" ht="15.75" customHeight="1">
      <c r="A730" s="2" t="s">
        <v>732</v>
      </c>
      <c r="B730" s="2" t="s">
        <v>3</v>
      </c>
      <c r="C730" s="1" t="str">
        <f>IFERROR(__xludf.DUMMYFUNCTION("GOOGLETRANSLATE(A730,""en"",""pt-br"")"),"beliche")</f>
        <v>beliche</v>
      </c>
      <c r="D730" s="1" t="str">
        <f>IFERROR(__xludf.DUMMYFUNCTION("GOOGLETRANSLATE(B730,""en"",""pt-br"")"),"negativo")</f>
        <v>negativo</v>
      </c>
    </row>
    <row r="731" ht="15.75" customHeight="1">
      <c r="A731" s="2" t="s">
        <v>733</v>
      </c>
      <c r="B731" s="2" t="s">
        <v>14</v>
      </c>
      <c r="C731" s="1" t="str">
        <f>IFERROR(__xludf.DUMMYFUNCTION("GOOGLETRANSLATE(A731,""en"",""pt-br"")"),"flutuante")</f>
        <v>flutuante</v>
      </c>
      <c r="D731" s="1" t="str">
        <f>IFERROR(__xludf.DUMMYFUNCTION("GOOGLETRANSLATE(B731,""en"",""pt-br"")"),"positivo")</f>
        <v>positivo</v>
      </c>
    </row>
    <row r="732" ht="15.75" customHeight="1">
      <c r="A732" s="2" t="s">
        <v>734</v>
      </c>
      <c r="B732" s="2" t="s">
        <v>3</v>
      </c>
      <c r="C732" s="1" t="str">
        <f>IFERROR(__xludf.DUMMYFUNCTION("GOOGLETRANSLATE(A732,""en"",""pt-br"")"),"fardo")</f>
        <v>fardo</v>
      </c>
      <c r="D732" s="1" t="str">
        <f>IFERROR(__xludf.DUMMYFUNCTION("GOOGLETRANSLATE(B732,""en"",""pt-br"")"),"negativo")</f>
        <v>negativo</v>
      </c>
    </row>
    <row r="733" ht="15.75" customHeight="1">
      <c r="A733" s="2" t="s">
        <v>735</v>
      </c>
      <c r="B733" s="2" t="s">
        <v>3</v>
      </c>
      <c r="C733" s="1" t="str">
        <f>IFERROR(__xludf.DUMMYFUNCTION("GOOGLETRANSLATE(A733,""en"",""pt-br"")"),"oneroso")</f>
        <v>oneroso</v>
      </c>
      <c r="D733" s="1" t="str">
        <f>IFERROR(__xludf.DUMMYFUNCTION("GOOGLETRANSLATE(B733,""en"",""pt-br"")"),"negativo")</f>
        <v>negativo</v>
      </c>
    </row>
    <row r="734" ht="15.75" customHeight="1">
      <c r="A734" s="2" t="s">
        <v>736</v>
      </c>
      <c r="B734" s="2" t="s">
        <v>3</v>
      </c>
      <c r="C734" s="1" t="str">
        <f>IFERROR(__xludf.DUMMYFUNCTION("GOOGLETRANSLATE(A734,""en"",""pt-br"")"),"onerosamente")</f>
        <v>onerosamente</v>
      </c>
      <c r="D734" s="1" t="str">
        <f>IFERROR(__xludf.DUMMYFUNCTION("GOOGLETRANSLATE(B734,""en"",""pt-br"")"),"negativo")</f>
        <v>negativo</v>
      </c>
    </row>
    <row r="735" ht="15.75" customHeight="1">
      <c r="A735" s="2" t="s">
        <v>737</v>
      </c>
      <c r="B735" s="2" t="s">
        <v>3</v>
      </c>
      <c r="C735" s="1" t="str">
        <f>IFERROR(__xludf.DUMMYFUNCTION("GOOGLETRANSLATE(A735,""en"",""pt-br"")"),"queimar")</f>
        <v>queimar</v>
      </c>
      <c r="D735" s="1" t="str">
        <f>IFERROR(__xludf.DUMMYFUNCTION("GOOGLETRANSLATE(B735,""en"",""pt-br"")"),"negativo")</f>
        <v>negativo</v>
      </c>
    </row>
    <row r="736" ht="15.75" customHeight="1">
      <c r="A736" s="2" t="s">
        <v>738</v>
      </c>
      <c r="B736" s="2" t="s">
        <v>3</v>
      </c>
      <c r="C736" s="1" t="str">
        <f>IFERROR(__xludf.DUMMYFUNCTION("GOOGLETRANSLATE(A736,""en"",""pt-br"")"),"queimado")</f>
        <v>queimado</v>
      </c>
      <c r="D736" s="1" t="str">
        <f>IFERROR(__xludf.DUMMYFUNCTION("GOOGLETRANSLATE(B736,""en"",""pt-br"")"),"negativo")</f>
        <v>negativo</v>
      </c>
    </row>
    <row r="737" ht="15.75" customHeight="1">
      <c r="A737" s="2" t="s">
        <v>739</v>
      </c>
      <c r="B737" s="2" t="s">
        <v>3</v>
      </c>
      <c r="C737" s="1" t="str">
        <f>IFERROR(__xludf.DUMMYFUNCTION("GOOGLETRANSLATE(A737,""en"",""pt-br"")"),"queimando")</f>
        <v>queimando</v>
      </c>
      <c r="D737" s="1" t="str">
        <f>IFERROR(__xludf.DUMMYFUNCTION("GOOGLETRANSLATE(B737,""en"",""pt-br"")"),"negativo")</f>
        <v>negativo</v>
      </c>
    </row>
    <row r="738" ht="15.75" customHeight="1">
      <c r="A738" s="2" t="s">
        <v>740</v>
      </c>
      <c r="B738" s="2" t="s">
        <v>3</v>
      </c>
      <c r="C738" s="1" t="str">
        <f>IFERROR(__xludf.DUMMYFUNCTION("GOOGLETRANSLATE(A738,""en"",""pt-br"")"),"queimaduras")</f>
        <v>queimaduras</v>
      </c>
      <c r="D738" s="1" t="str">
        <f>IFERROR(__xludf.DUMMYFUNCTION("GOOGLETRANSLATE(B738,""en"",""pt-br"")"),"negativo")</f>
        <v>negativo</v>
      </c>
    </row>
    <row r="739" ht="15.75" customHeight="1">
      <c r="A739" s="2" t="s">
        <v>741</v>
      </c>
      <c r="B739" s="2" t="s">
        <v>3</v>
      </c>
      <c r="C739" s="1" t="str">
        <f>IFERROR(__xludf.DUMMYFUNCTION("GOOGLETRANSLATE(A739,""en"",""pt-br"")"),"fracasso")</f>
        <v>fracasso</v>
      </c>
      <c r="D739" s="1" t="str">
        <f>IFERROR(__xludf.DUMMYFUNCTION("GOOGLETRANSLATE(B739,""en"",""pt-br"")"),"negativo")</f>
        <v>negativo</v>
      </c>
    </row>
    <row r="740" ht="15.75" customHeight="1">
      <c r="A740" s="2" t="s">
        <v>742</v>
      </c>
      <c r="B740" s="2" t="s">
        <v>3</v>
      </c>
      <c r="C740" s="1" t="str">
        <f>IFERROR(__xludf.DUMMYFUNCTION("GOOGLETRANSLATE(A740,""en"",""pt-br"")"),"bustos")</f>
        <v>bustos</v>
      </c>
      <c r="D740" s="1" t="str">
        <f>IFERROR(__xludf.DUMMYFUNCTION("GOOGLETRANSLATE(B740,""en"",""pt-br"")"),"negativo")</f>
        <v>negativo</v>
      </c>
    </row>
    <row r="741" ht="15.75" customHeight="1">
      <c r="A741" s="2" t="s">
        <v>743</v>
      </c>
      <c r="B741" s="2" t="s">
        <v>3</v>
      </c>
      <c r="C741" s="1" t="str">
        <f>IFERROR(__xludf.DUMMYFUNCTION("GOOGLETRANSLATE(A741,""en"",""pt-br"")"),"pessoa intrometida")</f>
        <v>pessoa intrometida</v>
      </c>
      <c r="D741" s="1" t="str">
        <f>IFERROR(__xludf.DUMMYFUNCTION("GOOGLETRANSLATE(B741,""en"",""pt-br"")"),"negativo")</f>
        <v>negativo</v>
      </c>
    </row>
    <row r="742" ht="15.75" customHeight="1">
      <c r="A742" s="2" t="s">
        <v>744</v>
      </c>
      <c r="B742" s="2" t="s">
        <v>3</v>
      </c>
      <c r="C742" s="1" t="str">
        <f>IFERROR(__xludf.DUMMYFUNCTION("GOOGLETRANSLATE(A742,""en"",""pt-br"")"),"açougueiro")</f>
        <v>açougueiro</v>
      </c>
      <c r="D742" s="1" t="str">
        <f>IFERROR(__xludf.DUMMYFUNCTION("GOOGLETRANSLATE(B742,""en"",""pt-br"")"),"negativo")</f>
        <v>negativo</v>
      </c>
    </row>
    <row r="743" ht="15.75" customHeight="1">
      <c r="A743" s="2" t="s">
        <v>745</v>
      </c>
      <c r="B743" s="2" t="s">
        <v>3</v>
      </c>
      <c r="C743" s="1" t="str">
        <f>IFERROR(__xludf.DUMMYFUNCTION("GOOGLETRANSLATE(A743,""en"",""pt-br"")"),"açougue")</f>
        <v>açougue</v>
      </c>
      <c r="D743" s="1" t="str">
        <f>IFERROR(__xludf.DUMMYFUNCTION("GOOGLETRANSLATE(B743,""en"",""pt-br"")"),"negativo")</f>
        <v>negativo</v>
      </c>
    </row>
    <row r="744" ht="15.75" customHeight="1">
      <c r="A744" s="2" t="s">
        <v>746</v>
      </c>
      <c r="B744" s="2" t="s">
        <v>3</v>
      </c>
      <c r="C744" s="1" t="str">
        <f>IFERROR(__xludf.DUMMYFUNCTION("GOOGLETRANSLATE(A744,""en"",""pt-br"")"),"zumbido")</f>
        <v>zumbido</v>
      </c>
      <c r="D744" s="1" t="str">
        <f>IFERROR(__xludf.DUMMYFUNCTION("GOOGLETRANSLATE(B744,""en"",""pt-br"")"),"negativo")</f>
        <v>negativo</v>
      </c>
    </row>
    <row r="745" ht="15.75" customHeight="1">
      <c r="A745" s="2" t="s">
        <v>747</v>
      </c>
      <c r="B745" s="2" t="s">
        <v>3</v>
      </c>
      <c r="C745" s="1" t="str">
        <f>IFERROR(__xludf.DUMMYFUNCTION("GOOGLETRANSLATE(A745,""en"",""pt-br"")"),"bizantino")</f>
        <v>bizantino</v>
      </c>
      <c r="D745" s="1" t="str">
        <f>IFERROR(__xludf.DUMMYFUNCTION("GOOGLETRANSLATE(B745,""en"",""pt-br"")"),"negativo")</f>
        <v>negativo</v>
      </c>
    </row>
    <row r="746" ht="15.75" customHeight="1">
      <c r="A746" s="2" t="s">
        <v>748</v>
      </c>
      <c r="B746" s="2" t="s">
        <v>3</v>
      </c>
      <c r="C746" s="1" t="str">
        <f>IFERROR(__xludf.DUMMYFUNCTION("GOOGLETRANSLATE(A746,""en"",""pt-br"")"),"cacarejo")</f>
        <v>cacarejo</v>
      </c>
      <c r="D746" s="1" t="str">
        <f>IFERROR(__xludf.DUMMYFUNCTION("GOOGLETRANSLATE(B746,""en"",""pt-br"")"),"negativo")</f>
        <v>negativo</v>
      </c>
    </row>
    <row r="747" ht="15.75" customHeight="1">
      <c r="A747" s="2" t="s">
        <v>749</v>
      </c>
      <c r="B747" s="2" t="s">
        <v>14</v>
      </c>
      <c r="C747" s="1" t="str">
        <f>IFERROR(__xludf.DUMMYFUNCTION("GOOGLETRANSLATE(A747,""en"",""pt-br"")"),"persuadir")</f>
        <v>persuadir</v>
      </c>
      <c r="D747" s="1" t="str">
        <f>IFERROR(__xludf.DUMMYFUNCTION("GOOGLETRANSLATE(B747,""en"",""pt-br"")"),"positivo")</f>
        <v>positivo</v>
      </c>
    </row>
    <row r="748" ht="15.75" customHeight="1">
      <c r="A748" s="2" t="s">
        <v>750</v>
      </c>
      <c r="B748" s="2" t="s">
        <v>3</v>
      </c>
      <c r="C748" s="1" t="str">
        <f>IFERROR(__xludf.DUMMYFUNCTION("GOOGLETRANSLATE(A748,""en"",""pt-br"")"),"calamidades")</f>
        <v>calamidades</v>
      </c>
      <c r="D748" s="1" t="str">
        <f>IFERROR(__xludf.DUMMYFUNCTION("GOOGLETRANSLATE(B748,""en"",""pt-br"")"),"negativo")</f>
        <v>negativo</v>
      </c>
    </row>
    <row r="749" ht="15.75" customHeight="1">
      <c r="A749" s="2" t="s">
        <v>751</v>
      </c>
      <c r="B749" s="2" t="s">
        <v>3</v>
      </c>
      <c r="C749" s="1" t="str">
        <f>IFERROR(__xludf.DUMMYFUNCTION("GOOGLETRANSLATE(A749,""en"",""pt-br"")"),"calamitoso")</f>
        <v>calamitoso</v>
      </c>
      <c r="D749" s="1" t="str">
        <f>IFERROR(__xludf.DUMMYFUNCTION("GOOGLETRANSLATE(B749,""en"",""pt-br"")"),"negativo")</f>
        <v>negativo</v>
      </c>
    </row>
    <row r="750" ht="15.75" customHeight="1">
      <c r="A750" s="2" t="s">
        <v>752</v>
      </c>
      <c r="B750" s="2" t="s">
        <v>3</v>
      </c>
      <c r="C750" s="1" t="str">
        <f>IFERROR(__xludf.DUMMYFUNCTION("GOOGLETRANSLATE(A750,""en"",""pt-br"")"),"calamitosamente")</f>
        <v>calamitosamente</v>
      </c>
      <c r="D750" s="1" t="str">
        <f>IFERROR(__xludf.DUMMYFUNCTION("GOOGLETRANSLATE(B750,""en"",""pt-br"")"),"negativo")</f>
        <v>negativo</v>
      </c>
    </row>
    <row r="751" ht="15.75" customHeight="1">
      <c r="A751" s="2" t="s">
        <v>753</v>
      </c>
      <c r="B751" s="2" t="s">
        <v>3</v>
      </c>
      <c r="C751" s="1" t="str">
        <f>IFERROR(__xludf.DUMMYFUNCTION("GOOGLETRANSLATE(A751,""en"",""pt-br"")"),"calamidade")</f>
        <v>calamidade</v>
      </c>
      <c r="D751" s="1" t="str">
        <f>IFERROR(__xludf.DUMMYFUNCTION("GOOGLETRANSLATE(B751,""en"",""pt-br"")"),"negativo")</f>
        <v>negativo</v>
      </c>
    </row>
    <row r="752" ht="15.75" customHeight="1">
      <c r="A752" s="2" t="s">
        <v>754</v>
      </c>
      <c r="B752" s="2" t="s">
        <v>3</v>
      </c>
      <c r="C752" s="1" t="str">
        <f>IFERROR(__xludf.DUMMYFUNCTION("GOOGLETRANSLATE(A752,""en"",""pt-br"")"),"insensível")</f>
        <v>insensível</v>
      </c>
      <c r="D752" s="1" t="str">
        <f>IFERROR(__xludf.DUMMYFUNCTION("GOOGLETRANSLATE(B752,""en"",""pt-br"")"),"negativo")</f>
        <v>negativo</v>
      </c>
    </row>
    <row r="753" ht="15.75" customHeight="1">
      <c r="A753" s="2" t="s">
        <v>755</v>
      </c>
      <c r="B753" s="2" t="s">
        <v>14</v>
      </c>
      <c r="C753" s="1" t="str">
        <f>IFERROR(__xludf.DUMMYFUNCTION("GOOGLETRANSLATE(A753,""en"",""pt-br"")"),"calma")</f>
        <v>calma</v>
      </c>
      <c r="D753" s="1" t="str">
        <f>IFERROR(__xludf.DUMMYFUNCTION("GOOGLETRANSLATE(B753,""en"",""pt-br"")"),"positivo")</f>
        <v>positivo</v>
      </c>
    </row>
    <row r="754" ht="15.75" customHeight="1">
      <c r="A754" s="2" t="s">
        <v>756</v>
      </c>
      <c r="B754" s="2" t="s">
        <v>14</v>
      </c>
      <c r="C754" s="1" t="str">
        <f>IFERROR(__xludf.DUMMYFUNCTION("GOOGLETRANSLATE(A754,""en"",""pt-br"")"),"calmante")</f>
        <v>calmante</v>
      </c>
      <c r="D754" s="1" t="str">
        <f>IFERROR(__xludf.DUMMYFUNCTION("GOOGLETRANSLATE(B754,""en"",""pt-br"")"),"positivo")</f>
        <v>positivo</v>
      </c>
    </row>
    <row r="755" ht="15.75" customHeight="1">
      <c r="A755" s="2" t="s">
        <v>757</v>
      </c>
      <c r="B755" s="2" t="s">
        <v>14</v>
      </c>
      <c r="C755" s="1" t="str">
        <f>IFERROR(__xludf.DUMMYFUNCTION("GOOGLETRANSLATE(A755,""en"",""pt-br"")"),"calma")</f>
        <v>calma</v>
      </c>
      <c r="D755" s="1" t="str">
        <f>IFERROR(__xludf.DUMMYFUNCTION("GOOGLETRANSLATE(B755,""en"",""pt-br"")"),"positivo")</f>
        <v>positivo</v>
      </c>
    </row>
    <row r="756" ht="15.75" customHeight="1">
      <c r="A756" s="2" t="s">
        <v>758</v>
      </c>
      <c r="B756" s="2" t="s">
        <v>3</v>
      </c>
      <c r="C756" s="1" t="str">
        <f>IFERROR(__xludf.DUMMYFUNCTION("GOOGLETRANSLATE(A756,""en"",""pt-br"")"),"caluniar")</f>
        <v>caluniar</v>
      </c>
      <c r="D756" s="1" t="str">
        <f>IFERROR(__xludf.DUMMYFUNCTION("GOOGLETRANSLATE(B756,""en"",""pt-br"")"),"negativo")</f>
        <v>negativo</v>
      </c>
    </row>
    <row r="757" ht="15.75" customHeight="1">
      <c r="A757" s="2" t="s">
        <v>759</v>
      </c>
      <c r="B757" s="2" t="s">
        <v>3</v>
      </c>
      <c r="C757" s="1" t="str">
        <f>IFERROR(__xludf.DUMMYFUNCTION("GOOGLETRANSLATE(A757,""en"",""pt-br"")"),"calúnia")</f>
        <v>calúnia</v>
      </c>
      <c r="D757" s="1" t="str">
        <f>IFERROR(__xludf.DUMMYFUNCTION("GOOGLETRANSLATE(B757,""en"",""pt-br"")"),"negativo")</f>
        <v>negativo</v>
      </c>
    </row>
    <row r="758" ht="15.75" customHeight="1">
      <c r="A758" s="2" t="s">
        <v>760</v>
      </c>
      <c r="B758" s="2" t="s">
        <v>3</v>
      </c>
      <c r="C758" s="1" t="str">
        <f>IFERROR(__xludf.DUMMYFUNCTION("GOOGLETRANSLATE(A758,""en"",""pt-br"")"),"calúnias")</f>
        <v>calúnias</v>
      </c>
      <c r="D758" s="1" t="str">
        <f>IFERROR(__xludf.DUMMYFUNCTION("GOOGLETRANSLATE(B758,""en"",""pt-br"")"),"negativo")</f>
        <v>negativo</v>
      </c>
    </row>
    <row r="759" ht="15.75" customHeight="1">
      <c r="A759" s="2" t="s">
        <v>761</v>
      </c>
      <c r="B759" s="2" t="s">
        <v>3</v>
      </c>
      <c r="C759" s="1" t="str">
        <f>IFERROR(__xludf.DUMMYFUNCTION("GOOGLETRANSLATE(A759,""en"",""pt-br"")"),"calumnious")</f>
        <v>calumnious</v>
      </c>
      <c r="D759" s="1" t="str">
        <f>IFERROR(__xludf.DUMMYFUNCTION("GOOGLETRANSLATE(B759,""en"",""pt-br"")"),"negativo")</f>
        <v>negativo</v>
      </c>
    </row>
    <row r="760" ht="15.75" customHeight="1">
      <c r="A760" s="2" t="s">
        <v>762</v>
      </c>
      <c r="B760" s="2" t="s">
        <v>3</v>
      </c>
      <c r="C760" s="1" t="str">
        <f>IFERROR(__xludf.DUMMYFUNCTION("GOOGLETRANSLATE(A760,""en"",""pt-br"")"),"calumniously")</f>
        <v>calumniously</v>
      </c>
      <c r="D760" s="1" t="str">
        <f>IFERROR(__xludf.DUMMYFUNCTION("GOOGLETRANSLATE(B760,""en"",""pt-br"")"),"negativo")</f>
        <v>negativo</v>
      </c>
    </row>
    <row r="761" ht="15.75" customHeight="1">
      <c r="A761" s="2" t="s">
        <v>763</v>
      </c>
      <c r="B761" s="2" t="s">
        <v>3</v>
      </c>
      <c r="C761" s="1" t="str">
        <f>IFERROR(__xludf.DUMMYFUNCTION("GOOGLETRANSLATE(A761,""en"",""pt-br"")"),"calúnia")</f>
        <v>calúnia</v>
      </c>
      <c r="D761" s="1" t="str">
        <f>IFERROR(__xludf.DUMMYFUNCTION("GOOGLETRANSLATE(B761,""en"",""pt-br"")"),"negativo")</f>
        <v>negativo</v>
      </c>
    </row>
    <row r="762" ht="15.75" customHeight="1">
      <c r="A762" s="2" t="s">
        <v>764</v>
      </c>
      <c r="B762" s="2" t="s">
        <v>3</v>
      </c>
      <c r="C762" s="1" t="str">
        <f>IFERROR(__xludf.DUMMYFUNCTION("GOOGLETRANSLATE(A762,""en"",""pt-br"")"),"Câncer")</f>
        <v>Câncer</v>
      </c>
      <c r="D762" s="1" t="str">
        <f>IFERROR(__xludf.DUMMYFUNCTION("GOOGLETRANSLATE(B762,""en"",""pt-br"")"),"negativo")</f>
        <v>negativo</v>
      </c>
    </row>
    <row r="763" ht="15.75" customHeight="1">
      <c r="A763" s="2" t="s">
        <v>765</v>
      </c>
      <c r="B763" s="2" t="s">
        <v>3</v>
      </c>
      <c r="C763" s="1" t="str">
        <f>IFERROR(__xludf.DUMMYFUNCTION("GOOGLETRANSLATE(A763,""en"",""pt-br"")"),"canceroso")</f>
        <v>canceroso</v>
      </c>
      <c r="D763" s="1" t="str">
        <f>IFERROR(__xludf.DUMMYFUNCTION("GOOGLETRANSLATE(B763,""en"",""pt-br"")"),"negativo")</f>
        <v>negativo</v>
      </c>
    </row>
    <row r="764" ht="15.75" customHeight="1">
      <c r="A764" s="2" t="s">
        <v>766</v>
      </c>
      <c r="B764" s="2" t="s">
        <v>3</v>
      </c>
      <c r="C764" s="1" t="str">
        <f>IFERROR(__xludf.DUMMYFUNCTION("GOOGLETRANSLATE(A764,""en"",""pt-br"")"),"canibal")</f>
        <v>canibal</v>
      </c>
      <c r="D764" s="1" t="str">
        <f>IFERROR(__xludf.DUMMYFUNCTION("GOOGLETRANSLATE(B764,""en"",""pt-br"")"),"negativo")</f>
        <v>negativo</v>
      </c>
    </row>
    <row r="765" ht="15.75" customHeight="1">
      <c r="A765" s="2" t="s">
        <v>767</v>
      </c>
      <c r="B765" s="2" t="s">
        <v>3</v>
      </c>
      <c r="C765" s="1" t="str">
        <f>IFERROR(__xludf.DUMMYFUNCTION("GOOGLETRANSLATE(A765,""en"",""pt-br"")"),"canibalizar")</f>
        <v>canibalizar</v>
      </c>
      <c r="D765" s="1" t="str">
        <f>IFERROR(__xludf.DUMMYFUNCTION("GOOGLETRANSLATE(B765,""en"",""pt-br"")"),"negativo")</f>
        <v>negativo</v>
      </c>
    </row>
    <row r="766" ht="15.75" customHeight="1">
      <c r="A766" s="2" t="s">
        <v>768</v>
      </c>
      <c r="B766" s="2" t="s">
        <v>14</v>
      </c>
      <c r="C766" s="1" t="str">
        <f>IFERROR(__xludf.DUMMYFUNCTION("GOOGLETRANSLATE(A766,""en"",""pt-br"")"),"capacidade")</f>
        <v>capacidade</v>
      </c>
      <c r="D766" s="1" t="str">
        <f>IFERROR(__xludf.DUMMYFUNCTION("GOOGLETRANSLATE(B766,""en"",""pt-br"")"),"positivo")</f>
        <v>positivo</v>
      </c>
    </row>
    <row r="767" ht="15.75" customHeight="1">
      <c r="A767" s="2" t="s">
        <v>769</v>
      </c>
      <c r="B767" s="2" t="s">
        <v>14</v>
      </c>
      <c r="C767" s="1" t="str">
        <f>IFERROR(__xludf.DUMMYFUNCTION("GOOGLETRANSLATE(A767,""en"",""pt-br"")"),"capaz")</f>
        <v>capaz</v>
      </c>
      <c r="D767" s="1" t="str">
        <f>IFERROR(__xludf.DUMMYFUNCTION("GOOGLETRANSLATE(B767,""en"",""pt-br"")"),"positivo")</f>
        <v>positivo</v>
      </c>
    </row>
    <row r="768" ht="15.75" customHeight="1">
      <c r="A768" s="2" t="s">
        <v>770</v>
      </c>
      <c r="B768" s="2" t="s">
        <v>14</v>
      </c>
      <c r="C768" s="1" t="str">
        <f>IFERROR(__xludf.DUMMYFUNCTION("GOOGLETRANSLATE(A768,""en"",""pt-br"")"),"competentemente")</f>
        <v>competentemente</v>
      </c>
      <c r="D768" s="1" t="str">
        <f>IFERROR(__xludf.DUMMYFUNCTION("GOOGLETRANSLATE(B768,""en"",""pt-br"")"),"positivo")</f>
        <v>positivo</v>
      </c>
    </row>
    <row r="769" ht="15.75" customHeight="1">
      <c r="A769" s="2" t="s">
        <v>771</v>
      </c>
      <c r="B769" s="2" t="s">
        <v>3</v>
      </c>
      <c r="C769" s="1" t="str">
        <f>IFERROR(__xludf.DUMMYFUNCTION("GOOGLETRANSLATE(A769,""en"",""pt-br"")"),"capitular")</f>
        <v>capitular</v>
      </c>
      <c r="D769" s="1" t="str">
        <f>IFERROR(__xludf.DUMMYFUNCTION("GOOGLETRANSLATE(B769,""en"",""pt-br"")"),"negativo")</f>
        <v>negativo</v>
      </c>
    </row>
    <row r="770" ht="15.75" customHeight="1">
      <c r="A770" s="2" t="s">
        <v>772</v>
      </c>
      <c r="B770" s="2" t="s">
        <v>3</v>
      </c>
      <c r="C770" s="1" t="str">
        <f>IFERROR(__xludf.DUMMYFUNCTION("GOOGLETRANSLATE(A770,""en"",""pt-br"")"),"caprichoso")</f>
        <v>caprichoso</v>
      </c>
      <c r="D770" s="1" t="str">
        <f>IFERROR(__xludf.DUMMYFUNCTION("GOOGLETRANSLATE(B770,""en"",""pt-br"")"),"negativo")</f>
        <v>negativo</v>
      </c>
    </row>
    <row r="771" ht="15.75" customHeight="1">
      <c r="A771" s="2" t="s">
        <v>773</v>
      </c>
      <c r="B771" s="2" t="s">
        <v>3</v>
      </c>
      <c r="C771" s="1" t="str">
        <f>IFERROR(__xludf.DUMMYFUNCTION("GOOGLETRANSLATE(A771,""en"",""pt-br"")"),"caprichosamente")</f>
        <v>caprichosamente</v>
      </c>
      <c r="D771" s="1" t="str">
        <f>IFERROR(__xludf.DUMMYFUNCTION("GOOGLETRANSLATE(B771,""en"",""pt-br"")"),"negativo")</f>
        <v>negativo</v>
      </c>
    </row>
    <row r="772" ht="15.75" customHeight="1">
      <c r="A772" s="2" t="s">
        <v>774</v>
      </c>
      <c r="B772" s="2" t="s">
        <v>3</v>
      </c>
      <c r="C772" s="1" t="str">
        <f>IFERROR(__xludf.DUMMYFUNCTION("GOOGLETRANSLATE(A772,""en"",""pt-br"")"),"caprichos")</f>
        <v>caprichos</v>
      </c>
      <c r="D772" s="1" t="str">
        <f>IFERROR(__xludf.DUMMYFUNCTION("GOOGLETRANSLATE(B772,""en"",""pt-br"")"),"negativo")</f>
        <v>negativo</v>
      </c>
    </row>
    <row r="773" ht="15.75" customHeight="1">
      <c r="A773" s="2" t="s">
        <v>775</v>
      </c>
      <c r="B773" s="2" t="s">
        <v>3</v>
      </c>
      <c r="C773" s="1" t="str">
        <f>IFERROR(__xludf.DUMMYFUNCTION("GOOGLETRANSLATE(A773,""en"",""pt-br"")"),"virar")</f>
        <v>virar</v>
      </c>
      <c r="D773" s="1" t="str">
        <f>IFERROR(__xludf.DUMMYFUNCTION("GOOGLETRANSLATE(B773,""en"",""pt-br"")"),"negativo")</f>
        <v>negativo</v>
      </c>
    </row>
    <row r="774" ht="15.75" customHeight="1">
      <c r="A774" s="2" t="s">
        <v>776</v>
      </c>
      <c r="B774" s="2" t="s">
        <v>14</v>
      </c>
      <c r="C774" s="1" t="str">
        <f>IFERROR(__xludf.DUMMYFUNCTION("GOOGLETRANSLATE(A774,""en"",""pt-br"")"),"cativar")</f>
        <v>cativar</v>
      </c>
      <c r="D774" s="1" t="str">
        <f>IFERROR(__xludf.DUMMYFUNCTION("GOOGLETRANSLATE(B774,""en"",""pt-br"")"),"positivo")</f>
        <v>positivo</v>
      </c>
    </row>
    <row r="775" ht="15.75" customHeight="1">
      <c r="A775" s="2" t="s">
        <v>777</v>
      </c>
      <c r="B775" s="2" t="s">
        <v>14</v>
      </c>
      <c r="C775" s="1" t="str">
        <f>IFERROR(__xludf.DUMMYFUNCTION("GOOGLETRANSLATE(A775,""en"",""pt-br"")"),"cativante")</f>
        <v>cativante</v>
      </c>
      <c r="D775" s="1" t="str">
        <f>IFERROR(__xludf.DUMMYFUNCTION("GOOGLETRANSLATE(B775,""en"",""pt-br"")"),"positivo")</f>
        <v>positivo</v>
      </c>
    </row>
    <row r="776" ht="15.75" customHeight="1">
      <c r="A776" s="2" t="s">
        <v>778</v>
      </c>
      <c r="B776" s="2" t="s">
        <v>14</v>
      </c>
      <c r="C776" s="1" t="str">
        <f>IFERROR(__xludf.DUMMYFUNCTION("GOOGLETRANSLATE(A776,""en"",""pt-br"")"),"despreocupado")</f>
        <v>despreocupado</v>
      </c>
      <c r="D776" s="1" t="str">
        <f>IFERROR(__xludf.DUMMYFUNCTION("GOOGLETRANSLATE(B776,""en"",""pt-br"")"),"positivo")</f>
        <v>positivo</v>
      </c>
    </row>
    <row r="777" ht="15.75" customHeight="1">
      <c r="A777" s="2" t="s">
        <v>779</v>
      </c>
      <c r="B777" s="2" t="s">
        <v>3</v>
      </c>
      <c r="C777" s="1" t="str">
        <f>IFERROR(__xludf.DUMMYFUNCTION("GOOGLETRANSLATE(A777,""en"",""pt-br"")"),"descuidado")</f>
        <v>descuidado</v>
      </c>
      <c r="D777" s="1" t="str">
        <f>IFERROR(__xludf.DUMMYFUNCTION("GOOGLETRANSLATE(B777,""en"",""pt-br"")"),"negativo")</f>
        <v>negativo</v>
      </c>
    </row>
    <row r="778" ht="15.75" customHeight="1">
      <c r="A778" s="2" t="s">
        <v>780</v>
      </c>
      <c r="B778" s="2" t="s">
        <v>3</v>
      </c>
      <c r="C778" s="1" t="str">
        <f>IFERROR(__xludf.DUMMYFUNCTION("GOOGLETRANSLATE(A778,""en"",""pt-br"")"),"descuido")</f>
        <v>descuido</v>
      </c>
      <c r="D778" s="1" t="str">
        <f>IFERROR(__xludf.DUMMYFUNCTION("GOOGLETRANSLATE(B778,""en"",""pt-br"")"),"negativo")</f>
        <v>negativo</v>
      </c>
    </row>
    <row r="779" ht="15.75" customHeight="1">
      <c r="A779" s="2" t="s">
        <v>781</v>
      </c>
      <c r="B779" s="2" t="s">
        <v>3</v>
      </c>
      <c r="C779" s="1" t="str">
        <f>IFERROR(__xludf.DUMMYFUNCTION("GOOGLETRANSLATE(A779,""en"",""pt-br"")"),"caricatura")</f>
        <v>caricatura</v>
      </c>
      <c r="D779" s="1" t="str">
        <f>IFERROR(__xludf.DUMMYFUNCTION("GOOGLETRANSLATE(B779,""en"",""pt-br"")"),"negativo")</f>
        <v>negativo</v>
      </c>
    </row>
    <row r="780" ht="15.75" customHeight="1">
      <c r="A780" s="2" t="s">
        <v>782</v>
      </c>
      <c r="B780" s="2" t="s">
        <v>3</v>
      </c>
      <c r="C780" s="1" t="str">
        <f>IFERROR(__xludf.DUMMYFUNCTION("GOOGLETRANSLATE(A780,""en"",""pt-br"")"),"carnificina")</f>
        <v>carnificina</v>
      </c>
      <c r="D780" s="1" t="str">
        <f>IFERROR(__xludf.DUMMYFUNCTION("GOOGLETRANSLATE(B780,""en"",""pt-br"")"),"negativo")</f>
        <v>negativo</v>
      </c>
    </row>
    <row r="781" ht="15.75" customHeight="1">
      <c r="A781" s="2" t="s">
        <v>783</v>
      </c>
      <c r="B781" s="2" t="s">
        <v>3</v>
      </c>
      <c r="C781" s="1" t="str">
        <f>IFERROR(__xludf.DUMMYFUNCTION("GOOGLETRANSLATE(A781,""en"",""pt-br"")"),"carpa")</f>
        <v>carpa</v>
      </c>
      <c r="D781" s="1" t="str">
        <f>IFERROR(__xludf.DUMMYFUNCTION("GOOGLETRANSLATE(B781,""en"",""pt-br"")"),"negativo")</f>
        <v>negativo</v>
      </c>
    </row>
    <row r="782" ht="15.75" customHeight="1">
      <c r="A782" s="2" t="s">
        <v>784</v>
      </c>
      <c r="B782" s="2" t="s">
        <v>3</v>
      </c>
      <c r="C782" s="1" t="str">
        <f>IFERROR(__xludf.DUMMYFUNCTION("GOOGLETRANSLATE(A782,""en"",""pt-br"")"),"cartoonish")</f>
        <v>cartoonish</v>
      </c>
      <c r="D782" s="1" t="str">
        <f>IFERROR(__xludf.DUMMYFUNCTION("GOOGLETRANSLATE(B782,""en"",""pt-br"")"),"negativo")</f>
        <v>negativo</v>
      </c>
    </row>
    <row r="783" ht="15.75" customHeight="1">
      <c r="A783" s="2" t="s">
        <v>785</v>
      </c>
      <c r="B783" s="2" t="s">
        <v>3</v>
      </c>
      <c r="C783" s="1" t="str">
        <f>IFERROR(__xludf.DUMMYFUNCTION("GOOGLETRANSLATE(A783,""en"",""pt-br"")"),"amarrado cash-")</f>
        <v>amarrado cash-</v>
      </c>
      <c r="D783" s="1" t="str">
        <f>IFERROR(__xludf.DUMMYFUNCTION("GOOGLETRANSLATE(B783,""en"",""pt-br"")"),"negativo")</f>
        <v>negativo</v>
      </c>
    </row>
    <row r="784" ht="15.75" customHeight="1">
      <c r="A784" s="2" t="s">
        <v>786</v>
      </c>
      <c r="B784" s="2" t="s">
        <v>14</v>
      </c>
      <c r="C784" s="1" t="str">
        <f>IFERROR(__xludf.DUMMYFUNCTION("GOOGLETRANSLATE(A784,""en"",""pt-br"")"),"dinheiro de volta")</f>
        <v>dinheiro de volta</v>
      </c>
      <c r="D784" s="1" t="str">
        <f>IFERROR(__xludf.DUMMYFUNCTION("GOOGLETRANSLATE(B784,""en"",""pt-br"")"),"positivo")</f>
        <v>positivo</v>
      </c>
    </row>
    <row r="785" ht="15.75" customHeight="1">
      <c r="A785" s="2" t="s">
        <v>787</v>
      </c>
      <c r="B785" s="2" t="s">
        <v>14</v>
      </c>
      <c r="C785" s="1" t="str">
        <f>IFERROR(__xludf.DUMMYFUNCTION("GOOGLETRANSLATE(A785,""en"",""pt-br"")"),"cashbacks")</f>
        <v>cashbacks</v>
      </c>
      <c r="D785" s="1" t="str">
        <f>IFERROR(__xludf.DUMMYFUNCTION("GOOGLETRANSLATE(B785,""en"",""pt-br"")"),"positivo")</f>
        <v>positivo</v>
      </c>
    </row>
    <row r="786" ht="15.75" customHeight="1">
      <c r="A786" s="2" t="s">
        <v>788</v>
      </c>
      <c r="B786" s="2" t="s">
        <v>3</v>
      </c>
      <c r="C786" s="1" t="str">
        <f>IFERROR(__xludf.DUMMYFUNCTION("GOOGLETRANSLATE(A786,""en"",""pt-br"")"),"castigar")</f>
        <v>castigar</v>
      </c>
      <c r="D786" s="1" t="str">
        <f>IFERROR(__xludf.DUMMYFUNCTION("GOOGLETRANSLATE(B786,""en"",""pt-br"")"),"negativo")</f>
        <v>negativo</v>
      </c>
    </row>
    <row r="787" ht="15.75" customHeight="1">
      <c r="A787" s="2" t="s">
        <v>789</v>
      </c>
      <c r="B787" s="2" t="s">
        <v>3</v>
      </c>
      <c r="C787" s="1" t="str">
        <f>IFERROR(__xludf.DUMMYFUNCTION("GOOGLETRANSLATE(A787,""en"",""pt-br"")"),"castrado")</f>
        <v>castrado</v>
      </c>
      <c r="D787" s="1" t="str">
        <f>IFERROR(__xludf.DUMMYFUNCTION("GOOGLETRANSLATE(B787,""en"",""pt-br"")"),"negativo")</f>
        <v>negativo</v>
      </c>
    </row>
    <row r="788" ht="15.75" customHeight="1">
      <c r="A788" s="2" t="s">
        <v>790</v>
      </c>
      <c r="B788" s="2" t="s">
        <v>3</v>
      </c>
      <c r="C788" s="1" t="str">
        <f>IFERROR(__xludf.DUMMYFUNCTION("GOOGLETRANSLATE(A788,""en"",""pt-br"")"),"acidente")</f>
        <v>acidente</v>
      </c>
      <c r="D788" s="1" t="str">
        <f>IFERROR(__xludf.DUMMYFUNCTION("GOOGLETRANSLATE(B788,""en"",""pt-br"")"),"negativo")</f>
        <v>negativo</v>
      </c>
    </row>
    <row r="789" ht="15.75" customHeight="1">
      <c r="A789" s="2" t="s">
        <v>791</v>
      </c>
      <c r="B789" s="2" t="s">
        <v>3</v>
      </c>
      <c r="C789" s="1" t="str">
        <f>IFERROR(__xludf.DUMMYFUNCTION("GOOGLETRANSLATE(A789,""en"",""pt-br"")"),"cataclismo")</f>
        <v>cataclismo</v>
      </c>
      <c r="D789" s="1" t="str">
        <f>IFERROR(__xludf.DUMMYFUNCTION("GOOGLETRANSLATE(B789,""en"",""pt-br"")"),"negativo")</f>
        <v>negativo</v>
      </c>
    </row>
    <row r="790" ht="15.75" customHeight="1">
      <c r="A790" s="2" t="s">
        <v>792</v>
      </c>
      <c r="B790" s="2" t="s">
        <v>3</v>
      </c>
      <c r="C790" s="1" t="str">
        <f>IFERROR(__xludf.DUMMYFUNCTION("GOOGLETRANSLATE(A790,""en"",""pt-br"")"),"cataclysmal")</f>
        <v>cataclysmal</v>
      </c>
      <c r="D790" s="1" t="str">
        <f>IFERROR(__xludf.DUMMYFUNCTION("GOOGLETRANSLATE(B790,""en"",""pt-br"")"),"negativo")</f>
        <v>negativo</v>
      </c>
    </row>
    <row r="791" ht="15.75" customHeight="1">
      <c r="A791" s="2" t="s">
        <v>793</v>
      </c>
      <c r="B791" s="2" t="s">
        <v>3</v>
      </c>
      <c r="C791" s="1" t="str">
        <f>IFERROR(__xludf.DUMMYFUNCTION("GOOGLETRANSLATE(A791,""en"",""pt-br"")"),"cataclísmico")</f>
        <v>cataclísmico</v>
      </c>
      <c r="D791" s="1" t="str">
        <f>IFERROR(__xludf.DUMMYFUNCTION("GOOGLETRANSLATE(B791,""en"",""pt-br"")"),"negativo")</f>
        <v>negativo</v>
      </c>
    </row>
    <row r="792" ht="15.75" customHeight="1">
      <c r="A792" s="2" t="s">
        <v>794</v>
      </c>
      <c r="B792" s="2" t="s">
        <v>3</v>
      </c>
      <c r="C792" s="1" t="str">
        <f>IFERROR(__xludf.DUMMYFUNCTION("GOOGLETRANSLATE(A792,""en"",""pt-br"")"),"cataclismicamente")</f>
        <v>cataclismicamente</v>
      </c>
      <c r="D792" s="1" t="str">
        <f>IFERROR(__xludf.DUMMYFUNCTION("GOOGLETRANSLATE(B792,""en"",""pt-br"")"),"negativo")</f>
        <v>negativo</v>
      </c>
    </row>
    <row r="793" ht="15.75" customHeight="1">
      <c r="A793" s="2" t="s">
        <v>795</v>
      </c>
      <c r="B793" s="2" t="s">
        <v>3</v>
      </c>
      <c r="C793" s="1" t="str">
        <f>IFERROR(__xludf.DUMMYFUNCTION("GOOGLETRANSLATE(A793,""en"",""pt-br"")"),"catástrofe")</f>
        <v>catástrofe</v>
      </c>
      <c r="D793" s="1" t="str">
        <f>IFERROR(__xludf.DUMMYFUNCTION("GOOGLETRANSLATE(B793,""en"",""pt-br"")"),"negativo")</f>
        <v>negativo</v>
      </c>
    </row>
    <row r="794" ht="15.75" customHeight="1">
      <c r="A794" s="2" t="s">
        <v>796</v>
      </c>
      <c r="B794" s="2" t="s">
        <v>3</v>
      </c>
      <c r="C794" s="1" t="str">
        <f>IFERROR(__xludf.DUMMYFUNCTION("GOOGLETRANSLATE(A794,""en"",""pt-br"")"),"catástrofes")</f>
        <v>catástrofes</v>
      </c>
      <c r="D794" s="1" t="str">
        <f>IFERROR(__xludf.DUMMYFUNCTION("GOOGLETRANSLATE(B794,""en"",""pt-br"")"),"negativo")</f>
        <v>negativo</v>
      </c>
    </row>
    <row r="795" ht="15.75" customHeight="1">
      <c r="A795" s="2" t="s">
        <v>797</v>
      </c>
      <c r="B795" s="2" t="s">
        <v>3</v>
      </c>
      <c r="C795" s="1" t="str">
        <f>IFERROR(__xludf.DUMMYFUNCTION("GOOGLETRANSLATE(A795,""en"",""pt-br"")"),"catastrófico")</f>
        <v>catastrófico</v>
      </c>
      <c r="D795" s="1" t="str">
        <f>IFERROR(__xludf.DUMMYFUNCTION("GOOGLETRANSLATE(B795,""en"",""pt-br"")"),"negativo")</f>
        <v>negativo</v>
      </c>
    </row>
    <row r="796" ht="15.75" customHeight="1">
      <c r="A796" s="2" t="s">
        <v>798</v>
      </c>
      <c r="B796" s="2" t="s">
        <v>3</v>
      </c>
      <c r="C796" s="1" t="str">
        <f>IFERROR(__xludf.DUMMYFUNCTION("GOOGLETRANSLATE(A796,""en"",""pt-br"")"),"catastroficamente")</f>
        <v>catastroficamente</v>
      </c>
      <c r="D796" s="1" t="str">
        <f>IFERROR(__xludf.DUMMYFUNCTION("GOOGLETRANSLATE(B796,""en"",""pt-br"")"),"negativo")</f>
        <v>negativo</v>
      </c>
    </row>
    <row r="797" ht="15.75" customHeight="1">
      <c r="A797" s="2" t="s">
        <v>799</v>
      </c>
      <c r="B797" s="2" t="s">
        <v>3</v>
      </c>
      <c r="C797" s="1" t="str">
        <f>IFERROR(__xludf.DUMMYFUNCTION("GOOGLETRANSLATE(A797,""en"",""pt-br"")"),"catástrofes")</f>
        <v>catástrofes</v>
      </c>
      <c r="D797" s="1" t="str">
        <f>IFERROR(__xludf.DUMMYFUNCTION("GOOGLETRANSLATE(B797,""en"",""pt-br"")"),"negativo")</f>
        <v>negativo</v>
      </c>
    </row>
    <row r="798" ht="15.75" customHeight="1">
      <c r="A798" s="2" t="s">
        <v>800</v>
      </c>
      <c r="B798" s="2" t="s">
        <v>14</v>
      </c>
      <c r="C798" s="1" t="str">
        <f>IFERROR(__xludf.DUMMYFUNCTION("GOOGLETRANSLATE(A798,""en"",""pt-br"")"),"cativante")</f>
        <v>cativante</v>
      </c>
      <c r="D798" s="1" t="str">
        <f>IFERROR(__xludf.DUMMYFUNCTION("GOOGLETRANSLATE(B798,""en"",""pt-br"")"),"positivo")</f>
        <v>positivo</v>
      </c>
    </row>
    <row r="799" ht="15.75" customHeight="1">
      <c r="A799" s="2" t="s">
        <v>801</v>
      </c>
      <c r="B799" s="2" t="s">
        <v>3</v>
      </c>
      <c r="C799" s="1" t="str">
        <f>IFERROR(__xludf.DUMMYFUNCTION("GOOGLETRANSLATE(A799,""en"",""pt-br"")"),"cáustico")</f>
        <v>cáustico</v>
      </c>
      <c r="D799" s="1" t="str">
        <f>IFERROR(__xludf.DUMMYFUNCTION("GOOGLETRANSLATE(B799,""en"",""pt-br"")"),"negativo")</f>
        <v>negativo</v>
      </c>
    </row>
    <row r="800" ht="15.75" customHeight="1">
      <c r="A800" s="2" t="s">
        <v>802</v>
      </c>
      <c r="B800" s="2" t="s">
        <v>3</v>
      </c>
      <c r="C800" s="1" t="str">
        <f>IFERROR(__xludf.DUMMYFUNCTION("GOOGLETRANSLATE(A800,""en"",""pt-br"")"),"causticamente")</f>
        <v>causticamente</v>
      </c>
      <c r="D800" s="1" t="str">
        <f>IFERROR(__xludf.DUMMYFUNCTION("GOOGLETRANSLATE(B800,""en"",""pt-br"")"),"negativo")</f>
        <v>negativo</v>
      </c>
    </row>
    <row r="801" ht="15.75" customHeight="1">
      <c r="A801" s="2" t="s">
        <v>803</v>
      </c>
      <c r="B801" s="2" t="s">
        <v>3</v>
      </c>
      <c r="C801" s="1" t="str">
        <f>IFERROR(__xludf.DUMMYFUNCTION("GOOGLETRANSLATE(A801,""en"",""pt-br"")"),"cauteloso")</f>
        <v>cauteloso</v>
      </c>
      <c r="D801" s="1" t="str">
        <f>IFERROR(__xludf.DUMMYFUNCTION("GOOGLETRANSLATE(B801,""en"",""pt-br"")"),"negativo")</f>
        <v>negativo</v>
      </c>
    </row>
    <row r="802" ht="15.75" customHeight="1">
      <c r="A802" s="2" t="s">
        <v>804</v>
      </c>
      <c r="B802" s="2" t="s">
        <v>3</v>
      </c>
      <c r="C802" s="1" t="str">
        <f>IFERROR(__xludf.DUMMYFUNCTION("GOOGLETRANSLATE(A802,""en"",""pt-br"")"),"caverna")</f>
        <v>caverna</v>
      </c>
      <c r="D802" s="1" t="str">
        <f>IFERROR(__xludf.DUMMYFUNCTION("GOOGLETRANSLATE(B802,""en"",""pt-br"")"),"negativo")</f>
        <v>negativo</v>
      </c>
    </row>
    <row r="803" ht="15.75" customHeight="1">
      <c r="A803" s="2" t="s">
        <v>805</v>
      </c>
      <c r="B803" s="2" t="s">
        <v>14</v>
      </c>
      <c r="C803" s="1" t="str">
        <f>IFERROR(__xludf.DUMMYFUNCTION("GOOGLETRANSLATE(A803,""en"",""pt-br"")"),"comemoro")</f>
        <v>comemoro</v>
      </c>
      <c r="D803" s="1" t="str">
        <f>IFERROR(__xludf.DUMMYFUNCTION("GOOGLETRANSLATE(B803,""en"",""pt-br"")"),"positivo")</f>
        <v>positivo</v>
      </c>
    </row>
    <row r="804" ht="15.75" customHeight="1">
      <c r="A804" s="2" t="s">
        <v>806</v>
      </c>
      <c r="B804" s="2" t="s">
        <v>14</v>
      </c>
      <c r="C804" s="1" t="str">
        <f>IFERROR(__xludf.DUMMYFUNCTION("GOOGLETRANSLATE(A804,""en"",""pt-br"")"),"célebre")</f>
        <v>célebre</v>
      </c>
      <c r="D804" s="1" t="str">
        <f>IFERROR(__xludf.DUMMYFUNCTION("GOOGLETRANSLATE(B804,""en"",""pt-br"")"),"positivo")</f>
        <v>positivo</v>
      </c>
    </row>
    <row r="805" ht="15.75" customHeight="1">
      <c r="A805" s="2" t="s">
        <v>807</v>
      </c>
      <c r="B805" s="2" t="s">
        <v>14</v>
      </c>
      <c r="C805" s="1" t="str">
        <f>IFERROR(__xludf.DUMMYFUNCTION("GOOGLETRANSLATE(A805,""en"",""pt-br"")"),"celebração")</f>
        <v>celebração</v>
      </c>
      <c r="D805" s="1" t="str">
        <f>IFERROR(__xludf.DUMMYFUNCTION("GOOGLETRANSLATE(B805,""en"",""pt-br"")"),"positivo")</f>
        <v>positivo</v>
      </c>
    </row>
    <row r="806" ht="15.75" customHeight="1">
      <c r="A806" s="2" t="s">
        <v>808</v>
      </c>
      <c r="B806" s="2" t="s">
        <v>14</v>
      </c>
      <c r="C806" s="1" t="str">
        <f>IFERROR(__xludf.DUMMYFUNCTION("GOOGLETRANSLATE(A806,""en"",""pt-br"")"),"comemorativos")</f>
        <v>comemorativos</v>
      </c>
      <c r="D806" s="1" t="str">
        <f>IFERROR(__xludf.DUMMYFUNCTION("GOOGLETRANSLATE(B806,""en"",""pt-br"")"),"positivo")</f>
        <v>positivo</v>
      </c>
    </row>
    <row r="807" ht="15.75" customHeight="1">
      <c r="A807" s="2" t="s">
        <v>809</v>
      </c>
      <c r="B807" s="2" t="s">
        <v>3</v>
      </c>
      <c r="C807" s="1" t="str">
        <f>IFERROR(__xludf.DUMMYFUNCTION("GOOGLETRANSLATE(A807,""en"",""pt-br"")"),"censura")</f>
        <v>censura</v>
      </c>
      <c r="D807" s="1" t="str">
        <f>IFERROR(__xludf.DUMMYFUNCTION("GOOGLETRANSLATE(B807,""en"",""pt-br"")"),"negativo")</f>
        <v>negativo</v>
      </c>
    </row>
    <row r="808" ht="15.75" customHeight="1">
      <c r="A808" s="2" t="s">
        <v>810</v>
      </c>
      <c r="B808" s="2" t="s">
        <v>3</v>
      </c>
      <c r="C808" s="1" t="str">
        <f>IFERROR(__xludf.DUMMYFUNCTION("GOOGLETRANSLATE(A808,""en"",""pt-br"")"),"chafe")</f>
        <v>chafe</v>
      </c>
      <c r="D808" s="1" t="str">
        <f>IFERROR(__xludf.DUMMYFUNCTION("GOOGLETRANSLATE(B808,""en"",""pt-br"")"),"negativo")</f>
        <v>negativo</v>
      </c>
    </row>
    <row r="809" ht="15.75" customHeight="1">
      <c r="A809" s="2" t="s">
        <v>811</v>
      </c>
      <c r="B809" s="2" t="s">
        <v>3</v>
      </c>
      <c r="C809" s="1" t="str">
        <f>IFERROR(__xludf.DUMMYFUNCTION("GOOGLETRANSLATE(A809,""en"",""pt-br"")"),"palha")</f>
        <v>palha</v>
      </c>
      <c r="D809" s="1" t="str">
        <f>IFERROR(__xludf.DUMMYFUNCTION("GOOGLETRANSLATE(B809,""en"",""pt-br"")"),"negativo")</f>
        <v>negativo</v>
      </c>
    </row>
    <row r="810" ht="15.75" customHeight="1">
      <c r="A810" s="2" t="s">
        <v>812</v>
      </c>
      <c r="B810" s="2" t="s">
        <v>3</v>
      </c>
      <c r="C810" s="1" t="str">
        <f>IFERROR(__xludf.DUMMYFUNCTION("GOOGLETRANSLATE(A810,""en"",""pt-br"")"),"desgosto")</f>
        <v>desgosto</v>
      </c>
      <c r="D810" s="1" t="str">
        <f>IFERROR(__xludf.DUMMYFUNCTION("GOOGLETRANSLATE(B810,""en"",""pt-br"")"),"negativo")</f>
        <v>negativo</v>
      </c>
    </row>
    <row r="811" ht="15.75" customHeight="1">
      <c r="A811" s="2" t="s">
        <v>813</v>
      </c>
      <c r="B811" s="2" t="s">
        <v>3</v>
      </c>
      <c r="C811" s="1" t="str">
        <f>IFERROR(__xludf.DUMMYFUNCTION("GOOGLETRANSLATE(A811,""en"",""pt-br"")"),"desafiador")</f>
        <v>desafiador</v>
      </c>
      <c r="D811" s="1" t="str">
        <f>IFERROR(__xludf.DUMMYFUNCTION("GOOGLETRANSLATE(B811,""en"",""pt-br"")"),"negativo")</f>
        <v>negativo</v>
      </c>
    </row>
    <row r="812" ht="15.75" customHeight="1">
      <c r="A812" s="2" t="s">
        <v>814</v>
      </c>
      <c r="B812" s="2" t="s">
        <v>14</v>
      </c>
      <c r="C812" s="1" t="str">
        <f>IFERROR(__xludf.DUMMYFUNCTION("GOOGLETRANSLATE(A812,""en"",""pt-br"")"),"campeão")</f>
        <v>campeão</v>
      </c>
      <c r="D812" s="1" t="str">
        <f>IFERROR(__xludf.DUMMYFUNCTION("GOOGLETRANSLATE(B812,""en"",""pt-br"")"),"positivo")</f>
        <v>positivo</v>
      </c>
    </row>
    <row r="813" ht="15.75" customHeight="1">
      <c r="A813" s="2" t="s">
        <v>815</v>
      </c>
      <c r="B813" s="2" t="s">
        <v>14</v>
      </c>
      <c r="C813" s="1" t="str">
        <f>IFERROR(__xludf.DUMMYFUNCTION("GOOGLETRANSLATE(A813,""en"",""pt-br"")"),"campeão")</f>
        <v>campeão</v>
      </c>
      <c r="D813" s="1" t="str">
        <f>IFERROR(__xludf.DUMMYFUNCTION("GOOGLETRANSLATE(B813,""en"",""pt-br"")"),"positivo")</f>
        <v>positivo</v>
      </c>
    </row>
    <row r="814" ht="15.75" customHeight="1">
      <c r="A814" s="2" t="s">
        <v>816</v>
      </c>
      <c r="B814" s="2" t="s">
        <v>3</v>
      </c>
      <c r="C814" s="1" t="str">
        <f>IFERROR(__xludf.DUMMYFUNCTION("GOOGLETRANSLATE(A814,""en"",""pt-br"")"),"caos")</f>
        <v>caos</v>
      </c>
      <c r="D814" s="1" t="str">
        <f>IFERROR(__xludf.DUMMYFUNCTION("GOOGLETRANSLATE(B814,""en"",""pt-br"")"),"negativo")</f>
        <v>negativo</v>
      </c>
    </row>
    <row r="815" ht="15.75" customHeight="1">
      <c r="A815" s="2" t="s">
        <v>817</v>
      </c>
      <c r="B815" s="2" t="s">
        <v>3</v>
      </c>
      <c r="C815" s="1" t="str">
        <f>IFERROR(__xludf.DUMMYFUNCTION("GOOGLETRANSLATE(A815,""en"",""pt-br"")"),"caótico")</f>
        <v>caótico</v>
      </c>
      <c r="D815" s="1" t="str">
        <f>IFERROR(__xludf.DUMMYFUNCTION("GOOGLETRANSLATE(B815,""en"",""pt-br"")"),"negativo")</f>
        <v>negativo</v>
      </c>
    </row>
    <row r="816" ht="15.75" customHeight="1">
      <c r="A816" s="2" t="s">
        <v>818</v>
      </c>
      <c r="B816" s="2" t="s">
        <v>14</v>
      </c>
      <c r="C816" s="1" t="str">
        <f>IFERROR(__xludf.DUMMYFUNCTION("GOOGLETRANSLATE(A816,""en"",""pt-br"")"),"carisma")</f>
        <v>carisma</v>
      </c>
      <c r="D816" s="1" t="str">
        <f>IFERROR(__xludf.DUMMYFUNCTION("GOOGLETRANSLATE(B816,""en"",""pt-br"")"),"positivo")</f>
        <v>positivo</v>
      </c>
    </row>
    <row r="817" ht="15.75" customHeight="1">
      <c r="A817" s="2" t="s">
        <v>819</v>
      </c>
      <c r="B817" s="2" t="s">
        <v>14</v>
      </c>
      <c r="C817" s="1" t="str">
        <f>IFERROR(__xludf.DUMMYFUNCTION("GOOGLETRANSLATE(A817,""en"",""pt-br"")"),"carismático")</f>
        <v>carismático</v>
      </c>
      <c r="D817" s="1" t="str">
        <f>IFERROR(__xludf.DUMMYFUNCTION("GOOGLETRANSLATE(B817,""en"",""pt-br"")"),"positivo")</f>
        <v>positivo</v>
      </c>
    </row>
    <row r="818" ht="15.75" customHeight="1">
      <c r="A818" s="2" t="s">
        <v>820</v>
      </c>
      <c r="B818" s="2" t="s">
        <v>14</v>
      </c>
      <c r="C818" s="1" t="str">
        <f>IFERROR(__xludf.DUMMYFUNCTION("GOOGLETRANSLATE(A818,""en"",""pt-br"")"),"caridoso")</f>
        <v>caridoso</v>
      </c>
      <c r="D818" s="1" t="str">
        <f>IFERROR(__xludf.DUMMYFUNCTION("GOOGLETRANSLATE(B818,""en"",""pt-br"")"),"positivo")</f>
        <v>positivo</v>
      </c>
    </row>
    <row r="819" ht="15.75" customHeight="1">
      <c r="A819" s="2" t="s">
        <v>821</v>
      </c>
      <c r="B819" s="2" t="s">
        <v>14</v>
      </c>
      <c r="C819" s="1" t="str">
        <f>IFERROR(__xludf.DUMMYFUNCTION("GOOGLETRANSLATE(A819,""en"",""pt-br"")"),"charme")</f>
        <v>charme</v>
      </c>
      <c r="D819" s="1" t="str">
        <f>IFERROR(__xludf.DUMMYFUNCTION("GOOGLETRANSLATE(B819,""en"",""pt-br"")"),"positivo")</f>
        <v>positivo</v>
      </c>
    </row>
    <row r="820" ht="15.75" customHeight="1">
      <c r="A820" s="2" t="s">
        <v>822</v>
      </c>
      <c r="B820" s="2" t="s">
        <v>14</v>
      </c>
      <c r="C820" s="1" t="str">
        <f>IFERROR(__xludf.DUMMYFUNCTION("GOOGLETRANSLATE(A820,""en"",""pt-br"")"),"encantador")</f>
        <v>encantador</v>
      </c>
      <c r="D820" s="1" t="str">
        <f>IFERROR(__xludf.DUMMYFUNCTION("GOOGLETRANSLATE(B820,""en"",""pt-br"")"),"positivo")</f>
        <v>positivo</v>
      </c>
    </row>
    <row r="821" ht="15.75" customHeight="1">
      <c r="A821" s="2" t="s">
        <v>823</v>
      </c>
      <c r="B821" s="2" t="s">
        <v>14</v>
      </c>
      <c r="C821" s="1" t="str">
        <f>IFERROR(__xludf.DUMMYFUNCTION("GOOGLETRANSLATE(A821,""en"",""pt-br"")"),"encantadoramente")</f>
        <v>encantadoramente</v>
      </c>
      <c r="D821" s="1" t="str">
        <f>IFERROR(__xludf.DUMMYFUNCTION("GOOGLETRANSLATE(B821,""en"",""pt-br"")"),"positivo")</f>
        <v>positivo</v>
      </c>
    </row>
    <row r="822" ht="15.75" customHeight="1">
      <c r="A822" s="2" t="s">
        <v>824</v>
      </c>
      <c r="B822" s="2" t="s">
        <v>14</v>
      </c>
      <c r="C822" s="1" t="str">
        <f>IFERROR(__xludf.DUMMYFUNCTION("GOOGLETRANSLATE(A822,""en"",""pt-br"")"),"casto")</f>
        <v>casto</v>
      </c>
      <c r="D822" s="1" t="str">
        <f>IFERROR(__xludf.DUMMYFUNCTION("GOOGLETRANSLATE(B822,""en"",""pt-br"")"),"positivo")</f>
        <v>positivo</v>
      </c>
    </row>
    <row r="823" ht="15.75" customHeight="1">
      <c r="A823" s="2" t="s">
        <v>825</v>
      </c>
      <c r="B823" s="2" t="s">
        <v>3</v>
      </c>
      <c r="C823" s="1" t="str">
        <f>IFERROR(__xludf.DUMMYFUNCTION("GOOGLETRANSLATE(A823,""en"",""pt-br"")"),"castigar")</f>
        <v>castigar</v>
      </c>
      <c r="D823" s="1" t="str">
        <f>IFERROR(__xludf.DUMMYFUNCTION("GOOGLETRANSLATE(B823,""en"",""pt-br"")"),"negativo")</f>
        <v>negativo</v>
      </c>
    </row>
    <row r="824" ht="15.75" customHeight="1">
      <c r="A824" s="2" t="s">
        <v>826</v>
      </c>
      <c r="B824" s="2" t="s">
        <v>3</v>
      </c>
      <c r="C824" s="1" t="str">
        <f>IFERROR(__xludf.DUMMYFUNCTION("GOOGLETRANSLATE(A824,""en"",""pt-br"")"),"Chastise")</f>
        <v>Chastise</v>
      </c>
      <c r="D824" s="1" t="str">
        <f>IFERROR(__xludf.DUMMYFUNCTION("GOOGLETRANSLATE(B824,""en"",""pt-br"")"),"negativo")</f>
        <v>negativo</v>
      </c>
    </row>
    <row r="825" ht="15.75" customHeight="1">
      <c r="A825" s="2" t="s">
        <v>827</v>
      </c>
      <c r="B825" s="2" t="s">
        <v>3</v>
      </c>
      <c r="C825" s="1" t="str">
        <f>IFERROR(__xludf.DUMMYFUNCTION("GOOGLETRANSLATE(A825,""en"",""pt-br"")"),"castigo")</f>
        <v>castigo</v>
      </c>
      <c r="D825" s="1" t="str">
        <f>IFERROR(__xludf.DUMMYFUNCTION("GOOGLETRANSLATE(B825,""en"",""pt-br"")"),"negativo")</f>
        <v>negativo</v>
      </c>
    </row>
    <row r="826" ht="15.75" customHeight="1">
      <c r="A826" s="2" t="s">
        <v>828</v>
      </c>
      <c r="B826" s="2" t="s">
        <v>3</v>
      </c>
      <c r="C826" s="1" t="str">
        <f>IFERROR(__xludf.DUMMYFUNCTION("GOOGLETRANSLATE(A826,""en"",""pt-br"")"),"tagarelice")</f>
        <v>tagarelice</v>
      </c>
      <c r="D826" s="1" t="str">
        <f>IFERROR(__xludf.DUMMYFUNCTION("GOOGLETRANSLATE(B826,""en"",""pt-br"")"),"negativo")</f>
        <v>negativo</v>
      </c>
    </row>
    <row r="827" ht="15.75" customHeight="1">
      <c r="A827" s="2" t="s">
        <v>829</v>
      </c>
      <c r="B827" s="2" t="s">
        <v>3</v>
      </c>
      <c r="C827" s="1" t="str">
        <f>IFERROR(__xludf.DUMMYFUNCTION("GOOGLETRANSLATE(A827,""en"",""pt-br"")"),"tagarela")</f>
        <v>tagarela</v>
      </c>
      <c r="D827" s="1" t="str">
        <f>IFERROR(__xludf.DUMMYFUNCTION("GOOGLETRANSLATE(B827,""en"",""pt-br"")"),"negativo")</f>
        <v>negativo</v>
      </c>
    </row>
    <row r="828" ht="15.75" customHeight="1">
      <c r="A828" s="2" t="s">
        <v>830</v>
      </c>
      <c r="B828" s="2" t="s">
        <v>3</v>
      </c>
      <c r="C828" s="1" t="str">
        <f>IFERROR(__xludf.DUMMYFUNCTION("GOOGLETRANSLATE(A828,""en"",""pt-br"")"),"barato")</f>
        <v>barato</v>
      </c>
      <c r="D828" s="1" t="str">
        <f>IFERROR(__xludf.DUMMYFUNCTION("GOOGLETRANSLATE(B828,""en"",""pt-br"")"),"negativo")</f>
        <v>negativo</v>
      </c>
    </row>
    <row r="829" ht="15.75" customHeight="1">
      <c r="A829" s="2" t="s">
        <v>831</v>
      </c>
      <c r="B829" s="2" t="s">
        <v>3</v>
      </c>
      <c r="C829" s="1" t="str">
        <f>IFERROR(__xludf.DUMMYFUNCTION("GOOGLETRANSLATE(A829,""en"",""pt-br"")"),"baratear")</f>
        <v>baratear</v>
      </c>
      <c r="D829" s="1" t="str">
        <f>IFERROR(__xludf.DUMMYFUNCTION("GOOGLETRANSLATE(B829,""en"",""pt-br"")"),"negativo")</f>
        <v>negativo</v>
      </c>
    </row>
    <row r="830" ht="15.75" customHeight="1">
      <c r="A830" s="2" t="s">
        <v>832</v>
      </c>
      <c r="B830" s="2" t="s">
        <v>14</v>
      </c>
      <c r="C830" s="1" t="str">
        <f>IFERROR(__xludf.DUMMYFUNCTION("GOOGLETRANSLATE(A830,""en"",""pt-br"")"),"mais barato")</f>
        <v>mais barato</v>
      </c>
      <c r="D830" s="1" t="str">
        <f>IFERROR(__xludf.DUMMYFUNCTION("GOOGLETRANSLATE(B830,""en"",""pt-br"")"),"positivo")</f>
        <v>positivo</v>
      </c>
    </row>
    <row r="831" ht="15.75" customHeight="1">
      <c r="A831" s="2" t="s">
        <v>833</v>
      </c>
      <c r="B831" s="2" t="s">
        <v>14</v>
      </c>
      <c r="C831" s="1" t="str">
        <f>IFERROR(__xludf.DUMMYFUNCTION("GOOGLETRANSLATE(A831,""en"",""pt-br"")"),"mais barato")</f>
        <v>mais barato</v>
      </c>
      <c r="D831" s="1" t="str">
        <f>IFERROR(__xludf.DUMMYFUNCTION("GOOGLETRANSLATE(B831,""en"",""pt-br"")"),"positivo")</f>
        <v>positivo</v>
      </c>
    </row>
    <row r="832" ht="15.75" customHeight="1">
      <c r="A832" s="2" t="s">
        <v>834</v>
      </c>
      <c r="B832" s="2" t="s">
        <v>3</v>
      </c>
      <c r="C832" s="1" t="str">
        <f>IFERROR(__xludf.DUMMYFUNCTION("GOOGLETRANSLATE(A832,""en"",""pt-br"")"),"barato")</f>
        <v>barato</v>
      </c>
      <c r="D832" s="1" t="str">
        <f>IFERROR(__xludf.DUMMYFUNCTION("GOOGLETRANSLATE(B832,""en"",""pt-br"")"),"negativo")</f>
        <v>negativo</v>
      </c>
    </row>
    <row r="833" ht="15.75" customHeight="1">
      <c r="A833" s="2" t="s">
        <v>835</v>
      </c>
      <c r="B833" s="2" t="s">
        <v>3</v>
      </c>
      <c r="C833" s="1" t="str">
        <f>IFERROR(__xludf.DUMMYFUNCTION("GOOGLETRANSLATE(A833,""en"",""pt-br"")"),"enganação")</f>
        <v>enganação</v>
      </c>
      <c r="D833" s="1" t="str">
        <f>IFERROR(__xludf.DUMMYFUNCTION("GOOGLETRANSLATE(B833,""en"",""pt-br"")"),"negativo")</f>
        <v>negativo</v>
      </c>
    </row>
    <row r="834" ht="15.75" customHeight="1">
      <c r="A834" s="2" t="s">
        <v>836</v>
      </c>
      <c r="B834" s="2" t="s">
        <v>3</v>
      </c>
      <c r="C834" s="1" t="str">
        <f>IFERROR(__xludf.DUMMYFUNCTION("GOOGLETRANSLATE(A834,""en"",""pt-br"")"),"enganado")</f>
        <v>enganado</v>
      </c>
      <c r="D834" s="1" t="str">
        <f>IFERROR(__xludf.DUMMYFUNCTION("GOOGLETRANSLATE(B834,""en"",""pt-br"")"),"negativo")</f>
        <v>negativo</v>
      </c>
    </row>
    <row r="835" ht="15.75" customHeight="1">
      <c r="A835" s="2" t="s">
        <v>837</v>
      </c>
      <c r="B835" s="2" t="s">
        <v>3</v>
      </c>
      <c r="C835" s="1" t="str">
        <f>IFERROR(__xludf.DUMMYFUNCTION("GOOGLETRANSLATE(A835,""en"",""pt-br"")"),"trapaceiro")</f>
        <v>trapaceiro</v>
      </c>
      <c r="D835" s="1" t="str">
        <f>IFERROR(__xludf.DUMMYFUNCTION("GOOGLETRANSLATE(B835,""en"",""pt-br"")"),"negativo")</f>
        <v>negativo</v>
      </c>
    </row>
    <row r="836" ht="15.75" customHeight="1">
      <c r="A836" s="2" t="s">
        <v>838</v>
      </c>
      <c r="B836" s="2" t="s">
        <v>3</v>
      </c>
      <c r="C836" s="1" t="str">
        <f>IFERROR(__xludf.DUMMYFUNCTION("GOOGLETRANSLATE(A836,""en"",""pt-br"")"),"traindo")</f>
        <v>traindo</v>
      </c>
      <c r="D836" s="1" t="str">
        <f>IFERROR(__xludf.DUMMYFUNCTION("GOOGLETRANSLATE(B836,""en"",""pt-br"")"),"negativo")</f>
        <v>negativo</v>
      </c>
    </row>
    <row r="837" ht="15.75" customHeight="1">
      <c r="A837" s="2" t="s">
        <v>839</v>
      </c>
      <c r="B837" s="2" t="s">
        <v>3</v>
      </c>
      <c r="C837" s="1" t="str">
        <f>IFERROR(__xludf.DUMMYFUNCTION("GOOGLETRANSLATE(A837,""en"",""pt-br"")"),"fraudes")</f>
        <v>fraudes</v>
      </c>
      <c r="D837" s="1" t="str">
        <f>IFERROR(__xludf.DUMMYFUNCTION("GOOGLETRANSLATE(B837,""en"",""pt-br"")"),"negativo")</f>
        <v>negativo</v>
      </c>
    </row>
    <row r="838" ht="15.75" customHeight="1">
      <c r="A838" s="2" t="s">
        <v>840</v>
      </c>
      <c r="B838" s="2" t="s">
        <v>3</v>
      </c>
      <c r="C838" s="1" t="str">
        <f>IFERROR(__xludf.DUMMYFUNCTION("GOOGLETRANSLATE(A838,""en"",""pt-br"")"),"quadriculada")</f>
        <v>quadriculada</v>
      </c>
      <c r="D838" s="1" t="str">
        <f>IFERROR(__xludf.DUMMYFUNCTION("GOOGLETRANSLATE(B838,""en"",""pt-br"")"),"negativo")</f>
        <v>negativo</v>
      </c>
    </row>
    <row r="839" ht="15.75" customHeight="1">
      <c r="A839" s="2" t="s">
        <v>841</v>
      </c>
      <c r="B839" s="2" t="s">
        <v>14</v>
      </c>
      <c r="C839" s="1" t="str">
        <f>IFERROR(__xludf.DUMMYFUNCTION("GOOGLETRANSLATE(A839,""en"",""pt-br"")"),"alegria")</f>
        <v>alegria</v>
      </c>
      <c r="D839" s="1" t="str">
        <f>IFERROR(__xludf.DUMMYFUNCTION("GOOGLETRANSLATE(B839,""en"",""pt-br"")"),"positivo")</f>
        <v>positivo</v>
      </c>
    </row>
    <row r="840" ht="15.75" customHeight="1">
      <c r="A840" s="2" t="s">
        <v>842</v>
      </c>
      <c r="B840" s="2" t="s">
        <v>14</v>
      </c>
      <c r="C840" s="1" t="str">
        <f>IFERROR(__xludf.DUMMYFUNCTION("GOOGLETRANSLATE(A840,""en"",""pt-br"")"),"alegre")</f>
        <v>alegre</v>
      </c>
      <c r="D840" s="1" t="str">
        <f>IFERROR(__xludf.DUMMYFUNCTION("GOOGLETRANSLATE(B840,""en"",""pt-br"")"),"positivo")</f>
        <v>positivo</v>
      </c>
    </row>
    <row r="841" ht="15.75" customHeight="1">
      <c r="A841" s="2" t="s">
        <v>843</v>
      </c>
      <c r="B841" s="2" t="s">
        <v>3</v>
      </c>
      <c r="C841" s="1" t="str">
        <f>IFERROR(__xludf.DUMMYFUNCTION("GOOGLETRANSLATE(A841,""en"",""pt-br"")"),"triste")</f>
        <v>triste</v>
      </c>
      <c r="D841" s="1" t="str">
        <f>IFERROR(__xludf.DUMMYFUNCTION("GOOGLETRANSLATE(B841,""en"",""pt-br"")"),"negativo")</f>
        <v>negativo</v>
      </c>
    </row>
    <row r="842" ht="15.75" customHeight="1">
      <c r="A842" s="2" t="s">
        <v>844</v>
      </c>
      <c r="B842" s="2" t="s">
        <v>14</v>
      </c>
      <c r="C842" s="1" t="str">
        <f>IFERROR(__xludf.DUMMYFUNCTION("GOOGLETRANSLATE(A842,""en"",""pt-br"")"),"alegre")</f>
        <v>alegre</v>
      </c>
      <c r="D842" s="1" t="str">
        <f>IFERROR(__xludf.DUMMYFUNCTION("GOOGLETRANSLATE(B842,""en"",""pt-br"")"),"positivo")</f>
        <v>positivo</v>
      </c>
    </row>
    <row r="843" ht="15.75" customHeight="1">
      <c r="A843" s="2" t="s">
        <v>845</v>
      </c>
      <c r="B843" s="2" t="s">
        <v>3</v>
      </c>
      <c r="C843" s="1" t="str">
        <f>IFERROR(__xludf.DUMMYFUNCTION("GOOGLETRANSLATE(A843,""en"",""pt-br"")"),"brega")</f>
        <v>brega</v>
      </c>
      <c r="D843" s="1" t="str">
        <f>IFERROR(__xludf.DUMMYFUNCTION("GOOGLETRANSLATE(B843,""en"",""pt-br"")"),"negativo")</f>
        <v>negativo</v>
      </c>
    </row>
    <row r="844" ht="15.75" customHeight="1">
      <c r="A844" s="2" t="s">
        <v>846</v>
      </c>
      <c r="B844" s="2" t="s">
        <v>14</v>
      </c>
      <c r="C844" s="1" t="str">
        <f>IFERROR(__xludf.DUMMYFUNCTION("GOOGLETRANSLATE(A844,""en"",""pt-br"")"),"Cherish")</f>
        <v>Cherish</v>
      </c>
      <c r="D844" s="1" t="str">
        <f>IFERROR(__xludf.DUMMYFUNCTION("GOOGLETRANSLATE(B844,""en"",""pt-br"")"),"positivo")</f>
        <v>positivo</v>
      </c>
    </row>
    <row r="845" ht="15.75" customHeight="1">
      <c r="A845" s="2" t="s">
        <v>847</v>
      </c>
      <c r="B845" s="2" t="s">
        <v>14</v>
      </c>
      <c r="C845" s="1" t="str">
        <f>IFERROR(__xludf.DUMMYFUNCTION("GOOGLETRANSLATE(A845,""en"",""pt-br"")"),"acarinhados")</f>
        <v>acarinhados</v>
      </c>
      <c r="D845" s="1" t="str">
        <f>IFERROR(__xludf.DUMMYFUNCTION("GOOGLETRANSLATE(B845,""en"",""pt-br"")"),"positivo")</f>
        <v>positivo</v>
      </c>
    </row>
    <row r="846" ht="15.75" customHeight="1">
      <c r="A846" s="2" t="s">
        <v>848</v>
      </c>
      <c r="B846" s="2" t="s">
        <v>14</v>
      </c>
      <c r="C846" s="1" t="str">
        <f>IFERROR(__xludf.DUMMYFUNCTION("GOOGLETRANSLATE(A846,""en"",""pt-br"")"),"querubim")</f>
        <v>querubim</v>
      </c>
      <c r="D846" s="1" t="str">
        <f>IFERROR(__xludf.DUMMYFUNCTION("GOOGLETRANSLATE(B846,""en"",""pt-br"")"),"positivo")</f>
        <v>positivo</v>
      </c>
    </row>
    <row r="847" ht="15.75" customHeight="1">
      <c r="A847" s="2" t="s">
        <v>849</v>
      </c>
      <c r="B847" s="2" t="s">
        <v>14</v>
      </c>
      <c r="C847" s="1" t="str">
        <f>IFERROR(__xludf.DUMMYFUNCTION("GOOGLETRANSLATE(A847,""en"",""pt-br"")"),"chique")</f>
        <v>chique</v>
      </c>
      <c r="D847" s="1" t="str">
        <f>IFERROR(__xludf.DUMMYFUNCTION("GOOGLETRANSLATE(B847,""en"",""pt-br"")"),"positivo")</f>
        <v>positivo</v>
      </c>
    </row>
    <row r="848" ht="15.75" customHeight="1">
      <c r="A848" s="2" t="s">
        <v>850</v>
      </c>
      <c r="B848" s="2" t="s">
        <v>3</v>
      </c>
      <c r="C848" s="1" t="str">
        <f>IFERROR(__xludf.DUMMYFUNCTION("GOOGLETRANSLATE(A848,""en"",""pt-br"")"),"contendeis")</f>
        <v>contendeis</v>
      </c>
      <c r="D848" s="1" t="str">
        <f>IFERROR(__xludf.DUMMYFUNCTION("GOOGLETRANSLATE(B848,""en"",""pt-br"")"),"negativo")</f>
        <v>negativo</v>
      </c>
    </row>
    <row r="849" ht="15.75" customHeight="1">
      <c r="A849" s="2" t="s">
        <v>851</v>
      </c>
      <c r="B849" s="2" t="s">
        <v>3</v>
      </c>
      <c r="C849" s="1" t="str">
        <f>IFERROR(__xludf.DUMMYFUNCTION("GOOGLETRANSLATE(A849,""en"",""pt-br"")"),"infantil")</f>
        <v>infantil</v>
      </c>
      <c r="D849" s="1" t="str">
        <f>IFERROR(__xludf.DUMMYFUNCTION("GOOGLETRANSLATE(B849,""en"",""pt-br"")"),"negativo")</f>
        <v>negativo</v>
      </c>
    </row>
    <row r="850" ht="15.75" customHeight="1">
      <c r="A850" s="2" t="s">
        <v>852</v>
      </c>
      <c r="B850" s="2" t="s">
        <v>3</v>
      </c>
      <c r="C850" s="1" t="str">
        <f>IFERROR(__xludf.DUMMYFUNCTION("GOOGLETRANSLATE(A850,""en"",""pt-br"")"),"calafrio")</f>
        <v>calafrio</v>
      </c>
      <c r="D850" s="1" t="str">
        <f>IFERROR(__xludf.DUMMYFUNCTION("GOOGLETRANSLATE(B850,""en"",""pt-br"")"),"negativo")</f>
        <v>negativo</v>
      </c>
    </row>
    <row r="851" ht="15.75" customHeight="1">
      <c r="A851" s="2" t="s">
        <v>853</v>
      </c>
      <c r="B851" s="2" t="s">
        <v>3</v>
      </c>
      <c r="C851" s="1" t="str">
        <f>IFERROR(__xludf.DUMMYFUNCTION("GOOGLETRANSLATE(A851,""en"",""pt-br"")"),"frio")</f>
        <v>frio</v>
      </c>
      <c r="D851" s="1" t="str">
        <f>IFERROR(__xludf.DUMMYFUNCTION("GOOGLETRANSLATE(B851,""en"",""pt-br"")"),"negativo")</f>
        <v>negativo</v>
      </c>
    </row>
    <row r="852" ht="15.75" customHeight="1">
      <c r="A852" s="2" t="s">
        <v>854</v>
      </c>
      <c r="B852" s="2" t="s">
        <v>3</v>
      </c>
      <c r="C852" s="1" t="str">
        <f>IFERROR(__xludf.DUMMYFUNCTION("GOOGLETRANSLATE(A852,""en"",""pt-br"")"),"glamoroso")</f>
        <v>glamoroso</v>
      </c>
      <c r="D852" s="1" t="str">
        <f>IFERROR(__xludf.DUMMYFUNCTION("GOOGLETRANSLATE(B852,""en"",""pt-br"")"),"negativo")</f>
        <v>negativo</v>
      </c>
    </row>
    <row r="853" ht="15.75" customHeight="1">
      <c r="A853" s="2" t="s">
        <v>855</v>
      </c>
      <c r="B853" s="2" t="s">
        <v>14</v>
      </c>
      <c r="C853" s="1" t="str">
        <f>IFERROR(__xludf.DUMMYFUNCTION("GOOGLETRANSLATE(A853,""en"",""pt-br"")"),"cavalheiresco")</f>
        <v>cavalheiresco</v>
      </c>
      <c r="D853" s="1" t="str">
        <f>IFERROR(__xludf.DUMMYFUNCTION("GOOGLETRANSLATE(B853,""en"",""pt-br"")"),"positivo")</f>
        <v>positivo</v>
      </c>
    </row>
    <row r="854" ht="15.75" customHeight="1">
      <c r="A854" s="2" t="s">
        <v>856</v>
      </c>
      <c r="B854" s="2" t="s">
        <v>14</v>
      </c>
      <c r="C854" s="1" t="str">
        <f>IFERROR(__xludf.DUMMYFUNCTION("GOOGLETRANSLATE(A854,""en"",""pt-br"")"),"cavalheirismo")</f>
        <v>cavalheirismo</v>
      </c>
      <c r="D854" s="1" t="str">
        <f>IFERROR(__xludf.DUMMYFUNCTION("GOOGLETRANSLATE(B854,""en"",""pt-br"")"),"positivo")</f>
        <v>positivo</v>
      </c>
    </row>
    <row r="855" ht="15.75" customHeight="1">
      <c r="A855" s="2" t="s">
        <v>857</v>
      </c>
      <c r="B855" s="2" t="s">
        <v>3</v>
      </c>
      <c r="C855" s="1" t="str">
        <f>IFERROR(__xludf.DUMMYFUNCTION("GOOGLETRANSLATE(A855,""en"",""pt-br"")"),"sufocar")</f>
        <v>sufocar</v>
      </c>
      <c r="D855" s="1" t="str">
        <f>IFERROR(__xludf.DUMMYFUNCTION("GOOGLETRANSLATE(B855,""en"",""pt-br"")"),"negativo")</f>
        <v>negativo</v>
      </c>
    </row>
    <row r="856" ht="15.75" customHeight="1">
      <c r="A856" s="2" t="s">
        <v>858</v>
      </c>
      <c r="B856" s="2" t="s">
        <v>3</v>
      </c>
      <c r="C856" s="1" t="str">
        <f>IFERROR(__xludf.DUMMYFUNCTION("GOOGLETRANSLATE(A856,""en"",""pt-br"")"),"colérico")</f>
        <v>colérico</v>
      </c>
      <c r="D856" s="1" t="str">
        <f>IFERROR(__xludf.DUMMYFUNCTION("GOOGLETRANSLATE(B856,""en"",""pt-br"")"),"negativo")</f>
        <v>negativo</v>
      </c>
    </row>
    <row r="857" ht="15.75" customHeight="1">
      <c r="A857" s="2" t="s">
        <v>859</v>
      </c>
      <c r="B857" s="2" t="s">
        <v>3</v>
      </c>
      <c r="C857" s="1" t="str">
        <f>IFERROR(__xludf.DUMMYFUNCTION("GOOGLETRANSLATE(A857,""en"",""pt-br"")"),"agitada")</f>
        <v>agitada</v>
      </c>
      <c r="D857" s="1" t="str">
        <f>IFERROR(__xludf.DUMMYFUNCTION("GOOGLETRANSLATE(B857,""en"",""pt-br"")"),"negativo")</f>
        <v>negativo</v>
      </c>
    </row>
    <row r="858" ht="15.75" customHeight="1">
      <c r="A858" s="2" t="s">
        <v>860</v>
      </c>
      <c r="B858" s="2" t="s">
        <v>3</v>
      </c>
      <c r="C858" s="1" t="str">
        <f>IFERROR(__xludf.DUMMYFUNCTION("GOOGLETRANSLATE(A858,""en"",""pt-br"")"),"tarefa")</f>
        <v>tarefa</v>
      </c>
      <c r="D858" s="1" t="str">
        <f>IFERROR(__xludf.DUMMYFUNCTION("GOOGLETRANSLATE(B858,""en"",""pt-br"")"),"negativo")</f>
        <v>negativo</v>
      </c>
    </row>
    <row r="859" ht="15.75" customHeight="1">
      <c r="A859" s="2" t="s">
        <v>861</v>
      </c>
      <c r="B859" s="2" t="s">
        <v>3</v>
      </c>
      <c r="C859" s="1" t="str">
        <f>IFERROR(__xludf.DUMMYFUNCTION("GOOGLETRANSLATE(A859,""en"",""pt-br"")"),"crônica")</f>
        <v>crônica</v>
      </c>
      <c r="D859" s="1" t="str">
        <f>IFERROR(__xludf.DUMMYFUNCTION("GOOGLETRANSLATE(B859,""en"",""pt-br"")"),"negativo")</f>
        <v>negativo</v>
      </c>
    </row>
    <row r="860" ht="15.75" customHeight="1">
      <c r="A860" s="2" t="s">
        <v>862</v>
      </c>
      <c r="B860" s="2" t="s">
        <v>3</v>
      </c>
      <c r="C860" s="1" t="str">
        <f>IFERROR(__xludf.DUMMYFUNCTION("GOOGLETRANSLATE(A860,""en"",""pt-br"")"),"robusto")</f>
        <v>robusto</v>
      </c>
      <c r="D860" s="1" t="str">
        <f>IFERROR(__xludf.DUMMYFUNCTION("GOOGLETRANSLATE(B860,""en"",""pt-br"")"),"negativo")</f>
        <v>negativo</v>
      </c>
    </row>
    <row r="861" ht="15.75" customHeight="1">
      <c r="A861" s="2" t="s">
        <v>863</v>
      </c>
      <c r="B861" s="2" t="s">
        <v>14</v>
      </c>
      <c r="C861" s="1" t="str">
        <f>IFERROR(__xludf.DUMMYFUNCTION("GOOGLETRANSLATE(A861,""en"",""pt-br"")"),"civilidade")</f>
        <v>civilidade</v>
      </c>
      <c r="D861" s="1" t="str">
        <f>IFERROR(__xludf.DUMMYFUNCTION("GOOGLETRANSLATE(B861,""en"",""pt-br"")"),"positivo")</f>
        <v>positivo</v>
      </c>
    </row>
    <row r="862" ht="15.75" customHeight="1">
      <c r="A862" s="2" t="s">
        <v>864</v>
      </c>
      <c r="B862" s="2" t="s">
        <v>14</v>
      </c>
      <c r="C862" s="1" t="str">
        <f>IFERROR(__xludf.DUMMYFUNCTION("GOOGLETRANSLATE(A862,""en"",""pt-br"")"),"civilizar")</f>
        <v>civilizar</v>
      </c>
      <c r="D862" s="1" t="str">
        <f>IFERROR(__xludf.DUMMYFUNCTION("GOOGLETRANSLATE(B862,""en"",""pt-br"")"),"positivo")</f>
        <v>positivo</v>
      </c>
    </row>
    <row r="863" ht="15.75" customHeight="1">
      <c r="A863" s="2" t="s">
        <v>865</v>
      </c>
      <c r="B863" s="2" t="s">
        <v>3</v>
      </c>
      <c r="C863" s="1" t="str">
        <f>IFERROR(__xludf.DUMMYFUNCTION("GOOGLETRANSLATE(A863,""en"",""pt-br"")"),"clamor")</f>
        <v>clamor</v>
      </c>
      <c r="D863" s="1" t="str">
        <f>IFERROR(__xludf.DUMMYFUNCTION("GOOGLETRANSLATE(B863,""en"",""pt-br"")"),"negativo")</f>
        <v>negativo</v>
      </c>
    </row>
    <row r="864" ht="15.75" customHeight="1">
      <c r="A864" s="2" t="s">
        <v>866</v>
      </c>
      <c r="B864" s="2" t="s">
        <v>3</v>
      </c>
      <c r="C864" s="1" t="str">
        <f>IFERROR(__xludf.DUMMYFUNCTION("GOOGLETRANSLATE(A864,""en"",""pt-br"")"),"clamoroso")</f>
        <v>clamoroso</v>
      </c>
      <c r="D864" s="1" t="str">
        <f>IFERROR(__xludf.DUMMYFUNCTION("GOOGLETRANSLATE(B864,""en"",""pt-br"")"),"negativo")</f>
        <v>negativo</v>
      </c>
    </row>
    <row r="865" ht="15.75" customHeight="1">
      <c r="A865" s="2" t="s">
        <v>867</v>
      </c>
      <c r="B865" s="2" t="s">
        <v>14</v>
      </c>
      <c r="C865" s="1" t="str">
        <f>IFERROR(__xludf.DUMMYFUNCTION("GOOGLETRANSLATE(A865,""en"",""pt-br"")"),"clareza")</f>
        <v>clareza</v>
      </c>
      <c r="D865" s="1" t="str">
        <f>IFERROR(__xludf.DUMMYFUNCTION("GOOGLETRANSLATE(B865,""en"",""pt-br"")"),"positivo")</f>
        <v>positivo</v>
      </c>
    </row>
    <row r="866" ht="15.75" customHeight="1">
      <c r="A866" s="2" t="s">
        <v>868</v>
      </c>
      <c r="B866" s="2" t="s">
        <v>3</v>
      </c>
      <c r="C866" s="1" t="str">
        <f>IFERROR(__xludf.DUMMYFUNCTION("GOOGLETRANSLATE(A866,""en"",""pt-br"")"),"choque")</f>
        <v>choque</v>
      </c>
      <c r="D866" s="1" t="str">
        <f>IFERROR(__xludf.DUMMYFUNCTION("GOOGLETRANSLATE(B866,""en"",""pt-br"")"),"negativo")</f>
        <v>negativo</v>
      </c>
    </row>
    <row r="867" ht="15.75" customHeight="1">
      <c r="A867" s="2" t="s">
        <v>869</v>
      </c>
      <c r="B867" s="2" t="s">
        <v>14</v>
      </c>
      <c r="C867" s="1" t="str">
        <f>IFERROR(__xludf.DUMMYFUNCTION("GOOGLETRANSLATE(A867,""en"",""pt-br"")"),"clássico")</f>
        <v>clássico</v>
      </c>
      <c r="D867" s="1" t="str">
        <f>IFERROR(__xludf.DUMMYFUNCTION("GOOGLETRANSLATE(B867,""en"",""pt-br"")"),"positivo")</f>
        <v>positivo</v>
      </c>
    </row>
    <row r="868" ht="15.75" customHeight="1">
      <c r="A868" s="2" t="s">
        <v>870</v>
      </c>
      <c r="B868" s="2" t="s">
        <v>14</v>
      </c>
      <c r="C868" s="1" t="str">
        <f>IFERROR(__xludf.DUMMYFUNCTION("GOOGLETRANSLATE(A868,""en"",""pt-br"")"),"classy")</f>
        <v>classy</v>
      </c>
      <c r="D868" s="1" t="str">
        <f>IFERROR(__xludf.DUMMYFUNCTION("GOOGLETRANSLATE(B868,""en"",""pt-br"")"),"positivo")</f>
        <v>positivo</v>
      </c>
    </row>
    <row r="869" ht="15.75" customHeight="1">
      <c r="A869" s="2" t="s">
        <v>871</v>
      </c>
      <c r="B869" s="2" t="s">
        <v>14</v>
      </c>
      <c r="C869" s="1" t="str">
        <f>IFERROR(__xludf.DUMMYFUNCTION("GOOGLETRANSLATE(A869,""en"",""pt-br"")"),"limpar \ limpo")</f>
        <v>limpar \ limpo</v>
      </c>
      <c r="D869" s="1" t="str">
        <f>IFERROR(__xludf.DUMMYFUNCTION("GOOGLETRANSLATE(B869,""en"",""pt-br"")"),"positivo")</f>
        <v>positivo</v>
      </c>
    </row>
    <row r="870" ht="15.75" customHeight="1">
      <c r="A870" s="2" t="s">
        <v>872</v>
      </c>
      <c r="B870" s="2" t="s">
        <v>14</v>
      </c>
      <c r="C870" s="1" t="str">
        <f>IFERROR(__xludf.DUMMYFUNCTION("GOOGLETRANSLATE(A870,""en"",""pt-br"")"),"limpador")</f>
        <v>limpador</v>
      </c>
      <c r="D870" s="1" t="str">
        <f>IFERROR(__xludf.DUMMYFUNCTION("GOOGLETRANSLATE(B870,""en"",""pt-br"")"),"positivo")</f>
        <v>positivo</v>
      </c>
    </row>
    <row r="871" ht="15.75" customHeight="1">
      <c r="A871" s="2" t="s">
        <v>873</v>
      </c>
      <c r="B871" s="2" t="s">
        <v>14</v>
      </c>
      <c r="C871" s="1" t="str">
        <f>IFERROR(__xludf.DUMMYFUNCTION("GOOGLETRANSLATE(A871,""en"",""pt-br"")"),"mais limpa")</f>
        <v>mais limpa</v>
      </c>
      <c r="D871" s="1" t="str">
        <f>IFERROR(__xludf.DUMMYFUNCTION("GOOGLETRANSLATE(B871,""en"",""pt-br"")"),"positivo")</f>
        <v>positivo</v>
      </c>
    </row>
    <row r="872" ht="15.75" customHeight="1">
      <c r="A872" s="2" t="s">
        <v>874</v>
      </c>
      <c r="B872" s="2" t="s">
        <v>14</v>
      </c>
      <c r="C872" s="1" t="str">
        <f>IFERROR(__xludf.DUMMYFUNCTION("GOOGLETRANSLATE(A872,""en"",""pt-br"")"),"limpeza")</f>
        <v>limpeza</v>
      </c>
      <c r="D872" s="1" t="str">
        <f>IFERROR(__xludf.DUMMYFUNCTION("GOOGLETRANSLATE(B872,""en"",""pt-br"")"),"positivo")</f>
        <v>positivo</v>
      </c>
    </row>
    <row r="873" ht="15.75" customHeight="1">
      <c r="A873" s="2" t="s">
        <v>875</v>
      </c>
      <c r="B873" s="2" t="s">
        <v>14</v>
      </c>
      <c r="C873" s="1" t="str">
        <f>IFERROR(__xludf.DUMMYFUNCTION("GOOGLETRANSLATE(A873,""en"",""pt-br"")"),"limpo")</f>
        <v>limpo</v>
      </c>
      <c r="D873" s="1" t="str">
        <f>IFERROR(__xludf.DUMMYFUNCTION("GOOGLETRANSLATE(B873,""en"",""pt-br"")"),"positivo")</f>
        <v>positivo</v>
      </c>
    </row>
    <row r="874" ht="15.75" customHeight="1">
      <c r="A874" s="2" t="s">
        <v>876</v>
      </c>
      <c r="B874" s="2" t="s">
        <v>14</v>
      </c>
      <c r="C874" s="1" t="str">
        <f>IFERROR(__xludf.DUMMYFUNCTION("GOOGLETRANSLATE(A874,""en"",""pt-br"")"),"Claro")</f>
        <v>Claro</v>
      </c>
      <c r="D874" s="1" t="str">
        <f>IFERROR(__xludf.DUMMYFUNCTION("GOOGLETRANSLATE(B874,""en"",""pt-br"")"),"positivo")</f>
        <v>positivo</v>
      </c>
    </row>
    <row r="875" ht="15.75" customHeight="1">
      <c r="A875" s="2" t="s">
        <v>877</v>
      </c>
      <c r="B875" s="2" t="s">
        <v>14</v>
      </c>
      <c r="C875" s="1" t="str">
        <f>IFERROR(__xludf.DUMMYFUNCTION("GOOGLETRANSLATE(A875,""en"",""pt-br"")"),"clara")</f>
        <v>clara</v>
      </c>
      <c r="D875" s="1" t="str">
        <f>IFERROR(__xludf.DUMMYFUNCTION("GOOGLETRANSLATE(B875,""en"",""pt-br"")"),"positivo")</f>
        <v>positivo</v>
      </c>
    </row>
    <row r="876" ht="15.75" customHeight="1">
      <c r="A876" s="2" t="s">
        <v>878</v>
      </c>
      <c r="B876" s="2" t="s">
        <v>14</v>
      </c>
      <c r="C876" s="1" t="str">
        <f>IFERROR(__xludf.DUMMYFUNCTION("GOOGLETRANSLATE(A876,""en"",""pt-br"")"),"apuradas")</f>
        <v>apuradas</v>
      </c>
      <c r="D876" s="1" t="str">
        <f>IFERROR(__xludf.DUMMYFUNCTION("GOOGLETRANSLATE(B876,""en"",""pt-br"")"),"positivo")</f>
        <v>positivo</v>
      </c>
    </row>
    <row r="877" ht="15.75" customHeight="1">
      <c r="A877" s="2" t="s">
        <v>879</v>
      </c>
      <c r="B877" s="2" t="s">
        <v>14</v>
      </c>
      <c r="C877" s="1" t="str">
        <f>IFERROR(__xludf.DUMMYFUNCTION("GOOGLETRANSLATE(A877,""en"",""pt-br"")"),"mais clara")</f>
        <v>mais clara</v>
      </c>
      <c r="D877" s="1" t="str">
        <f>IFERROR(__xludf.DUMMYFUNCTION("GOOGLETRANSLATE(B877,""en"",""pt-br"")"),"positivo")</f>
        <v>positivo</v>
      </c>
    </row>
    <row r="878" ht="15.75" customHeight="1">
      <c r="A878" s="2" t="s">
        <v>880</v>
      </c>
      <c r="B878" s="2" t="s">
        <v>14</v>
      </c>
      <c r="C878" s="1" t="str">
        <f>IFERROR(__xludf.DUMMYFUNCTION("GOOGLETRANSLATE(A878,""en"",""pt-br"")"),"claramente")</f>
        <v>claramente</v>
      </c>
      <c r="D878" s="1" t="str">
        <f>IFERROR(__xludf.DUMMYFUNCTION("GOOGLETRANSLATE(B878,""en"",""pt-br"")"),"positivo")</f>
        <v>positivo</v>
      </c>
    </row>
    <row r="879" ht="15.75" customHeight="1">
      <c r="A879" s="2" t="s">
        <v>881</v>
      </c>
      <c r="B879" s="2" t="s">
        <v>14</v>
      </c>
      <c r="C879" s="1" t="str">
        <f>IFERROR(__xludf.DUMMYFUNCTION("GOOGLETRANSLATE(A879,""en"",""pt-br"")"),"limpa")</f>
        <v>limpa</v>
      </c>
      <c r="D879" s="1" t="str">
        <f>IFERROR(__xludf.DUMMYFUNCTION("GOOGLETRANSLATE(B879,""en"",""pt-br"")"),"positivo")</f>
        <v>positivo</v>
      </c>
    </row>
    <row r="880" ht="15.75" customHeight="1">
      <c r="A880" s="2" t="s">
        <v>882</v>
      </c>
      <c r="B880" s="2" t="s">
        <v>14</v>
      </c>
      <c r="C880" s="1" t="str">
        <f>IFERROR(__xludf.DUMMYFUNCTION("GOOGLETRANSLATE(A880,""en"",""pt-br"")"),"inteligente")</f>
        <v>inteligente</v>
      </c>
      <c r="D880" s="1" t="str">
        <f>IFERROR(__xludf.DUMMYFUNCTION("GOOGLETRANSLATE(B880,""en"",""pt-br"")"),"positivo")</f>
        <v>positivo</v>
      </c>
    </row>
    <row r="881" ht="15.75" customHeight="1">
      <c r="A881" s="2" t="s">
        <v>883</v>
      </c>
      <c r="B881" s="2" t="s">
        <v>14</v>
      </c>
      <c r="C881" s="1" t="str">
        <f>IFERROR(__xludf.DUMMYFUNCTION("GOOGLETRANSLATE(A881,""en"",""pt-br"")"),"inteligentemente")</f>
        <v>inteligentemente</v>
      </c>
      <c r="D881" s="1" t="str">
        <f>IFERROR(__xludf.DUMMYFUNCTION("GOOGLETRANSLATE(B881,""en"",""pt-br"")"),"positivo")</f>
        <v>positivo</v>
      </c>
    </row>
    <row r="882" ht="15.75" customHeight="1">
      <c r="A882" s="2" t="s">
        <v>884</v>
      </c>
      <c r="B882" s="2" t="s">
        <v>3</v>
      </c>
      <c r="C882" s="1" t="str">
        <f>IFERROR(__xludf.DUMMYFUNCTION("GOOGLETRANSLATE(A882,""en"",""pt-br"")"),"clichê")</f>
        <v>clichê</v>
      </c>
      <c r="D882" s="1" t="str">
        <f>IFERROR(__xludf.DUMMYFUNCTION("GOOGLETRANSLATE(B882,""en"",""pt-br"")"),"negativo")</f>
        <v>negativo</v>
      </c>
    </row>
    <row r="883" ht="15.75" customHeight="1">
      <c r="A883" s="2" t="s">
        <v>885</v>
      </c>
      <c r="B883" s="2" t="s">
        <v>3</v>
      </c>
      <c r="C883" s="1" t="str">
        <f>IFERROR(__xludf.DUMMYFUNCTION("GOOGLETRANSLATE(A883,""en"",""pt-br"")"),"clichê")</f>
        <v>clichê</v>
      </c>
      <c r="D883" s="1" t="str">
        <f>IFERROR(__xludf.DUMMYFUNCTION("GOOGLETRANSLATE(B883,""en"",""pt-br"")"),"negativo")</f>
        <v>negativo</v>
      </c>
    </row>
    <row r="884" ht="15.75" customHeight="1">
      <c r="A884" s="2" t="s">
        <v>886</v>
      </c>
      <c r="B884" s="2" t="s">
        <v>3</v>
      </c>
      <c r="C884" s="1" t="str">
        <f>IFERROR(__xludf.DUMMYFUNCTION("GOOGLETRANSLATE(A884,""en"",""pt-br"")"),"panelinha")</f>
        <v>panelinha</v>
      </c>
      <c r="D884" s="1" t="str">
        <f>IFERROR(__xludf.DUMMYFUNCTION("GOOGLETRANSLATE(B884,""en"",""pt-br"")"),"negativo")</f>
        <v>negativo</v>
      </c>
    </row>
    <row r="885" ht="15.75" customHeight="1">
      <c r="A885" s="2" t="s">
        <v>887</v>
      </c>
      <c r="B885" s="2" t="s">
        <v>3</v>
      </c>
      <c r="C885" s="1" t="str">
        <f>IFERROR(__xludf.DUMMYFUNCTION("GOOGLETRANSLATE(A885,""en"",""pt-br"")"),"entupir")</f>
        <v>entupir</v>
      </c>
      <c r="D885" s="1" t="str">
        <f>IFERROR(__xludf.DUMMYFUNCTION("GOOGLETRANSLATE(B885,""en"",""pt-br"")"),"negativo")</f>
        <v>negativo</v>
      </c>
    </row>
    <row r="886" ht="15.75" customHeight="1">
      <c r="A886" s="2" t="s">
        <v>888</v>
      </c>
      <c r="B886" s="2" t="s">
        <v>3</v>
      </c>
      <c r="C886" s="1" t="str">
        <f>IFERROR(__xludf.DUMMYFUNCTION("GOOGLETRANSLATE(A886,""en"",""pt-br"")"),"entupido")</f>
        <v>entupido</v>
      </c>
      <c r="D886" s="1" t="str">
        <f>IFERROR(__xludf.DUMMYFUNCTION("GOOGLETRANSLATE(B886,""en"",""pt-br"")"),"negativo")</f>
        <v>negativo</v>
      </c>
    </row>
    <row r="887" ht="15.75" customHeight="1">
      <c r="A887" s="2" t="s">
        <v>889</v>
      </c>
      <c r="B887" s="2" t="s">
        <v>3</v>
      </c>
      <c r="C887" s="1" t="str">
        <f>IFERROR(__xludf.DUMMYFUNCTION("GOOGLETRANSLATE(A887,""en"",""pt-br"")"),"tamancos")</f>
        <v>tamancos</v>
      </c>
      <c r="D887" s="1" t="str">
        <f>IFERROR(__xludf.DUMMYFUNCTION("GOOGLETRANSLATE(B887,""en"",""pt-br"")"),"negativo")</f>
        <v>negativo</v>
      </c>
    </row>
    <row r="888" ht="15.75" customHeight="1">
      <c r="A888" s="2" t="s">
        <v>890</v>
      </c>
      <c r="B888" s="2" t="s">
        <v>3</v>
      </c>
      <c r="C888" s="1" t="str">
        <f>IFERROR(__xludf.DUMMYFUNCTION("GOOGLETRANSLATE(A888,""en"",""pt-br"")"),"nuvem")</f>
        <v>nuvem</v>
      </c>
      <c r="D888" s="1" t="str">
        <f>IFERROR(__xludf.DUMMYFUNCTION("GOOGLETRANSLATE(B888,""en"",""pt-br"")"),"negativo")</f>
        <v>negativo</v>
      </c>
    </row>
    <row r="889" ht="15.75" customHeight="1">
      <c r="A889" s="2" t="s">
        <v>891</v>
      </c>
      <c r="B889" s="2" t="s">
        <v>3</v>
      </c>
      <c r="C889" s="1" t="str">
        <f>IFERROR(__xludf.DUMMYFUNCTION("GOOGLETRANSLATE(A889,""en"",""pt-br"")"),"opacificação")</f>
        <v>opacificação</v>
      </c>
      <c r="D889" s="1" t="str">
        <f>IFERROR(__xludf.DUMMYFUNCTION("GOOGLETRANSLATE(B889,""en"",""pt-br"")"),"negativo")</f>
        <v>negativo</v>
      </c>
    </row>
    <row r="890" ht="15.75" customHeight="1">
      <c r="A890" s="2" t="s">
        <v>892</v>
      </c>
      <c r="B890" s="2" t="s">
        <v>3</v>
      </c>
      <c r="C890" s="1" t="str">
        <f>IFERROR(__xludf.DUMMYFUNCTION("GOOGLETRANSLATE(A890,""en"",""pt-br"")"),"nublado")</f>
        <v>nublado</v>
      </c>
      <c r="D890" s="1" t="str">
        <f>IFERROR(__xludf.DUMMYFUNCTION("GOOGLETRANSLATE(B890,""en"",""pt-br"")"),"negativo")</f>
        <v>negativo</v>
      </c>
    </row>
    <row r="891" ht="15.75" customHeight="1">
      <c r="A891" s="2" t="s">
        <v>893</v>
      </c>
      <c r="B891" s="2" t="s">
        <v>3</v>
      </c>
      <c r="C891" s="1" t="str">
        <f>IFERROR(__xludf.DUMMYFUNCTION("GOOGLETRANSLATE(A891,""en"",""pt-br"")"),"sem noção")</f>
        <v>sem noção</v>
      </c>
      <c r="D891" s="1" t="str">
        <f>IFERROR(__xludf.DUMMYFUNCTION("GOOGLETRANSLATE(B891,""en"",""pt-br"")"),"negativo")</f>
        <v>negativo</v>
      </c>
    </row>
    <row r="892" ht="15.75" customHeight="1">
      <c r="A892" s="2" t="s">
        <v>894</v>
      </c>
      <c r="B892" s="2" t="s">
        <v>3</v>
      </c>
      <c r="C892" s="1" t="str">
        <f>IFERROR(__xludf.DUMMYFUNCTION("GOOGLETRANSLATE(A892,""en"",""pt-br"")"),"desajeitado")</f>
        <v>desajeitado</v>
      </c>
      <c r="D892" s="1" t="str">
        <f>IFERROR(__xludf.DUMMYFUNCTION("GOOGLETRANSLATE(B892,""en"",""pt-br"")"),"negativo")</f>
        <v>negativo</v>
      </c>
    </row>
    <row r="893" ht="15.75" customHeight="1">
      <c r="A893" s="2" t="s">
        <v>895</v>
      </c>
      <c r="B893" s="2" t="s">
        <v>3</v>
      </c>
      <c r="C893" s="1" t="str">
        <f>IFERROR(__xludf.DUMMYFUNCTION("GOOGLETRANSLATE(A893,""en"",""pt-br"")"),"desajeitado")</f>
        <v>desajeitado</v>
      </c>
      <c r="D893" s="1" t="str">
        <f>IFERROR(__xludf.DUMMYFUNCTION("GOOGLETRANSLATE(B893,""en"",""pt-br"")"),"negativo")</f>
        <v>negativo</v>
      </c>
    </row>
    <row r="894" ht="15.75" customHeight="1">
      <c r="A894" s="2" t="s">
        <v>896</v>
      </c>
      <c r="B894" s="2" t="s">
        <v>3</v>
      </c>
      <c r="C894" s="1" t="str">
        <f>IFERROR(__xludf.DUMMYFUNCTION("GOOGLETRANSLATE(A894,""en"",""pt-br"")"),"grosseiro")</f>
        <v>grosseiro</v>
      </c>
      <c r="D894" s="1" t="str">
        <f>IFERROR(__xludf.DUMMYFUNCTION("GOOGLETRANSLATE(B894,""en"",""pt-br"")"),"negativo")</f>
        <v>negativo</v>
      </c>
    </row>
    <row r="895" ht="15.75" customHeight="1">
      <c r="A895" s="2" t="s">
        <v>897</v>
      </c>
      <c r="B895" s="2" t="s">
        <v>3</v>
      </c>
      <c r="C895" s="1" t="str">
        <f>IFERROR(__xludf.DUMMYFUNCTION("GOOGLETRANSLATE(A895,""en"",""pt-br"")"),"pretensioso")</f>
        <v>pretensioso</v>
      </c>
      <c r="D895" s="1" t="str">
        <f>IFERROR(__xludf.DUMMYFUNCTION("GOOGLETRANSLATE(B895,""en"",""pt-br"")"),"negativo")</f>
        <v>negativo</v>
      </c>
    </row>
    <row r="896" ht="15.75" customHeight="1">
      <c r="A896" s="2" t="s">
        <v>898</v>
      </c>
      <c r="B896" s="2" t="s">
        <v>3</v>
      </c>
      <c r="C896" s="1" t="str">
        <f>IFERROR(__xludf.DUMMYFUNCTION("GOOGLETRANSLATE(A896,""en"",""pt-br"")"),"coagir")</f>
        <v>coagir</v>
      </c>
      <c r="D896" s="1" t="str">
        <f>IFERROR(__xludf.DUMMYFUNCTION("GOOGLETRANSLATE(B896,""en"",""pt-br"")"),"negativo")</f>
        <v>negativo</v>
      </c>
    </row>
    <row r="897" ht="15.75" customHeight="1">
      <c r="A897" s="2" t="s">
        <v>899</v>
      </c>
      <c r="B897" s="2" t="s">
        <v>3</v>
      </c>
      <c r="C897" s="1" t="str">
        <f>IFERROR(__xludf.DUMMYFUNCTION("GOOGLETRANSLATE(A897,""en"",""pt-br"")"),"coerção")</f>
        <v>coerção</v>
      </c>
      <c r="D897" s="1" t="str">
        <f>IFERROR(__xludf.DUMMYFUNCTION("GOOGLETRANSLATE(B897,""en"",""pt-br"")"),"negativo")</f>
        <v>negativo</v>
      </c>
    </row>
    <row r="898" ht="15.75" customHeight="1">
      <c r="A898" s="2" t="s">
        <v>900</v>
      </c>
      <c r="B898" s="2" t="s">
        <v>3</v>
      </c>
      <c r="C898" s="1" t="str">
        <f>IFERROR(__xludf.DUMMYFUNCTION("GOOGLETRANSLATE(A898,""en"",""pt-br"")"),"coercivo")</f>
        <v>coercivo</v>
      </c>
      <c r="D898" s="1" t="str">
        <f>IFERROR(__xludf.DUMMYFUNCTION("GOOGLETRANSLATE(B898,""en"",""pt-br"")"),"negativo")</f>
        <v>negativo</v>
      </c>
    </row>
    <row r="899" ht="15.75" customHeight="1">
      <c r="A899" s="2" t="s">
        <v>901</v>
      </c>
      <c r="B899" s="2" t="s">
        <v>14</v>
      </c>
      <c r="C899" s="1" t="str">
        <f>IFERROR(__xludf.DUMMYFUNCTION("GOOGLETRANSLATE(A899,""en"",""pt-br"")"),"apegar-se")</f>
        <v>apegar-se</v>
      </c>
      <c r="D899" s="1" t="str">
        <f>IFERROR(__xludf.DUMMYFUNCTION("GOOGLETRANSLATE(B899,""en"",""pt-br"")"),"positivo")</f>
        <v>positivo</v>
      </c>
    </row>
    <row r="900" ht="15.75" customHeight="1">
      <c r="A900" s="2" t="s">
        <v>902</v>
      </c>
      <c r="B900" s="2" t="s">
        <v>14</v>
      </c>
      <c r="C900" s="1" t="str">
        <f>IFERROR(__xludf.DUMMYFUNCTION("GOOGLETRANSLATE(A900,""en"",""pt-br"")"),"coerência")</f>
        <v>coerência</v>
      </c>
      <c r="D900" s="1" t="str">
        <f>IFERROR(__xludf.DUMMYFUNCTION("GOOGLETRANSLATE(B900,""en"",""pt-br"")"),"positivo")</f>
        <v>positivo</v>
      </c>
    </row>
    <row r="901" ht="15.75" customHeight="1">
      <c r="A901" s="2" t="s">
        <v>903</v>
      </c>
      <c r="B901" s="2" t="s">
        <v>14</v>
      </c>
      <c r="C901" s="1" t="str">
        <f>IFERROR(__xludf.DUMMYFUNCTION("GOOGLETRANSLATE(A901,""en"",""pt-br"")"),"coerente")</f>
        <v>coerente</v>
      </c>
      <c r="D901" s="1" t="str">
        <f>IFERROR(__xludf.DUMMYFUNCTION("GOOGLETRANSLATE(B901,""en"",""pt-br"")"),"positivo")</f>
        <v>positivo</v>
      </c>
    </row>
    <row r="902" ht="15.75" customHeight="1">
      <c r="A902" s="2" t="s">
        <v>904</v>
      </c>
      <c r="B902" s="2" t="s">
        <v>14</v>
      </c>
      <c r="C902" s="1" t="str">
        <f>IFERROR(__xludf.DUMMYFUNCTION("GOOGLETRANSLATE(A902,""en"",""pt-br"")"),"coeso")</f>
        <v>coeso</v>
      </c>
      <c r="D902" s="1" t="str">
        <f>IFERROR(__xludf.DUMMYFUNCTION("GOOGLETRANSLATE(B902,""en"",""pt-br"")"),"positivo")</f>
        <v>positivo</v>
      </c>
    </row>
    <row r="903" ht="15.75" customHeight="1">
      <c r="A903" s="2" t="s">
        <v>905</v>
      </c>
      <c r="B903" s="2" t="s">
        <v>3</v>
      </c>
      <c r="C903" s="1" t="str">
        <f>IFERROR(__xludf.DUMMYFUNCTION("GOOGLETRANSLATE(A903,""en"",""pt-br"")"),"frio")</f>
        <v>frio</v>
      </c>
      <c r="D903" s="1" t="str">
        <f>IFERROR(__xludf.DUMMYFUNCTION("GOOGLETRANSLATE(B903,""en"",""pt-br"")"),"negativo")</f>
        <v>negativo</v>
      </c>
    </row>
    <row r="904" ht="15.75" customHeight="1">
      <c r="A904" s="2" t="s">
        <v>906</v>
      </c>
      <c r="B904" s="2" t="s">
        <v>3</v>
      </c>
      <c r="C904" s="1" t="str">
        <f>IFERROR(__xludf.DUMMYFUNCTION("GOOGLETRANSLATE(A904,""en"",""pt-br"")"),"friamente")</f>
        <v>friamente</v>
      </c>
      <c r="D904" s="1" t="str">
        <f>IFERROR(__xludf.DUMMYFUNCTION("GOOGLETRANSLATE(B904,""en"",""pt-br"")"),"negativo")</f>
        <v>negativo</v>
      </c>
    </row>
    <row r="905" ht="15.75" customHeight="1">
      <c r="A905" s="2" t="s">
        <v>907</v>
      </c>
      <c r="B905" s="2" t="s">
        <v>3</v>
      </c>
      <c r="C905" s="1" t="str">
        <f>IFERROR(__xludf.DUMMYFUNCTION("GOOGLETRANSLATE(A905,""en"",""pt-br"")"),"colapso")</f>
        <v>colapso</v>
      </c>
      <c r="D905" s="1" t="str">
        <f>IFERROR(__xludf.DUMMYFUNCTION("GOOGLETRANSLATE(B905,""en"",""pt-br"")"),"negativo")</f>
        <v>negativo</v>
      </c>
    </row>
    <row r="906" ht="15.75" customHeight="1">
      <c r="A906" s="2" t="s">
        <v>908</v>
      </c>
      <c r="B906" s="2" t="s">
        <v>3</v>
      </c>
      <c r="C906" s="1" t="str">
        <f>IFERROR(__xludf.DUMMYFUNCTION("GOOGLETRANSLATE(A906,""en"",""pt-br"")"),"conluio")</f>
        <v>conluio</v>
      </c>
      <c r="D906" s="1" t="str">
        <f>IFERROR(__xludf.DUMMYFUNCTION("GOOGLETRANSLATE(B906,""en"",""pt-br"")"),"negativo")</f>
        <v>negativo</v>
      </c>
    </row>
    <row r="907" ht="15.75" customHeight="1">
      <c r="A907" s="2" t="s">
        <v>909</v>
      </c>
      <c r="B907" s="2" t="s">
        <v>3</v>
      </c>
      <c r="C907" s="1" t="str">
        <f>IFERROR(__xludf.DUMMYFUNCTION("GOOGLETRANSLATE(A907,""en"",""pt-br"")"),"conluio")</f>
        <v>conluio</v>
      </c>
      <c r="D907" s="1" t="str">
        <f>IFERROR(__xludf.DUMMYFUNCTION("GOOGLETRANSLATE(B907,""en"",""pt-br"")"),"negativo")</f>
        <v>negativo</v>
      </c>
    </row>
    <row r="908" ht="15.75" customHeight="1">
      <c r="A908" s="2" t="s">
        <v>910</v>
      </c>
      <c r="B908" s="2" t="s">
        <v>14</v>
      </c>
      <c r="C908" s="1" t="str">
        <f>IFERROR(__xludf.DUMMYFUNCTION("GOOGLETRANSLATE(A908,""en"",""pt-br"")"),"colorido")</f>
        <v>colorido</v>
      </c>
      <c r="D908" s="1" t="str">
        <f>IFERROR(__xludf.DUMMYFUNCTION("GOOGLETRANSLATE(B908,""en"",""pt-br"")"),"positivo")</f>
        <v>positivo</v>
      </c>
    </row>
    <row r="909" ht="15.75" customHeight="1">
      <c r="A909" s="2" t="s">
        <v>911</v>
      </c>
      <c r="B909" s="2" t="s">
        <v>3</v>
      </c>
      <c r="C909" s="1" t="str">
        <f>IFERROR(__xludf.DUMMYFUNCTION("GOOGLETRANSLATE(A909,""en"",""pt-br"")"),"combativo")</f>
        <v>combativo</v>
      </c>
      <c r="D909" s="1" t="str">
        <f>IFERROR(__xludf.DUMMYFUNCTION("GOOGLETRANSLATE(B909,""en"",""pt-br"")"),"negativo")</f>
        <v>negativo</v>
      </c>
    </row>
    <row r="910" ht="15.75" customHeight="1">
      <c r="A910" s="2" t="s">
        <v>912</v>
      </c>
      <c r="B910" s="2" t="s">
        <v>3</v>
      </c>
      <c r="C910" s="1" t="str">
        <f>IFERROR(__xludf.DUMMYFUNCTION("GOOGLETRANSLATE(A910,""en"",""pt-br"")"),"combust")</f>
        <v>combust</v>
      </c>
      <c r="D910" s="1" t="str">
        <f>IFERROR(__xludf.DUMMYFUNCTION("GOOGLETRANSLATE(B910,""en"",""pt-br"")"),"negativo")</f>
        <v>negativo</v>
      </c>
    </row>
    <row r="911" ht="15.75" customHeight="1">
      <c r="A911" s="2" t="s">
        <v>913</v>
      </c>
      <c r="B911" s="2" t="s">
        <v>14</v>
      </c>
      <c r="C911" s="1" t="str">
        <f>IFERROR(__xludf.DUMMYFUNCTION("GOOGLETRANSLATE(A911,""en"",""pt-br"")"),"Atraente")</f>
        <v>Atraente</v>
      </c>
      <c r="D911" s="1" t="str">
        <f>IFERROR(__xludf.DUMMYFUNCTION("GOOGLETRANSLATE(B911,""en"",""pt-br"")"),"positivo")</f>
        <v>positivo</v>
      </c>
    </row>
    <row r="912" ht="15.75" customHeight="1">
      <c r="A912" s="2" t="s">
        <v>914</v>
      </c>
      <c r="B912" s="2" t="s">
        <v>14</v>
      </c>
      <c r="C912" s="1" t="str">
        <f>IFERROR(__xludf.DUMMYFUNCTION("GOOGLETRANSLATE(A912,""en"",""pt-br"")"),"conforto")</f>
        <v>conforto</v>
      </c>
      <c r="D912" s="1" t="str">
        <f>IFERROR(__xludf.DUMMYFUNCTION("GOOGLETRANSLATE(B912,""en"",""pt-br"")"),"positivo")</f>
        <v>positivo</v>
      </c>
    </row>
    <row r="913" ht="15.75" customHeight="1">
      <c r="A913" s="2" t="s">
        <v>915</v>
      </c>
      <c r="B913" s="2" t="s">
        <v>14</v>
      </c>
      <c r="C913" s="1" t="str">
        <f>IFERROR(__xludf.DUMMYFUNCTION("GOOGLETRANSLATE(A913,""en"",""pt-br"")"),"confortável")</f>
        <v>confortável</v>
      </c>
      <c r="D913" s="1" t="str">
        <f>IFERROR(__xludf.DUMMYFUNCTION("GOOGLETRANSLATE(B913,""en"",""pt-br"")"),"positivo")</f>
        <v>positivo</v>
      </c>
    </row>
    <row r="914" ht="15.75" customHeight="1">
      <c r="A914" s="2" t="s">
        <v>916</v>
      </c>
      <c r="B914" s="2" t="s">
        <v>14</v>
      </c>
      <c r="C914" s="1" t="str">
        <f>IFERROR(__xludf.DUMMYFUNCTION("GOOGLETRANSLATE(A914,""en"",""pt-br"")"),"confortavelmente")</f>
        <v>confortavelmente</v>
      </c>
      <c r="D914" s="1" t="str">
        <f>IFERROR(__xludf.DUMMYFUNCTION("GOOGLETRANSLATE(B914,""en"",""pt-br"")"),"positivo")</f>
        <v>positivo</v>
      </c>
    </row>
    <row r="915" ht="15.75" customHeight="1">
      <c r="A915" s="2" t="s">
        <v>917</v>
      </c>
      <c r="B915" s="2" t="s">
        <v>14</v>
      </c>
      <c r="C915" s="1" t="str">
        <f>IFERROR(__xludf.DUMMYFUNCTION("GOOGLETRANSLATE(A915,""en"",""pt-br"")"),"reconfortante")</f>
        <v>reconfortante</v>
      </c>
      <c r="D915" s="1" t="str">
        <f>IFERROR(__xludf.DUMMYFUNCTION("GOOGLETRANSLATE(B915,""en"",""pt-br"")"),"positivo")</f>
        <v>positivo</v>
      </c>
    </row>
    <row r="916" ht="15.75" customHeight="1">
      <c r="A916" s="2" t="s">
        <v>918</v>
      </c>
      <c r="B916" s="2" t="s">
        <v>14</v>
      </c>
      <c r="C916" s="1" t="str">
        <f>IFERROR(__xludf.DUMMYFUNCTION("GOOGLETRANSLATE(A916,""en"",""pt-br"")"),"confortável")</f>
        <v>confortável</v>
      </c>
      <c r="D916" s="1" t="str">
        <f>IFERROR(__xludf.DUMMYFUNCTION("GOOGLETRANSLATE(B916,""en"",""pt-br"")"),"positivo")</f>
        <v>positivo</v>
      </c>
    </row>
    <row r="917" ht="15.75" customHeight="1">
      <c r="A917" s="2" t="s">
        <v>919</v>
      </c>
      <c r="B917" s="2" t="s">
        <v>3</v>
      </c>
      <c r="C917" s="1" t="str">
        <f>IFERROR(__xludf.DUMMYFUNCTION("GOOGLETRANSLATE(A917,""en"",""pt-br"")"),"cômico")</f>
        <v>cômico</v>
      </c>
      <c r="D917" s="1" t="str">
        <f>IFERROR(__xludf.DUMMYFUNCTION("GOOGLETRANSLATE(B917,""en"",""pt-br"")"),"negativo")</f>
        <v>negativo</v>
      </c>
    </row>
    <row r="918" ht="15.75" customHeight="1">
      <c r="A918" s="2" t="s">
        <v>920</v>
      </c>
      <c r="B918" s="2" t="s">
        <v>14</v>
      </c>
      <c r="C918" s="1" t="str">
        <f>IFERROR(__xludf.DUMMYFUNCTION("GOOGLETRANSLATE(A918,""en"",""pt-br"")"),"commend")</f>
        <v>commend</v>
      </c>
      <c r="D918" s="1" t="str">
        <f>IFERROR(__xludf.DUMMYFUNCTION("GOOGLETRANSLATE(B918,""en"",""pt-br"")"),"positivo")</f>
        <v>positivo</v>
      </c>
    </row>
    <row r="919" ht="15.75" customHeight="1">
      <c r="A919" s="2" t="s">
        <v>921</v>
      </c>
      <c r="B919" s="2" t="s">
        <v>14</v>
      </c>
      <c r="C919" s="1" t="str">
        <f>IFERROR(__xludf.DUMMYFUNCTION("GOOGLETRANSLATE(A919,""en"",""pt-br"")"),"louvável")</f>
        <v>louvável</v>
      </c>
      <c r="D919" s="1" t="str">
        <f>IFERROR(__xludf.DUMMYFUNCTION("GOOGLETRANSLATE(B919,""en"",""pt-br"")"),"positivo")</f>
        <v>positivo</v>
      </c>
    </row>
    <row r="920" ht="15.75" customHeight="1">
      <c r="A920" s="2" t="s">
        <v>922</v>
      </c>
      <c r="B920" s="2" t="s">
        <v>14</v>
      </c>
      <c r="C920" s="1" t="str">
        <f>IFERROR(__xludf.DUMMYFUNCTION("GOOGLETRANSLATE(A920,""en"",""pt-br"")"),"louvavelmente")</f>
        <v>louvavelmente</v>
      </c>
      <c r="D920" s="1" t="str">
        <f>IFERROR(__xludf.DUMMYFUNCTION("GOOGLETRANSLATE(B920,""en"",""pt-br"")"),"positivo")</f>
        <v>positivo</v>
      </c>
    </row>
    <row r="921" ht="15.75" customHeight="1">
      <c r="A921" s="2" t="s">
        <v>923</v>
      </c>
      <c r="B921" s="2" t="s">
        <v>3</v>
      </c>
      <c r="C921" s="1" t="str">
        <f>IFERROR(__xludf.DUMMYFUNCTION("GOOGLETRANSLATE(A921,""en"",""pt-br"")"),"commiserate")</f>
        <v>commiserate</v>
      </c>
      <c r="D921" s="1" t="str">
        <f>IFERROR(__xludf.DUMMYFUNCTION("GOOGLETRANSLATE(B921,""en"",""pt-br"")"),"negativo")</f>
        <v>negativo</v>
      </c>
    </row>
    <row r="922" ht="15.75" customHeight="1">
      <c r="A922" s="2" t="s">
        <v>924</v>
      </c>
      <c r="B922" s="2" t="s">
        <v>14</v>
      </c>
      <c r="C922" s="1" t="str">
        <f>IFERROR(__xludf.DUMMYFUNCTION("GOOGLETRANSLATE(A922,""en"",""pt-br"")"),"comprometimento")</f>
        <v>comprometimento</v>
      </c>
      <c r="D922" s="1" t="str">
        <f>IFERROR(__xludf.DUMMYFUNCTION("GOOGLETRANSLATE(B922,""en"",""pt-br"")"),"positivo")</f>
        <v>positivo</v>
      </c>
    </row>
    <row r="923" ht="15.75" customHeight="1">
      <c r="A923" s="2" t="s">
        <v>925</v>
      </c>
      <c r="B923" s="2" t="s">
        <v>14</v>
      </c>
      <c r="C923" s="1" t="str">
        <f>IFERROR(__xludf.DUMMYFUNCTION("GOOGLETRANSLATE(A923,""en"",""pt-br"")"),"espaçoso")</f>
        <v>espaçoso</v>
      </c>
      <c r="D923" s="1" t="str">
        <f>IFERROR(__xludf.DUMMYFUNCTION("GOOGLETRANSLATE(B923,""en"",""pt-br"")"),"positivo")</f>
        <v>positivo</v>
      </c>
    </row>
    <row r="924" ht="15.75" customHeight="1">
      <c r="A924" s="2" t="s">
        <v>926</v>
      </c>
      <c r="B924" s="2" t="s">
        <v>3</v>
      </c>
      <c r="C924" s="1" t="str">
        <f>IFERROR(__xludf.DUMMYFUNCTION("GOOGLETRANSLATE(A924,""en"",""pt-br"")"),"comum")</f>
        <v>comum</v>
      </c>
      <c r="D924" s="1" t="str">
        <f>IFERROR(__xludf.DUMMYFUNCTION("GOOGLETRANSLATE(B924,""en"",""pt-br"")"),"negativo")</f>
        <v>negativo</v>
      </c>
    </row>
    <row r="925" ht="15.75" customHeight="1">
      <c r="A925" s="2" t="s">
        <v>927</v>
      </c>
      <c r="B925" s="2" t="s">
        <v>3</v>
      </c>
      <c r="C925" s="1" t="str">
        <f>IFERROR(__xludf.DUMMYFUNCTION("GOOGLETRANSLATE(A925,""en"",""pt-br"")"),"comoção")</f>
        <v>comoção</v>
      </c>
      <c r="D925" s="1" t="str">
        <f>IFERROR(__xludf.DUMMYFUNCTION("GOOGLETRANSLATE(B925,""en"",""pt-br"")"),"negativo")</f>
        <v>negativo</v>
      </c>
    </row>
    <row r="926" ht="15.75" customHeight="1">
      <c r="A926" s="2" t="s">
        <v>928</v>
      </c>
      <c r="B926" s="2" t="s">
        <v>3</v>
      </c>
      <c r="C926" s="1" t="str">
        <f>IFERROR(__xludf.DUMMYFUNCTION("GOOGLETRANSLATE(A926,""en"",""pt-br"")"),"comoções")</f>
        <v>comoções</v>
      </c>
      <c r="D926" s="1" t="str">
        <f>IFERROR(__xludf.DUMMYFUNCTION("GOOGLETRANSLATE(B926,""en"",""pt-br"")"),"negativo")</f>
        <v>negativo</v>
      </c>
    </row>
    <row r="927" ht="15.75" customHeight="1">
      <c r="A927" s="2" t="s">
        <v>929</v>
      </c>
      <c r="B927" s="2" t="s">
        <v>14</v>
      </c>
      <c r="C927" s="1" t="str">
        <f>IFERROR(__xludf.DUMMYFUNCTION("GOOGLETRANSLATE(A927,""en"",""pt-br"")"),"compactar")</f>
        <v>compactar</v>
      </c>
      <c r="D927" s="1" t="str">
        <f>IFERROR(__xludf.DUMMYFUNCTION("GOOGLETRANSLATE(B927,""en"",""pt-br"")"),"positivo")</f>
        <v>positivo</v>
      </c>
    </row>
    <row r="928" ht="15.75" customHeight="1">
      <c r="A928" s="2" t="s">
        <v>930</v>
      </c>
      <c r="B928" s="2" t="s">
        <v>14</v>
      </c>
      <c r="C928" s="1" t="str">
        <f>IFERROR(__xludf.DUMMYFUNCTION("GOOGLETRANSLATE(A928,""en"",""pt-br"")"),"compacta")</f>
        <v>compacta</v>
      </c>
      <c r="D928" s="1" t="str">
        <f>IFERROR(__xludf.DUMMYFUNCTION("GOOGLETRANSLATE(B928,""en"",""pt-br"")"),"positivo")</f>
        <v>positivo</v>
      </c>
    </row>
    <row r="929" ht="15.75" customHeight="1">
      <c r="A929" s="2" t="s">
        <v>931</v>
      </c>
      <c r="B929" s="2" t="s">
        <v>14</v>
      </c>
      <c r="C929" s="1" t="str">
        <f>IFERROR(__xludf.DUMMYFUNCTION("GOOGLETRANSLATE(A929,""en"",""pt-br"")"),"compaixão")</f>
        <v>compaixão</v>
      </c>
      <c r="D929" s="1" t="str">
        <f>IFERROR(__xludf.DUMMYFUNCTION("GOOGLETRANSLATE(B929,""en"",""pt-br"")"),"positivo")</f>
        <v>positivo</v>
      </c>
    </row>
    <row r="930" ht="15.75" customHeight="1">
      <c r="A930" s="2" t="s">
        <v>932</v>
      </c>
      <c r="B930" s="2" t="s">
        <v>14</v>
      </c>
      <c r="C930" s="1" t="str">
        <f>IFERROR(__xludf.DUMMYFUNCTION("GOOGLETRANSLATE(A930,""en"",""pt-br"")"),"compassivo")</f>
        <v>compassivo</v>
      </c>
      <c r="D930" s="1" t="str">
        <f>IFERROR(__xludf.DUMMYFUNCTION("GOOGLETRANSLATE(B930,""en"",""pt-br"")"),"positivo")</f>
        <v>positivo</v>
      </c>
    </row>
    <row r="931" ht="15.75" customHeight="1">
      <c r="A931" s="2" t="s">
        <v>933</v>
      </c>
      <c r="B931" s="2" t="s">
        <v>14</v>
      </c>
      <c r="C931" s="1" t="str">
        <f>IFERROR(__xludf.DUMMYFUNCTION("GOOGLETRANSLATE(A931,""en"",""pt-br"")"),"compatível")</f>
        <v>compatível</v>
      </c>
      <c r="D931" s="1" t="str">
        <f>IFERROR(__xludf.DUMMYFUNCTION("GOOGLETRANSLATE(B931,""en"",""pt-br"")"),"positivo")</f>
        <v>positivo</v>
      </c>
    </row>
    <row r="932" ht="15.75" customHeight="1">
      <c r="A932" s="2" t="s">
        <v>934</v>
      </c>
      <c r="B932" s="2" t="s">
        <v>14</v>
      </c>
      <c r="C932" s="1" t="str">
        <f>IFERROR(__xludf.DUMMYFUNCTION("GOOGLETRANSLATE(A932,""en"",""pt-br"")"),"competitivo")</f>
        <v>competitivo</v>
      </c>
      <c r="D932" s="1" t="str">
        <f>IFERROR(__xludf.DUMMYFUNCTION("GOOGLETRANSLATE(B932,""en"",""pt-br"")"),"positivo")</f>
        <v>positivo</v>
      </c>
    </row>
    <row r="933" ht="15.75" customHeight="1">
      <c r="A933" s="2" t="s">
        <v>935</v>
      </c>
      <c r="B933" s="2" t="s">
        <v>3</v>
      </c>
      <c r="C933" s="1" t="str">
        <f>IFERROR(__xludf.DUMMYFUNCTION("GOOGLETRANSLATE(A933,""en"",""pt-br"")"),"complacente")</f>
        <v>complacente</v>
      </c>
      <c r="D933" s="1" t="str">
        <f>IFERROR(__xludf.DUMMYFUNCTION("GOOGLETRANSLATE(B933,""en"",""pt-br"")"),"negativo")</f>
        <v>negativo</v>
      </c>
    </row>
    <row r="934" ht="15.75" customHeight="1">
      <c r="A934" s="2" t="s">
        <v>936</v>
      </c>
      <c r="B934" s="2" t="s">
        <v>3</v>
      </c>
      <c r="C934" s="1" t="str">
        <f>IFERROR(__xludf.DUMMYFUNCTION("GOOGLETRANSLATE(A934,""en"",""pt-br"")"),"queixar-se")</f>
        <v>queixar-se</v>
      </c>
      <c r="D934" s="1" t="str">
        <f>IFERROR(__xludf.DUMMYFUNCTION("GOOGLETRANSLATE(B934,""en"",""pt-br"")"),"negativo")</f>
        <v>negativo</v>
      </c>
    </row>
    <row r="935" ht="15.75" customHeight="1">
      <c r="A935" s="2" t="s">
        <v>937</v>
      </c>
      <c r="B935" s="2" t="s">
        <v>3</v>
      </c>
      <c r="C935" s="1" t="str">
        <f>IFERROR(__xludf.DUMMYFUNCTION("GOOGLETRANSLATE(A935,""en"",""pt-br"")"),"queixaram")</f>
        <v>queixaram</v>
      </c>
      <c r="D935" s="1" t="str">
        <f>IFERROR(__xludf.DUMMYFUNCTION("GOOGLETRANSLATE(B935,""en"",""pt-br"")"),"negativo")</f>
        <v>negativo</v>
      </c>
    </row>
    <row r="936" ht="15.75" customHeight="1">
      <c r="A936" s="2" t="s">
        <v>938</v>
      </c>
      <c r="B936" s="2" t="s">
        <v>3</v>
      </c>
      <c r="C936" s="1" t="str">
        <f>IFERROR(__xludf.DUMMYFUNCTION("GOOGLETRANSLATE(A936,""en"",""pt-br"")"),"queixando")</f>
        <v>queixando</v>
      </c>
      <c r="D936" s="1" t="str">
        <f>IFERROR(__xludf.DUMMYFUNCTION("GOOGLETRANSLATE(B936,""en"",""pt-br"")"),"negativo")</f>
        <v>negativo</v>
      </c>
    </row>
    <row r="937" ht="15.75" customHeight="1">
      <c r="A937" s="2" t="s">
        <v>939</v>
      </c>
      <c r="B937" s="2" t="s">
        <v>3</v>
      </c>
      <c r="C937" s="1" t="str">
        <f>IFERROR(__xludf.DUMMYFUNCTION("GOOGLETRANSLATE(A937,""en"",""pt-br"")"),"reclama")</f>
        <v>reclama</v>
      </c>
      <c r="D937" s="1" t="str">
        <f>IFERROR(__xludf.DUMMYFUNCTION("GOOGLETRANSLATE(B937,""en"",""pt-br"")"),"negativo")</f>
        <v>negativo</v>
      </c>
    </row>
    <row r="938" ht="15.75" customHeight="1">
      <c r="A938" s="2" t="s">
        <v>940</v>
      </c>
      <c r="B938" s="2" t="s">
        <v>3</v>
      </c>
      <c r="C938" s="1" t="str">
        <f>IFERROR(__xludf.DUMMYFUNCTION("GOOGLETRANSLATE(A938,""en"",""pt-br"")"),"queixa")</f>
        <v>queixa</v>
      </c>
      <c r="D938" s="1" t="str">
        <f>IFERROR(__xludf.DUMMYFUNCTION("GOOGLETRANSLATE(B938,""en"",""pt-br"")"),"negativo")</f>
        <v>negativo</v>
      </c>
    </row>
    <row r="939" ht="15.75" customHeight="1">
      <c r="A939" s="2" t="s">
        <v>941</v>
      </c>
      <c r="B939" s="2" t="s">
        <v>3</v>
      </c>
      <c r="C939" s="1" t="str">
        <f>IFERROR(__xludf.DUMMYFUNCTION("GOOGLETRANSLATE(A939,""en"",""pt-br"")"),"queixas")</f>
        <v>queixas</v>
      </c>
      <c r="D939" s="1" t="str">
        <f>IFERROR(__xludf.DUMMYFUNCTION("GOOGLETRANSLATE(B939,""en"",""pt-br"")"),"negativo")</f>
        <v>negativo</v>
      </c>
    </row>
    <row r="940" ht="15.75" customHeight="1">
      <c r="A940" s="2" t="s">
        <v>942</v>
      </c>
      <c r="B940" s="2" t="s">
        <v>14</v>
      </c>
      <c r="C940" s="1" t="str">
        <f>IFERROR(__xludf.DUMMYFUNCTION("GOOGLETRANSLATE(A940,""en"",""pt-br"")"),"complemento")</f>
        <v>complemento</v>
      </c>
      <c r="D940" s="1" t="str">
        <f>IFERROR(__xludf.DUMMYFUNCTION("GOOGLETRANSLATE(B940,""en"",""pt-br"")"),"positivo")</f>
        <v>positivo</v>
      </c>
    </row>
    <row r="941" ht="15.75" customHeight="1">
      <c r="A941" s="2" t="s">
        <v>943</v>
      </c>
      <c r="B941" s="2" t="s">
        <v>14</v>
      </c>
      <c r="C941" s="1" t="str">
        <f>IFERROR(__xludf.DUMMYFUNCTION("GOOGLETRANSLATE(A941,""en"",""pt-br"")"),"complementar")</f>
        <v>complementar</v>
      </c>
      <c r="D941" s="1" t="str">
        <f>IFERROR(__xludf.DUMMYFUNCTION("GOOGLETRANSLATE(B941,""en"",""pt-br"")"),"positivo")</f>
        <v>positivo</v>
      </c>
    </row>
    <row r="942" ht="15.75" customHeight="1">
      <c r="A942" s="2" t="s">
        <v>944</v>
      </c>
      <c r="B942" s="2" t="s">
        <v>14</v>
      </c>
      <c r="C942" s="1" t="str">
        <f>IFERROR(__xludf.DUMMYFUNCTION("GOOGLETRANSLATE(A942,""en"",""pt-br"")"),"complementadas")</f>
        <v>complementadas</v>
      </c>
      <c r="D942" s="1" t="str">
        <f>IFERROR(__xludf.DUMMYFUNCTION("GOOGLETRANSLATE(B942,""en"",""pt-br"")"),"positivo")</f>
        <v>positivo</v>
      </c>
    </row>
    <row r="943" ht="15.75" customHeight="1">
      <c r="A943" s="2" t="s">
        <v>945</v>
      </c>
      <c r="B943" s="2" t="s">
        <v>14</v>
      </c>
      <c r="C943" s="1" t="str">
        <f>IFERROR(__xludf.DUMMYFUNCTION("GOOGLETRANSLATE(A943,""en"",""pt-br"")"),"complementos")</f>
        <v>complementos</v>
      </c>
      <c r="D943" s="1" t="str">
        <f>IFERROR(__xludf.DUMMYFUNCTION("GOOGLETRANSLATE(B943,""en"",""pt-br"")"),"positivo")</f>
        <v>positivo</v>
      </c>
    </row>
    <row r="944" ht="15.75" customHeight="1">
      <c r="A944" s="2" t="s">
        <v>946</v>
      </c>
      <c r="B944" s="2" t="s">
        <v>3</v>
      </c>
      <c r="C944" s="1" t="str">
        <f>IFERROR(__xludf.DUMMYFUNCTION("GOOGLETRANSLATE(A944,""en"",""pt-br"")"),"complexo")</f>
        <v>complexo</v>
      </c>
      <c r="D944" s="1" t="str">
        <f>IFERROR(__xludf.DUMMYFUNCTION("GOOGLETRANSLATE(B944,""en"",""pt-br"")"),"negativo")</f>
        <v>negativo</v>
      </c>
    </row>
    <row r="945" ht="15.75" customHeight="1">
      <c r="A945" s="2" t="s">
        <v>947</v>
      </c>
      <c r="B945" s="2" t="s">
        <v>14</v>
      </c>
      <c r="C945" s="1" t="str">
        <f>IFERROR(__xludf.DUMMYFUNCTION("GOOGLETRANSLATE(A945,""en"",""pt-br"")"),"compatível")</f>
        <v>compatível</v>
      </c>
      <c r="D945" s="1" t="str">
        <f>IFERROR(__xludf.DUMMYFUNCTION("GOOGLETRANSLATE(B945,""en"",""pt-br"")"),"positivo")</f>
        <v>positivo</v>
      </c>
    </row>
    <row r="946" ht="15.75" customHeight="1">
      <c r="A946" s="2" t="s">
        <v>948</v>
      </c>
      <c r="B946" s="2" t="s">
        <v>3</v>
      </c>
      <c r="C946" s="1" t="str">
        <f>IFERROR(__xludf.DUMMYFUNCTION("GOOGLETRANSLATE(A946,""en"",""pt-br"")"),"complicado")</f>
        <v>complicado</v>
      </c>
      <c r="D946" s="1" t="str">
        <f>IFERROR(__xludf.DUMMYFUNCTION("GOOGLETRANSLATE(B946,""en"",""pt-br"")"),"negativo")</f>
        <v>negativo</v>
      </c>
    </row>
    <row r="947" ht="15.75" customHeight="1">
      <c r="A947" s="2" t="s">
        <v>949</v>
      </c>
      <c r="B947" s="2" t="s">
        <v>3</v>
      </c>
      <c r="C947" s="1" t="str">
        <f>IFERROR(__xludf.DUMMYFUNCTION("GOOGLETRANSLATE(A947,""en"",""pt-br"")"),"complicação")</f>
        <v>complicação</v>
      </c>
      <c r="D947" s="1" t="str">
        <f>IFERROR(__xludf.DUMMYFUNCTION("GOOGLETRANSLATE(B947,""en"",""pt-br"")"),"negativo")</f>
        <v>negativo</v>
      </c>
    </row>
    <row r="948" ht="15.75" customHeight="1">
      <c r="A948" s="2" t="s">
        <v>950</v>
      </c>
      <c r="B948" s="2" t="s">
        <v>3</v>
      </c>
      <c r="C948" s="1" t="str">
        <f>IFERROR(__xludf.DUMMYFUNCTION("GOOGLETRANSLATE(A948,""en"",""pt-br"")"),"cúmplices")</f>
        <v>cúmplices</v>
      </c>
      <c r="D948" s="1" t="str">
        <f>IFERROR(__xludf.DUMMYFUNCTION("GOOGLETRANSLATE(B948,""en"",""pt-br"")"),"negativo")</f>
        <v>negativo</v>
      </c>
    </row>
    <row r="949" ht="15.75" customHeight="1">
      <c r="A949" s="2" t="s">
        <v>951</v>
      </c>
      <c r="B949" s="2" t="s">
        <v>14</v>
      </c>
      <c r="C949" s="1" t="str">
        <f>IFERROR(__xludf.DUMMYFUNCTION("GOOGLETRANSLATE(A949,""en"",""pt-br"")"),"elogio")</f>
        <v>elogio</v>
      </c>
      <c r="D949" s="1" t="str">
        <f>IFERROR(__xludf.DUMMYFUNCTION("GOOGLETRANSLATE(B949,""en"",""pt-br"")"),"positivo")</f>
        <v>positivo</v>
      </c>
    </row>
    <row r="950" ht="15.75" customHeight="1">
      <c r="A950" s="2" t="s">
        <v>952</v>
      </c>
      <c r="B950" s="2" t="s">
        <v>14</v>
      </c>
      <c r="C950" s="1" t="str">
        <f>IFERROR(__xludf.DUMMYFUNCTION("GOOGLETRANSLATE(A950,""en"",""pt-br"")"),"cortesia")</f>
        <v>cortesia</v>
      </c>
      <c r="D950" s="1" t="str">
        <f>IFERROR(__xludf.DUMMYFUNCTION("GOOGLETRANSLATE(B950,""en"",""pt-br"")"),"positivo")</f>
        <v>positivo</v>
      </c>
    </row>
    <row r="951" ht="15.75" customHeight="1">
      <c r="A951" s="2" t="s">
        <v>953</v>
      </c>
      <c r="B951" s="2" t="s">
        <v>14</v>
      </c>
      <c r="C951" s="1" t="str">
        <f>IFERROR(__xludf.DUMMYFUNCTION("GOOGLETRANSLATE(A951,""en"",""pt-br"")"),"compreensivo")</f>
        <v>compreensivo</v>
      </c>
      <c r="D951" s="1" t="str">
        <f>IFERROR(__xludf.DUMMYFUNCTION("GOOGLETRANSLATE(B951,""en"",""pt-br"")"),"positivo")</f>
        <v>positivo</v>
      </c>
    </row>
    <row r="952" ht="15.75" customHeight="1">
      <c r="A952" s="2" t="s">
        <v>954</v>
      </c>
      <c r="B952" s="2" t="s">
        <v>3</v>
      </c>
      <c r="C952" s="1" t="str">
        <f>IFERROR(__xludf.DUMMYFUNCTION("GOOGLETRANSLATE(A952,""en"",""pt-br"")"),"compulsão")</f>
        <v>compulsão</v>
      </c>
      <c r="D952" s="1" t="str">
        <f>IFERROR(__xludf.DUMMYFUNCTION("GOOGLETRANSLATE(B952,""en"",""pt-br"")"),"negativo")</f>
        <v>negativo</v>
      </c>
    </row>
    <row r="953" ht="15.75" customHeight="1">
      <c r="A953" s="2" t="s">
        <v>955</v>
      </c>
      <c r="B953" s="2" t="s">
        <v>3</v>
      </c>
      <c r="C953" s="1" t="str">
        <f>IFERROR(__xludf.DUMMYFUNCTION("GOOGLETRANSLATE(A953,""en"",""pt-br"")"),"compulsivo")</f>
        <v>compulsivo</v>
      </c>
      <c r="D953" s="1" t="str">
        <f>IFERROR(__xludf.DUMMYFUNCTION("GOOGLETRANSLATE(B953,""en"",""pt-br"")"),"negativo")</f>
        <v>negativo</v>
      </c>
    </row>
    <row r="954" ht="15.75" customHeight="1">
      <c r="A954" s="2" t="s">
        <v>956</v>
      </c>
      <c r="B954" s="2" t="s">
        <v>3</v>
      </c>
      <c r="C954" s="1" t="str">
        <f>IFERROR(__xludf.DUMMYFUNCTION("GOOGLETRANSLATE(A954,""en"",""pt-br"")"),"conceder")</f>
        <v>conceder</v>
      </c>
      <c r="D954" s="1" t="str">
        <f>IFERROR(__xludf.DUMMYFUNCTION("GOOGLETRANSLATE(B954,""en"",""pt-br"")"),"negativo")</f>
        <v>negativo</v>
      </c>
    </row>
    <row r="955" ht="15.75" customHeight="1">
      <c r="A955" s="2" t="s">
        <v>957</v>
      </c>
      <c r="B955" s="2" t="s">
        <v>3</v>
      </c>
      <c r="C955" s="1" t="str">
        <f>IFERROR(__xludf.DUMMYFUNCTION("GOOGLETRANSLATE(A955,""en"",""pt-br"")"),"admitiu")</f>
        <v>admitiu</v>
      </c>
      <c r="D955" s="1" t="str">
        <f>IFERROR(__xludf.DUMMYFUNCTION("GOOGLETRANSLATE(B955,""en"",""pt-br"")"),"negativo")</f>
        <v>negativo</v>
      </c>
    </row>
    <row r="956" ht="15.75" customHeight="1">
      <c r="A956" s="2" t="s">
        <v>958</v>
      </c>
      <c r="B956" s="2" t="s">
        <v>3</v>
      </c>
      <c r="C956" s="1" t="str">
        <f>IFERROR(__xludf.DUMMYFUNCTION("GOOGLETRANSLATE(A956,""en"",""pt-br"")"),"presunção")</f>
        <v>presunção</v>
      </c>
      <c r="D956" s="1" t="str">
        <f>IFERROR(__xludf.DUMMYFUNCTION("GOOGLETRANSLATE(B956,""en"",""pt-br"")"),"negativo")</f>
        <v>negativo</v>
      </c>
    </row>
    <row r="957" ht="15.75" customHeight="1">
      <c r="A957" s="2" t="s">
        <v>959</v>
      </c>
      <c r="B957" s="2" t="s">
        <v>3</v>
      </c>
      <c r="C957" s="1" t="str">
        <f>IFERROR(__xludf.DUMMYFUNCTION("GOOGLETRANSLATE(A957,""en"",""pt-br"")"),"pretensioso")</f>
        <v>pretensioso</v>
      </c>
      <c r="D957" s="1" t="str">
        <f>IFERROR(__xludf.DUMMYFUNCTION("GOOGLETRANSLATE(B957,""en"",""pt-br"")"),"negativo")</f>
        <v>negativo</v>
      </c>
    </row>
    <row r="958" ht="15.75" customHeight="1">
      <c r="A958" s="2" t="s">
        <v>960</v>
      </c>
      <c r="B958" s="2" t="s">
        <v>3</v>
      </c>
      <c r="C958" s="1" t="str">
        <f>IFERROR(__xludf.DUMMYFUNCTION("GOOGLETRANSLATE(A958,""en"",""pt-br"")"),"concen")</f>
        <v>concen</v>
      </c>
      <c r="D958" s="1" t="str">
        <f>IFERROR(__xludf.DUMMYFUNCTION("GOOGLETRANSLATE(B958,""en"",""pt-br"")"),"negativo")</f>
        <v>negativo</v>
      </c>
    </row>
    <row r="959" ht="15.75" customHeight="1">
      <c r="A959" s="2" t="s">
        <v>961</v>
      </c>
      <c r="B959" s="2" t="s">
        <v>3</v>
      </c>
      <c r="C959" s="1" t="str">
        <f>IFERROR(__xludf.DUMMYFUNCTION("GOOGLETRANSLATE(A959,""en"",""pt-br"")"),"concens")</f>
        <v>concens</v>
      </c>
      <c r="D959" s="1" t="str">
        <f>IFERROR(__xludf.DUMMYFUNCTION("GOOGLETRANSLATE(B959,""en"",""pt-br"")"),"negativo")</f>
        <v>negativo</v>
      </c>
    </row>
    <row r="960" ht="15.75" customHeight="1">
      <c r="A960" s="2" t="s">
        <v>962</v>
      </c>
      <c r="B960" s="2" t="s">
        <v>3</v>
      </c>
      <c r="C960" s="1" t="str">
        <f>IFERROR(__xludf.DUMMYFUNCTION("GOOGLETRANSLATE(A960,""en"",""pt-br"")"),"preocupação")</f>
        <v>preocupação</v>
      </c>
      <c r="D960" s="1" t="str">
        <f>IFERROR(__xludf.DUMMYFUNCTION("GOOGLETRANSLATE(B960,""en"",""pt-br"")"),"negativo")</f>
        <v>negativo</v>
      </c>
    </row>
    <row r="961" ht="15.75" customHeight="1">
      <c r="A961" s="2" t="s">
        <v>963</v>
      </c>
      <c r="B961" s="2" t="s">
        <v>3</v>
      </c>
      <c r="C961" s="1" t="str">
        <f>IFERROR(__xludf.DUMMYFUNCTION("GOOGLETRANSLATE(A961,""en"",""pt-br"")"),"em causa")</f>
        <v>em causa</v>
      </c>
      <c r="D961" s="1" t="str">
        <f>IFERROR(__xludf.DUMMYFUNCTION("GOOGLETRANSLATE(B961,""en"",""pt-br"")"),"negativo")</f>
        <v>negativo</v>
      </c>
    </row>
    <row r="962" ht="15.75" customHeight="1">
      <c r="A962" s="2" t="s">
        <v>964</v>
      </c>
      <c r="B962" s="2" t="s">
        <v>3</v>
      </c>
      <c r="C962" s="1" t="str">
        <f>IFERROR(__xludf.DUMMYFUNCTION("GOOGLETRANSLATE(A962,""en"",""pt-br"")"),"preocupações")</f>
        <v>preocupações</v>
      </c>
      <c r="D962" s="1" t="str">
        <f>IFERROR(__xludf.DUMMYFUNCTION("GOOGLETRANSLATE(B962,""en"",""pt-br"")"),"negativo")</f>
        <v>negativo</v>
      </c>
    </row>
    <row r="963" ht="15.75" customHeight="1">
      <c r="A963" s="2" t="s">
        <v>965</v>
      </c>
      <c r="B963" s="2" t="s">
        <v>3</v>
      </c>
      <c r="C963" s="1" t="str">
        <f>IFERROR(__xludf.DUMMYFUNCTION("GOOGLETRANSLATE(A963,""en"",""pt-br"")"),"concessão")</f>
        <v>concessão</v>
      </c>
      <c r="D963" s="1" t="str">
        <f>IFERROR(__xludf.DUMMYFUNCTION("GOOGLETRANSLATE(B963,""en"",""pt-br"")"),"negativo")</f>
        <v>negativo</v>
      </c>
    </row>
    <row r="964" ht="15.75" customHeight="1">
      <c r="A964" s="2" t="s">
        <v>966</v>
      </c>
      <c r="B964" s="2" t="s">
        <v>3</v>
      </c>
      <c r="C964" s="1" t="str">
        <f>IFERROR(__xludf.DUMMYFUNCTION("GOOGLETRANSLATE(A964,""en"",""pt-br"")"),"concessões")</f>
        <v>concessões</v>
      </c>
      <c r="D964" s="1" t="str">
        <f>IFERROR(__xludf.DUMMYFUNCTION("GOOGLETRANSLATE(B964,""en"",""pt-br"")"),"negativo")</f>
        <v>negativo</v>
      </c>
    </row>
    <row r="965" ht="15.75" customHeight="1">
      <c r="A965" s="2" t="s">
        <v>967</v>
      </c>
      <c r="B965" s="2" t="s">
        <v>14</v>
      </c>
      <c r="C965" s="1" t="str">
        <f>IFERROR(__xludf.DUMMYFUNCTION("GOOGLETRANSLATE(A965,""en"",""pt-br"")"),"conciliar")</f>
        <v>conciliar</v>
      </c>
      <c r="D965" s="1" t="str">
        <f>IFERROR(__xludf.DUMMYFUNCTION("GOOGLETRANSLATE(B965,""en"",""pt-br"")"),"positivo")</f>
        <v>positivo</v>
      </c>
    </row>
    <row r="966" ht="15.75" customHeight="1">
      <c r="A966" s="2" t="s">
        <v>968</v>
      </c>
      <c r="B966" s="2" t="s">
        <v>14</v>
      </c>
      <c r="C966" s="1" t="str">
        <f>IFERROR(__xludf.DUMMYFUNCTION("GOOGLETRANSLATE(A966,""en"",""pt-br"")"),"conciliador")</f>
        <v>conciliador</v>
      </c>
      <c r="D966" s="1" t="str">
        <f>IFERROR(__xludf.DUMMYFUNCTION("GOOGLETRANSLATE(B966,""en"",""pt-br"")"),"positivo")</f>
        <v>positivo</v>
      </c>
    </row>
    <row r="967" ht="15.75" customHeight="1">
      <c r="A967" s="2" t="s">
        <v>969</v>
      </c>
      <c r="B967" s="2" t="s">
        <v>14</v>
      </c>
      <c r="C967" s="1" t="str">
        <f>IFERROR(__xludf.DUMMYFUNCTION("GOOGLETRANSLATE(A967,""en"",""pt-br"")"),"conciso")</f>
        <v>conciso</v>
      </c>
      <c r="D967" s="1" t="str">
        <f>IFERROR(__xludf.DUMMYFUNCTION("GOOGLETRANSLATE(B967,""en"",""pt-br"")"),"positivo")</f>
        <v>positivo</v>
      </c>
    </row>
    <row r="968" ht="15.75" customHeight="1">
      <c r="A968" s="2" t="s">
        <v>970</v>
      </c>
      <c r="B968" s="2" t="s">
        <v>3</v>
      </c>
      <c r="C968" s="1" t="str">
        <f>IFERROR(__xludf.DUMMYFUNCTION("GOOGLETRANSLATE(A968,""en"",""pt-br"")"),"condenar")</f>
        <v>condenar</v>
      </c>
      <c r="D968" s="1" t="str">
        <f>IFERROR(__xludf.DUMMYFUNCTION("GOOGLETRANSLATE(B968,""en"",""pt-br"")"),"negativo")</f>
        <v>negativo</v>
      </c>
    </row>
    <row r="969" ht="15.75" customHeight="1">
      <c r="A969" s="2" t="s">
        <v>971</v>
      </c>
      <c r="B969" s="2" t="s">
        <v>3</v>
      </c>
      <c r="C969" s="1" t="str">
        <f>IFERROR(__xludf.DUMMYFUNCTION("GOOGLETRANSLATE(A969,""en"",""pt-br"")"),"condenável")</f>
        <v>condenável</v>
      </c>
      <c r="D969" s="1" t="str">
        <f>IFERROR(__xludf.DUMMYFUNCTION("GOOGLETRANSLATE(B969,""en"",""pt-br"")"),"negativo")</f>
        <v>negativo</v>
      </c>
    </row>
    <row r="970" ht="15.75" customHeight="1">
      <c r="A970" s="2" t="s">
        <v>972</v>
      </c>
      <c r="B970" s="2" t="s">
        <v>3</v>
      </c>
      <c r="C970" s="1" t="str">
        <f>IFERROR(__xludf.DUMMYFUNCTION("GOOGLETRANSLATE(A970,""en"",""pt-br"")"),"condenação")</f>
        <v>condenação</v>
      </c>
      <c r="D970" s="1" t="str">
        <f>IFERROR(__xludf.DUMMYFUNCTION("GOOGLETRANSLATE(B970,""en"",""pt-br"")"),"negativo")</f>
        <v>negativo</v>
      </c>
    </row>
    <row r="971" ht="15.75" customHeight="1">
      <c r="A971" s="2" t="s">
        <v>973</v>
      </c>
      <c r="B971" s="2" t="s">
        <v>3</v>
      </c>
      <c r="C971" s="1" t="str">
        <f>IFERROR(__xludf.DUMMYFUNCTION("GOOGLETRANSLATE(A971,""en"",""pt-br"")"),"condenado")</f>
        <v>condenado</v>
      </c>
      <c r="D971" s="1" t="str">
        <f>IFERROR(__xludf.DUMMYFUNCTION("GOOGLETRANSLATE(B971,""en"",""pt-br"")"),"negativo")</f>
        <v>negativo</v>
      </c>
    </row>
    <row r="972" ht="15.75" customHeight="1">
      <c r="A972" s="2" t="s">
        <v>974</v>
      </c>
      <c r="B972" s="2" t="s">
        <v>3</v>
      </c>
      <c r="C972" s="1" t="str">
        <f>IFERROR(__xludf.DUMMYFUNCTION("GOOGLETRANSLATE(A972,""en"",""pt-br"")"),"Condena")</f>
        <v>Condena</v>
      </c>
      <c r="D972" s="1" t="str">
        <f>IFERROR(__xludf.DUMMYFUNCTION("GOOGLETRANSLATE(B972,""en"",""pt-br"")"),"negativo")</f>
        <v>negativo</v>
      </c>
    </row>
    <row r="973" ht="15.75" customHeight="1">
      <c r="A973" s="2" t="s">
        <v>975</v>
      </c>
      <c r="B973" s="2" t="s">
        <v>3</v>
      </c>
      <c r="C973" s="1" t="str">
        <f>IFERROR(__xludf.DUMMYFUNCTION("GOOGLETRANSLATE(A973,""en"",""pt-br"")"),"condescend")</f>
        <v>condescend</v>
      </c>
      <c r="D973" s="1" t="str">
        <f>IFERROR(__xludf.DUMMYFUNCTION("GOOGLETRANSLATE(B973,""en"",""pt-br"")"),"negativo")</f>
        <v>negativo</v>
      </c>
    </row>
    <row r="974" ht="15.75" customHeight="1">
      <c r="A974" s="2" t="s">
        <v>976</v>
      </c>
      <c r="B974" s="2" t="s">
        <v>3</v>
      </c>
      <c r="C974" s="1" t="str">
        <f>IFERROR(__xludf.DUMMYFUNCTION("GOOGLETRANSLATE(A974,""en"",""pt-br"")"),"condescendente")</f>
        <v>condescendente</v>
      </c>
      <c r="D974" s="1" t="str">
        <f>IFERROR(__xludf.DUMMYFUNCTION("GOOGLETRANSLATE(B974,""en"",""pt-br"")"),"negativo")</f>
        <v>negativo</v>
      </c>
    </row>
    <row r="975" ht="15.75" customHeight="1">
      <c r="A975" s="2" t="s">
        <v>977</v>
      </c>
      <c r="B975" s="2" t="s">
        <v>3</v>
      </c>
      <c r="C975" s="1" t="str">
        <f>IFERROR(__xludf.DUMMYFUNCTION("GOOGLETRANSLATE(A975,""en"",""pt-br"")"),"condescendingly")</f>
        <v>condescendingly</v>
      </c>
      <c r="D975" s="1" t="str">
        <f>IFERROR(__xludf.DUMMYFUNCTION("GOOGLETRANSLATE(B975,""en"",""pt-br"")"),"negativo")</f>
        <v>negativo</v>
      </c>
    </row>
    <row r="976" ht="15.75" customHeight="1">
      <c r="A976" s="2" t="s">
        <v>978</v>
      </c>
      <c r="B976" s="2" t="s">
        <v>3</v>
      </c>
      <c r="C976" s="1" t="str">
        <f>IFERROR(__xludf.DUMMYFUNCTION("GOOGLETRANSLATE(A976,""en"",""pt-br"")"),"condescendência")</f>
        <v>condescendência</v>
      </c>
      <c r="D976" s="1" t="str">
        <f>IFERROR(__xludf.DUMMYFUNCTION("GOOGLETRANSLATE(B976,""en"",""pt-br"")"),"negativo")</f>
        <v>negativo</v>
      </c>
    </row>
    <row r="977" ht="15.75" customHeight="1">
      <c r="A977" s="2" t="s">
        <v>979</v>
      </c>
      <c r="B977" s="2" t="s">
        <v>3</v>
      </c>
      <c r="C977" s="1" t="str">
        <f>IFERROR(__xludf.DUMMYFUNCTION("GOOGLETRANSLATE(A977,""en"",""pt-br"")"),"confessar")</f>
        <v>confessar</v>
      </c>
      <c r="D977" s="1" t="str">
        <f>IFERROR(__xludf.DUMMYFUNCTION("GOOGLETRANSLATE(B977,""en"",""pt-br"")"),"negativo")</f>
        <v>negativo</v>
      </c>
    </row>
    <row r="978" ht="15.75" customHeight="1">
      <c r="A978" s="2" t="s">
        <v>980</v>
      </c>
      <c r="B978" s="2" t="s">
        <v>3</v>
      </c>
      <c r="C978" s="1" t="str">
        <f>IFERROR(__xludf.DUMMYFUNCTION("GOOGLETRANSLATE(A978,""en"",""pt-br"")"),"confissão")</f>
        <v>confissão</v>
      </c>
      <c r="D978" s="1" t="str">
        <f>IFERROR(__xludf.DUMMYFUNCTION("GOOGLETRANSLATE(B978,""en"",""pt-br"")"),"negativo")</f>
        <v>negativo</v>
      </c>
    </row>
    <row r="979" ht="15.75" customHeight="1">
      <c r="A979" s="2" t="s">
        <v>981</v>
      </c>
      <c r="B979" s="2" t="s">
        <v>3</v>
      </c>
      <c r="C979" s="1" t="str">
        <f>IFERROR(__xludf.DUMMYFUNCTION("GOOGLETRANSLATE(A979,""en"",""pt-br"")"),"confissões")</f>
        <v>confissões</v>
      </c>
      <c r="D979" s="1" t="str">
        <f>IFERROR(__xludf.DUMMYFUNCTION("GOOGLETRANSLATE(B979,""en"",""pt-br"")"),"negativo")</f>
        <v>negativo</v>
      </c>
    </row>
    <row r="980" ht="15.75" customHeight="1">
      <c r="A980" s="2" t="s">
        <v>982</v>
      </c>
      <c r="B980" s="2" t="s">
        <v>14</v>
      </c>
      <c r="C980" s="1" t="str">
        <f>IFERROR(__xludf.DUMMYFUNCTION("GOOGLETRANSLATE(A980,""en"",""pt-br"")"),"confiança")</f>
        <v>confiança</v>
      </c>
      <c r="D980" s="1" t="str">
        <f>IFERROR(__xludf.DUMMYFUNCTION("GOOGLETRANSLATE(B980,""en"",""pt-br"")"),"positivo")</f>
        <v>positivo</v>
      </c>
    </row>
    <row r="981" ht="15.75" customHeight="1">
      <c r="A981" s="2" t="s">
        <v>983</v>
      </c>
      <c r="B981" s="2" t="s">
        <v>14</v>
      </c>
      <c r="C981" s="1" t="str">
        <f>IFERROR(__xludf.DUMMYFUNCTION("GOOGLETRANSLATE(A981,""en"",""pt-br"")"),"confiante")</f>
        <v>confiante</v>
      </c>
      <c r="D981" s="1" t="str">
        <f>IFERROR(__xludf.DUMMYFUNCTION("GOOGLETRANSLATE(B981,""en"",""pt-br"")"),"positivo")</f>
        <v>positivo</v>
      </c>
    </row>
    <row r="982" ht="15.75" customHeight="1">
      <c r="A982" s="2" t="s">
        <v>984</v>
      </c>
      <c r="B982" s="2" t="s">
        <v>3</v>
      </c>
      <c r="C982" s="1" t="str">
        <f>IFERROR(__xludf.DUMMYFUNCTION("GOOGLETRANSLATE(A982,""en"",""pt-br"")"),"confinado")</f>
        <v>confinado</v>
      </c>
      <c r="D982" s="1" t="str">
        <f>IFERROR(__xludf.DUMMYFUNCTION("GOOGLETRANSLATE(B982,""en"",""pt-br"")"),"negativo")</f>
        <v>negativo</v>
      </c>
    </row>
    <row r="983" ht="15.75" customHeight="1">
      <c r="A983" s="2" t="s">
        <v>985</v>
      </c>
      <c r="B983" s="2" t="s">
        <v>3</v>
      </c>
      <c r="C983" s="1" t="str">
        <f>IFERROR(__xludf.DUMMYFUNCTION("GOOGLETRANSLATE(A983,""en"",""pt-br"")"),"conflito")</f>
        <v>conflito</v>
      </c>
      <c r="D983" s="1" t="str">
        <f>IFERROR(__xludf.DUMMYFUNCTION("GOOGLETRANSLATE(B983,""en"",""pt-br"")"),"negativo")</f>
        <v>negativo</v>
      </c>
    </row>
    <row r="984" ht="15.75" customHeight="1">
      <c r="A984" s="2" t="s">
        <v>986</v>
      </c>
      <c r="B984" s="2" t="s">
        <v>3</v>
      </c>
      <c r="C984" s="1" t="str">
        <f>IFERROR(__xludf.DUMMYFUNCTION("GOOGLETRANSLATE(A984,""en"",""pt-br"")"),"conflituosa")</f>
        <v>conflituosa</v>
      </c>
      <c r="D984" s="1" t="str">
        <f>IFERROR(__xludf.DUMMYFUNCTION("GOOGLETRANSLATE(B984,""en"",""pt-br"")"),"negativo")</f>
        <v>negativo</v>
      </c>
    </row>
    <row r="985" ht="15.75" customHeight="1">
      <c r="A985" s="2" t="s">
        <v>987</v>
      </c>
      <c r="B985" s="2" t="s">
        <v>3</v>
      </c>
      <c r="C985" s="1" t="str">
        <f>IFERROR(__xludf.DUMMYFUNCTION("GOOGLETRANSLATE(A985,""en"",""pt-br"")"),"conflitantes")</f>
        <v>conflitantes</v>
      </c>
      <c r="D985" s="1" t="str">
        <f>IFERROR(__xludf.DUMMYFUNCTION("GOOGLETRANSLATE(B985,""en"",""pt-br"")"),"negativo")</f>
        <v>negativo</v>
      </c>
    </row>
    <row r="986" ht="15.75" customHeight="1">
      <c r="A986" s="2" t="s">
        <v>988</v>
      </c>
      <c r="B986" s="2" t="s">
        <v>3</v>
      </c>
      <c r="C986" s="1" t="str">
        <f>IFERROR(__xludf.DUMMYFUNCTION("GOOGLETRANSLATE(A986,""en"",""pt-br"")"),"conflitos")</f>
        <v>conflitos</v>
      </c>
      <c r="D986" s="1" t="str">
        <f>IFERROR(__xludf.DUMMYFUNCTION("GOOGLETRANSLATE(B986,""en"",""pt-br"")"),"negativo")</f>
        <v>negativo</v>
      </c>
    </row>
    <row r="987" ht="15.75" customHeight="1">
      <c r="A987" s="2" t="s">
        <v>989</v>
      </c>
      <c r="B987" s="2" t="s">
        <v>3</v>
      </c>
      <c r="C987" s="1" t="str">
        <f>IFERROR(__xludf.DUMMYFUNCTION("GOOGLETRANSLATE(A987,""en"",""pt-br"")"),"confundir")</f>
        <v>confundir</v>
      </c>
      <c r="D987" s="1" t="str">
        <f>IFERROR(__xludf.DUMMYFUNCTION("GOOGLETRANSLATE(B987,""en"",""pt-br"")"),"negativo")</f>
        <v>negativo</v>
      </c>
    </row>
    <row r="988" ht="15.75" customHeight="1">
      <c r="A988" s="2" t="s">
        <v>990</v>
      </c>
      <c r="B988" s="2" t="s">
        <v>3</v>
      </c>
      <c r="C988" s="1" t="str">
        <f>IFERROR(__xludf.DUMMYFUNCTION("GOOGLETRANSLATE(A988,""en"",""pt-br"")"),"desconcertado")</f>
        <v>desconcertado</v>
      </c>
      <c r="D988" s="1" t="str">
        <f>IFERROR(__xludf.DUMMYFUNCTION("GOOGLETRANSLATE(B988,""en"",""pt-br"")"),"negativo")</f>
        <v>negativo</v>
      </c>
    </row>
    <row r="989" ht="15.75" customHeight="1">
      <c r="A989" s="2" t="s">
        <v>991</v>
      </c>
      <c r="B989" s="2" t="s">
        <v>3</v>
      </c>
      <c r="C989" s="1" t="str">
        <f>IFERROR(__xludf.DUMMYFUNCTION("GOOGLETRANSLATE(A989,""en"",""pt-br"")"),"confusão")</f>
        <v>confusão</v>
      </c>
      <c r="D989" s="1" t="str">
        <f>IFERROR(__xludf.DUMMYFUNCTION("GOOGLETRANSLATE(B989,""en"",""pt-br"")"),"negativo")</f>
        <v>negativo</v>
      </c>
    </row>
    <row r="990" ht="15.75" customHeight="1">
      <c r="A990" s="2" t="s">
        <v>992</v>
      </c>
      <c r="B990" s="2" t="s">
        <v>3</v>
      </c>
      <c r="C990" s="1" t="str">
        <f>IFERROR(__xludf.DUMMYFUNCTION("GOOGLETRANSLATE(A990,""en"",""pt-br"")"),"enfrentar")</f>
        <v>enfrentar</v>
      </c>
      <c r="D990" s="1" t="str">
        <f>IFERROR(__xludf.DUMMYFUNCTION("GOOGLETRANSLATE(B990,""en"",""pt-br"")"),"negativo")</f>
        <v>negativo</v>
      </c>
    </row>
    <row r="991" ht="15.75" customHeight="1">
      <c r="A991" s="2" t="s">
        <v>993</v>
      </c>
      <c r="B991" s="2" t="s">
        <v>3</v>
      </c>
      <c r="C991" s="1" t="str">
        <f>IFERROR(__xludf.DUMMYFUNCTION("GOOGLETRANSLATE(A991,""en"",""pt-br"")"),"confronto")</f>
        <v>confronto</v>
      </c>
      <c r="D991" s="1" t="str">
        <f>IFERROR(__xludf.DUMMYFUNCTION("GOOGLETRANSLATE(B991,""en"",""pt-br"")"),"negativo")</f>
        <v>negativo</v>
      </c>
    </row>
    <row r="992" ht="15.75" customHeight="1">
      <c r="A992" s="2" t="s">
        <v>994</v>
      </c>
      <c r="B992" s="2" t="s">
        <v>3</v>
      </c>
      <c r="C992" s="1" t="str">
        <f>IFERROR(__xludf.DUMMYFUNCTION("GOOGLETRANSLATE(A992,""en"",""pt-br"")"),"conflituosa")</f>
        <v>conflituosa</v>
      </c>
      <c r="D992" s="1" t="str">
        <f>IFERROR(__xludf.DUMMYFUNCTION("GOOGLETRANSLATE(B992,""en"",""pt-br"")"),"negativo")</f>
        <v>negativo</v>
      </c>
    </row>
    <row r="993" ht="15.75" customHeight="1">
      <c r="A993" s="2" t="s">
        <v>995</v>
      </c>
      <c r="B993" s="2" t="s">
        <v>3</v>
      </c>
      <c r="C993" s="1" t="str">
        <f>IFERROR(__xludf.DUMMYFUNCTION("GOOGLETRANSLATE(A993,""en"",""pt-br"")"),"confundir")</f>
        <v>confundir</v>
      </c>
      <c r="D993" s="1" t="str">
        <f>IFERROR(__xludf.DUMMYFUNCTION("GOOGLETRANSLATE(B993,""en"",""pt-br"")"),"negativo")</f>
        <v>negativo</v>
      </c>
    </row>
    <row r="994" ht="15.75" customHeight="1">
      <c r="A994" s="2" t="s">
        <v>996</v>
      </c>
      <c r="B994" s="2" t="s">
        <v>3</v>
      </c>
      <c r="C994" s="1" t="str">
        <f>IFERROR(__xludf.DUMMYFUNCTION("GOOGLETRANSLATE(A994,""en"",""pt-br"")"),"confuso")</f>
        <v>confuso</v>
      </c>
      <c r="D994" s="1" t="str">
        <f>IFERROR(__xludf.DUMMYFUNCTION("GOOGLETRANSLATE(B994,""en"",""pt-br"")"),"negativo")</f>
        <v>negativo</v>
      </c>
    </row>
    <row r="995" ht="15.75" customHeight="1">
      <c r="A995" s="2" t="s">
        <v>997</v>
      </c>
      <c r="B995" s="2" t="s">
        <v>3</v>
      </c>
      <c r="C995" s="1" t="str">
        <f>IFERROR(__xludf.DUMMYFUNCTION("GOOGLETRANSLATE(A995,""en"",""pt-br"")"),"confunde")</f>
        <v>confunde</v>
      </c>
      <c r="D995" s="1" t="str">
        <f>IFERROR(__xludf.DUMMYFUNCTION("GOOGLETRANSLATE(B995,""en"",""pt-br"")"),"negativo")</f>
        <v>negativo</v>
      </c>
    </row>
    <row r="996" ht="15.75" customHeight="1">
      <c r="A996" s="2" t="s">
        <v>998</v>
      </c>
      <c r="B996" s="2" t="s">
        <v>3</v>
      </c>
      <c r="C996" s="1" t="str">
        <f>IFERROR(__xludf.DUMMYFUNCTION("GOOGLETRANSLATE(A996,""en"",""pt-br"")"),"confundindo")</f>
        <v>confundindo</v>
      </c>
      <c r="D996" s="1" t="str">
        <f>IFERROR(__xludf.DUMMYFUNCTION("GOOGLETRANSLATE(B996,""en"",""pt-br"")"),"negativo")</f>
        <v>negativo</v>
      </c>
    </row>
    <row r="997" ht="15.75" customHeight="1">
      <c r="A997" s="2" t="s">
        <v>999</v>
      </c>
      <c r="B997" s="2" t="s">
        <v>3</v>
      </c>
      <c r="C997" s="1" t="str">
        <f>IFERROR(__xludf.DUMMYFUNCTION("GOOGLETRANSLATE(A997,""en"",""pt-br"")"),"confusão")</f>
        <v>confusão</v>
      </c>
      <c r="D997" s="1" t="str">
        <f>IFERROR(__xludf.DUMMYFUNCTION("GOOGLETRANSLATE(B997,""en"",""pt-br"")"),"negativo")</f>
        <v>negativo</v>
      </c>
    </row>
    <row r="998" ht="15.75" customHeight="1">
      <c r="A998" s="2" t="s">
        <v>1000</v>
      </c>
      <c r="B998" s="2" t="s">
        <v>3</v>
      </c>
      <c r="C998" s="1" t="str">
        <f>IFERROR(__xludf.DUMMYFUNCTION("GOOGLETRANSLATE(A998,""en"",""pt-br"")"),"confusões")</f>
        <v>confusões</v>
      </c>
      <c r="D998" s="1" t="str">
        <f>IFERROR(__xludf.DUMMYFUNCTION("GOOGLETRANSLATE(B998,""en"",""pt-br"")"),"negativo")</f>
        <v>negativo</v>
      </c>
    </row>
    <row r="999" ht="15.75" customHeight="1">
      <c r="A999" s="2" t="s">
        <v>1001</v>
      </c>
      <c r="B999" s="2" t="s">
        <v>14</v>
      </c>
      <c r="C999" s="1" t="str">
        <f>IFERROR(__xludf.DUMMYFUNCTION("GOOGLETRANSLATE(A999,""en"",""pt-br"")"),"agradável")</f>
        <v>agradável</v>
      </c>
      <c r="D999" s="1" t="str">
        <f>IFERROR(__xludf.DUMMYFUNCTION("GOOGLETRANSLATE(B999,""en"",""pt-br"")"),"positivo")</f>
        <v>positivo</v>
      </c>
    </row>
    <row r="1000" ht="15.75" customHeight="1">
      <c r="A1000" s="2" t="s">
        <v>1002</v>
      </c>
      <c r="B1000" s="2" t="s">
        <v>3</v>
      </c>
      <c r="C1000" s="1" t="str">
        <f>IFERROR(__xludf.DUMMYFUNCTION("GOOGLETRANSLATE(A1000,""en"",""pt-br"")"),"congestionado")</f>
        <v>congestionado</v>
      </c>
      <c r="D1000" s="1" t="str">
        <f>IFERROR(__xludf.DUMMYFUNCTION("GOOGLETRANSLATE(B1000,""en"",""pt-br"")"),"negativo")</f>
        <v>negativo</v>
      </c>
    </row>
    <row r="1001" ht="15.75" customHeight="1">
      <c r="A1001" s="2" t="s">
        <v>1003</v>
      </c>
      <c r="B1001" s="2" t="s">
        <v>3</v>
      </c>
      <c r="C1001" s="1" t="str">
        <f>IFERROR(__xludf.DUMMYFUNCTION("GOOGLETRANSLATE(A1001,""en"",""pt-br"")"),"congestionamento")</f>
        <v>congestionamento</v>
      </c>
      <c r="D1001" s="1" t="str">
        <f>IFERROR(__xludf.DUMMYFUNCTION("GOOGLETRANSLATE(B1001,""en"",""pt-br"")"),"negativo")</f>
        <v>negativo</v>
      </c>
    </row>
    <row r="1002" ht="15.75" customHeight="1">
      <c r="A1002" s="2" t="s">
        <v>1004</v>
      </c>
      <c r="B1002" s="2" t="s">
        <v>14</v>
      </c>
      <c r="C1002" s="1" t="str">
        <f>IFERROR(__xludf.DUMMYFUNCTION("GOOGLETRANSLATE(A1002,""en"",""pt-br"")"),"felicitar")</f>
        <v>felicitar</v>
      </c>
      <c r="D1002" s="1" t="str">
        <f>IFERROR(__xludf.DUMMYFUNCTION("GOOGLETRANSLATE(B1002,""en"",""pt-br"")"),"positivo")</f>
        <v>positivo</v>
      </c>
    </row>
    <row r="1003" ht="15.75" customHeight="1">
      <c r="A1003" s="2" t="s">
        <v>1005</v>
      </c>
      <c r="B1003" s="2" t="s">
        <v>14</v>
      </c>
      <c r="C1003" s="1" t="str">
        <f>IFERROR(__xludf.DUMMYFUNCTION("GOOGLETRANSLATE(A1003,""en"",""pt-br"")"),"congratulação")</f>
        <v>congratulação</v>
      </c>
      <c r="D1003" s="1" t="str">
        <f>IFERROR(__xludf.DUMMYFUNCTION("GOOGLETRANSLATE(B1003,""en"",""pt-br"")"),"positivo")</f>
        <v>positivo</v>
      </c>
    </row>
    <row r="1004" ht="15.75" customHeight="1">
      <c r="A1004" s="2" t="s">
        <v>1006</v>
      </c>
      <c r="B1004" s="2" t="s">
        <v>14</v>
      </c>
      <c r="C1004" s="1" t="str">
        <f>IFERROR(__xludf.DUMMYFUNCTION("GOOGLETRANSLATE(A1004,""en"",""pt-br"")"),"Parabéns")</f>
        <v>Parabéns</v>
      </c>
      <c r="D1004" s="1" t="str">
        <f>IFERROR(__xludf.DUMMYFUNCTION("GOOGLETRANSLATE(B1004,""en"",""pt-br"")"),"positivo")</f>
        <v>positivo</v>
      </c>
    </row>
    <row r="1005" ht="15.75" customHeight="1">
      <c r="A1005" s="2" t="s">
        <v>1007</v>
      </c>
      <c r="B1005" s="2" t="s">
        <v>14</v>
      </c>
      <c r="C1005" s="1" t="str">
        <f>IFERROR(__xludf.DUMMYFUNCTION("GOOGLETRANSLATE(A1005,""en"",""pt-br"")"),"congratulatório")</f>
        <v>congratulatório</v>
      </c>
      <c r="D1005" s="1" t="str">
        <f>IFERROR(__xludf.DUMMYFUNCTION("GOOGLETRANSLATE(B1005,""en"",""pt-br"")"),"positivo")</f>
        <v>positivo</v>
      </c>
    </row>
    <row r="1006" ht="15.75" customHeight="1">
      <c r="A1006" s="2" t="s">
        <v>1008</v>
      </c>
      <c r="B1006" s="2" t="s">
        <v>3</v>
      </c>
      <c r="C1006" s="1" t="str">
        <f>IFERROR(__xludf.DUMMYFUNCTION("GOOGLETRANSLATE(A1006,""en"",""pt-br"")"),"contras")</f>
        <v>contras</v>
      </c>
      <c r="D1006" s="1" t="str">
        <f>IFERROR(__xludf.DUMMYFUNCTION("GOOGLETRANSLATE(B1006,""en"",""pt-br"")"),"negativo")</f>
        <v>negativo</v>
      </c>
    </row>
    <row r="1007" ht="15.75" customHeight="1">
      <c r="A1007" s="2" t="s">
        <v>1009</v>
      </c>
      <c r="B1007" s="2" t="s">
        <v>14</v>
      </c>
      <c r="C1007" s="1" t="str">
        <f>IFERROR(__xludf.DUMMYFUNCTION("GOOGLETRANSLATE(A1007,""en"",""pt-br"")"),"consciencioso")</f>
        <v>consciencioso</v>
      </c>
      <c r="D1007" s="1" t="str">
        <f>IFERROR(__xludf.DUMMYFUNCTION("GOOGLETRANSLATE(B1007,""en"",""pt-br"")"),"positivo")</f>
        <v>positivo</v>
      </c>
    </row>
    <row r="1008" ht="15.75" customHeight="1">
      <c r="A1008" s="2" t="s">
        <v>1010</v>
      </c>
      <c r="B1008" s="2" t="s">
        <v>3</v>
      </c>
      <c r="C1008" s="1" t="str">
        <f>IFERROR(__xludf.DUMMYFUNCTION("GOOGLETRANSLATE(A1008,""en"",""pt-br"")"),"conscons")</f>
        <v>conscons</v>
      </c>
      <c r="D1008" s="1" t="str">
        <f>IFERROR(__xludf.DUMMYFUNCTION("GOOGLETRANSLATE(B1008,""en"",""pt-br"")"),"negativo")</f>
        <v>negativo</v>
      </c>
    </row>
    <row r="1009" ht="15.75" customHeight="1">
      <c r="A1009" s="2" t="s">
        <v>1011</v>
      </c>
      <c r="B1009" s="2" t="s">
        <v>3</v>
      </c>
      <c r="C1009" s="1" t="str">
        <f>IFERROR(__xludf.DUMMYFUNCTION("GOOGLETRANSLATE(A1009,""en"",""pt-br"")"),"conservador")</f>
        <v>conservador</v>
      </c>
      <c r="D1009" s="1" t="str">
        <f>IFERROR(__xludf.DUMMYFUNCTION("GOOGLETRANSLATE(B1009,""en"",""pt-br"")"),"negativo")</f>
        <v>negativo</v>
      </c>
    </row>
    <row r="1010" ht="15.75" customHeight="1">
      <c r="A1010" s="2" t="s">
        <v>1012</v>
      </c>
      <c r="B1010" s="2" t="s">
        <v>14</v>
      </c>
      <c r="C1010" s="1" t="str">
        <f>IFERROR(__xludf.DUMMYFUNCTION("GOOGLETRANSLATE(A1010,""en"",""pt-br"")"),"atencioso")</f>
        <v>atencioso</v>
      </c>
      <c r="D1010" s="1" t="str">
        <f>IFERROR(__xludf.DUMMYFUNCTION("GOOGLETRANSLATE(B1010,""en"",""pt-br"")"),"positivo")</f>
        <v>positivo</v>
      </c>
    </row>
    <row r="1011" ht="15.75" customHeight="1">
      <c r="A1011" s="2" t="s">
        <v>1013</v>
      </c>
      <c r="B1011" s="2" t="s">
        <v>14</v>
      </c>
      <c r="C1011" s="1" t="str">
        <f>IFERROR(__xludf.DUMMYFUNCTION("GOOGLETRANSLATE(A1011,""en"",""pt-br"")"),"consistente")</f>
        <v>consistente</v>
      </c>
      <c r="D1011" s="1" t="str">
        <f>IFERROR(__xludf.DUMMYFUNCTION("GOOGLETRANSLATE(B1011,""en"",""pt-br"")"),"positivo")</f>
        <v>positivo</v>
      </c>
    </row>
    <row r="1012" ht="15.75" customHeight="1">
      <c r="A1012" s="2" t="s">
        <v>1014</v>
      </c>
      <c r="B1012" s="2" t="s">
        <v>14</v>
      </c>
      <c r="C1012" s="1" t="str">
        <f>IFERROR(__xludf.DUMMYFUNCTION("GOOGLETRANSLATE(A1012,""en"",""pt-br"")"),"consistentemente")</f>
        <v>consistentemente</v>
      </c>
      <c r="D1012" s="1" t="str">
        <f>IFERROR(__xludf.DUMMYFUNCTION("GOOGLETRANSLATE(B1012,""en"",""pt-br"")"),"positivo")</f>
        <v>positivo</v>
      </c>
    </row>
    <row r="1013" ht="15.75" customHeight="1">
      <c r="A1013" s="2" t="s">
        <v>1015</v>
      </c>
      <c r="B1013" s="2" t="s">
        <v>3</v>
      </c>
      <c r="C1013" s="1" t="str">
        <f>IFERROR(__xludf.DUMMYFUNCTION("GOOGLETRANSLATE(A1013,""en"",""pt-br"")"),"conspícuo")</f>
        <v>conspícuo</v>
      </c>
      <c r="D1013" s="1" t="str">
        <f>IFERROR(__xludf.DUMMYFUNCTION("GOOGLETRANSLATE(B1013,""en"",""pt-br"")"),"negativo")</f>
        <v>negativo</v>
      </c>
    </row>
    <row r="1014" ht="15.75" customHeight="1">
      <c r="A1014" s="2" t="s">
        <v>1016</v>
      </c>
      <c r="B1014" s="2" t="s">
        <v>3</v>
      </c>
      <c r="C1014" s="1" t="str">
        <f>IFERROR(__xludf.DUMMYFUNCTION("GOOGLETRANSLATE(A1014,""en"",""pt-br"")"),"conspicuamente")</f>
        <v>conspicuamente</v>
      </c>
      <c r="D1014" s="1" t="str">
        <f>IFERROR(__xludf.DUMMYFUNCTION("GOOGLETRANSLATE(B1014,""en"",""pt-br"")"),"negativo")</f>
        <v>negativo</v>
      </c>
    </row>
    <row r="1015" ht="15.75" customHeight="1">
      <c r="A1015" s="2" t="s">
        <v>1017</v>
      </c>
      <c r="B1015" s="2" t="s">
        <v>3</v>
      </c>
      <c r="C1015" s="1" t="str">
        <f>IFERROR(__xludf.DUMMYFUNCTION("GOOGLETRANSLATE(A1015,""en"",""pt-br"")"),"conspirações")</f>
        <v>conspirações</v>
      </c>
      <c r="D1015" s="1" t="str">
        <f>IFERROR(__xludf.DUMMYFUNCTION("GOOGLETRANSLATE(B1015,""en"",""pt-br"")"),"negativo")</f>
        <v>negativo</v>
      </c>
    </row>
    <row r="1016" ht="15.75" customHeight="1">
      <c r="A1016" s="2" t="s">
        <v>1018</v>
      </c>
      <c r="B1016" s="2" t="s">
        <v>3</v>
      </c>
      <c r="C1016" s="1" t="str">
        <f>IFERROR(__xludf.DUMMYFUNCTION("GOOGLETRANSLATE(A1016,""en"",""pt-br"")"),"conspiração")</f>
        <v>conspiração</v>
      </c>
      <c r="D1016" s="1" t="str">
        <f>IFERROR(__xludf.DUMMYFUNCTION("GOOGLETRANSLATE(B1016,""en"",""pt-br"")"),"negativo")</f>
        <v>negativo</v>
      </c>
    </row>
    <row r="1017" ht="15.75" customHeight="1">
      <c r="A1017" s="2" t="s">
        <v>1019</v>
      </c>
      <c r="B1017" s="2" t="s">
        <v>3</v>
      </c>
      <c r="C1017" s="1" t="str">
        <f>IFERROR(__xludf.DUMMYFUNCTION("GOOGLETRANSLATE(A1017,""en"",""pt-br"")"),"conspirador")</f>
        <v>conspirador</v>
      </c>
      <c r="D1017" s="1" t="str">
        <f>IFERROR(__xludf.DUMMYFUNCTION("GOOGLETRANSLATE(B1017,""en"",""pt-br"")"),"negativo")</f>
        <v>negativo</v>
      </c>
    </row>
    <row r="1018" ht="15.75" customHeight="1">
      <c r="A1018" s="2" t="s">
        <v>1020</v>
      </c>
      <c r="B1018" s="2" t="s">
        <v>3</v>
      </c>
      <c r="C1018" s="1" t="str">
        <f>IFERROR(__xludf.DUMMYFUNCTION("GOOGLETRANSLATE(A1018,""en"",""pt-br"")"),"conspiratório")</f>
        <v>conspiratório</v>
      </c>
      <c r="D1018" s="1" t="str">
        <f>IFERROR(__xludf.DUMMYFUNCTION("GOOGLETRANSLATE(B1018,""en"",""pt-br"")"),"negativo")</f>
        <v>negativo</v>
      </c>
    </row>
    <row r="1019" ht="15.75" customHeight="1">
      <c r="A1019" s="2" t="s">
        <v>1021</v>
      </c>
      <c r="B1019" s="2" t="s">
        <v>3</v>
      </c>
      <c r="C1019" s="1" t="str">
        <f>IFERROR(__xludf.DUMMYFUNCTION("GOOGLETRANSLATE(A1019,""en"",""pt-br"")"),"conspirar")</f>
        <v>conspirar</v>
      </c>
      <c r="D1019" s="1" t="str">
        <f>IFERROR(__xludf.DUMMYFUNCTION("GOOGLETRANSLATE(B1019,""en"",""pt-br"")"),"negativo")</f>
        <v>negativo</v>
      </c>
    </row>
    <row r="1020" ht="15.75" customHeight="1">
      <c r="A1020" s="2" t="s">
        <v>1022</v>
      </c>
      <c r="B1020" s="2" t="s">
        <v>3</v>
      </c>
      <c r="C1020" s="1" t="str">
        <f>IFERROR(__xludf.DUMMYFUNCTION("GOOGLETRANSLATE(A1020,""en"",""pt-br"")"),"consternação")</f>
        <v>consternação</v>
      </c>
      <c r="D1020" s="1" t="str">
        <f>IFERROR(__xludf.DUMMYFUNCTION("GOOGLETRANSLATE(B1020,""en"",""pt-br"")"),"negativo")</f>
        <v>negativo</v>
      </c>
    </row>
    <row r="1021" ht="15.75" customHeight="1">
      <c r="A1021" s="2" t="s">
        <v>1023</v>
      </c>
      <c r="B1021" s="2" t="s">
        <v>14</v>
      </c>
      <c r="C1021" s="1" t="str">
        <f>IFERROR(__xludf.DUMMYFUNCTION("GOOGLETRANSLATE(A1021,""en"",""pt-br"")"),"construtivo")</f>
        <v>construtivo</v>
      </c>
      <c r="D1021" s="1" t="str">
        <f>IFERROR(__xludf.DUMMYFUNCTION("GOOGLETRANSLATE(B1021,""en"",""pt-br"")"),"positivo")</f>
        <v>positivo</v>
      </c>
    </row>
    <row r="1022" ht="15.75" customHeight="1">
      <c r="A1022" s="2" t="s">
        <v>1024</v>
      </c>
      <c r="B1022" s="2" t="s">
        <v>14</v>
      </c>
      <c r="C1022" s="1" t="str">
        <f>IFERROR(__xludf.DUMMYFUNCTION("GOOGLETRANSLATE(A1022,""en"",""pt-br"")"),"consumar")</f>
        <v>consumar</v>
      </c>
      <c r="D1022" s="1" t="str">
        <f>IFERROR(__xludf.DUMMYFUNCTION("GOOGLETRANSLATE(B1022,""en"",""pt-br"")"),"positivo")</f>
        <v>positivo</v>
      </c>
    </row>
    <row r="1023" ht="15.75" customHeight="1">
      <c r="A1023" s="2" t="s">
        <v>1025</v>
      </c>
      <c r="B1023" s="2" t="s">
        <v>3</v>
      </c>
      <c r="C1023" s="1" t="str">
        <f>IFERROR(__xludf.DUMMYFUNCTION("GOOGLETRANSLATE(A1023,""en"",""pt-br"")"),"transmissível")</f>
        <v>transmissível</v>
      </c>
      <c r="D1023" s="1" t="str">
        <f>IFERROR(__xludf.DUMMYFUNCTION("GOOGLETRANSLATE(B1023,""en"",""pt-br"")"),"negativo")</f>
        <v>negativo</v>
      </c>
    </row>
    <row r="1024" ht="15.75" customHeight="1">
      <c r="A1024" s="2" t="s">
        <v>1026</v>
      </c>
      <c r="B1024" s="2" t="s">
        <v>3</v>
      </c>
      <c r="C1024" s="1" t="str">
        <f>IFERROR(__xludf.DUMMYFUNCTION("GOOGLETRANSLATE(A1024,""en"",""pt-br"")"),"contaminar")</f>
        <v>contaminar</v>
      </c>
      <c r="D1024" s="1" t="str">
        <f>IFERROR(__xludf.DUMMYFUNCTION("GOOGLETRANSLATE(B1024,""en"",""pt-br"")"),"negativo")</f>
        <v>negativo</v>
      </c>
    </row>
    <row r="1025" ht="15.75" customHeight="1">
      <c r="A1025" s="2" t="s">
        <v>1027</v>
      </c>
      <c r="B1025" s="2" t="s">
        <v>3</v>
      </c>
      <c r="C1025" s="1" t="str">
        <f>IFERROR(__xludf.DUMMYFUNCTION("GOOGLETRANSLATE(A1025,""en"",""pt-br"")"),"contaminado")</f>
        <v>contaminado</v>
      </c>
      <c r="D1025" s="1" t="str">
        <f>IFERROR(__xludf.DUMMYFUNCTION("GOOGLETRANSLATE(B1025,""en"",""pt-br"")"),"negativo")</f>
        <v>negativo</v>
      </c>
    </row>
    <row r="1026" ht="15.75" customHeight="1">
      <c r="A1026" s="2" t="s">
        <v>1028</v>
      </c>
      <c r="B1026" s="2" t="s">
        <v>3</v>
      </c>
      <c r="C1026" s="1" t="str">
        <f>IFERROR(__xludf.DUMMYFUNCTION("GOOGLETRANSLATE(A1026,""en"",""pt-br"")"),"contamina")</f>
        <v>contamina</v>
      </c>
      <c r="D1026" s="1" t="str">
        <f>IFERROR(__xludf.DUMMYFUNCTION("GOOGLETRANSLATE(B1026,""en"",""pt-br"")"),"negativo")</f>
        <v>negativo</v>
      </c>
    </row>
    <row r="1027" ht="15.75" customHeight="1">
      <c r="A1027" s="2" t="s">
        <v>1029</v>
      </c>
      <c r="B1027" s="2" t="s">
        <v>3</v>
      </c>
      <c r="C1027" s="1" t="str">
        <f>IFERROR(__xludf.DUMMYFUNCTION("GOOGLETRANSLATE(A1027,""en"",""pt-br"")"),"contaminação")</f>
        <v>contaminação</v>
      </c>
      <c r="D1027" s="1" t="str">
        <f>IFERROR(__xludf.DUMMYFUNCTION("GOOGLETRANSLATE(B1027,""en"",""pt-br"")"),"negativo")</f>
        <v>negativo</v>
      </c>
    </row>
    <row r="1028" ht="15.75" customHeight="1">
      <c r="A1028" s="2" t="s">
        <v>1030</v>
      </c>
      <c r="B1028" s="2" t="s">
        <v>3</v>
      </c>
      <c r="C1028" s="1" t="str">
        <f>IFERROR(__xludf.DUMMYFUNCTION("GOOGLETRANSLATE(A1028,""en"",""pt-br"")"),"contaminação")</f>
        <v>contaminação</v>
      </c>
      <c r="D1028" s="1" t="str">
        <f>IFERROR(__xludf.DUMMYFUNCTION("GOOGLETRANSLATE(B1028,""en"",""pt-br"")"),"negativo")</f>
        <v>negativo</v>
      </c>
    </row>
    <row r="1029" ht="15.75" customHeight="1">
      <c r="A1029" s="2" t="s">
        <v>1031</v>
      </c>
      <c r="B1029" s="2" t="s">
        <v>3</v>
      </c>
      <c r="C1029" s="1" t="str">
        <f>IFERROR(__xludf.DUMMYFUNCTION("GOOGLETRANSLATE(A1029,""en"",""pt-br"")"),"desprezo")</f>
        <v>desprezo</v>
      </c>
      <c r="D1029" s="1" t="str">
        <f>IFERROR(__xludf.DUMMYFUNCTION("GOOGLETRANSLATE(B1029,""en"",""pt-br"")"),"negativo")</f>
        <v>negativo</v>
      </c>
    </row>
    <row r="1030" ht="15.75" customHeight="1">
      <c r="A1030" s="2" t="s">
        <v>1032</v>
      </c>
      <c r="B1030" s="2" t="s">
        <v>3</v>
      </c>
      <c r="C1030" s="1" t="str">
        <f>IFERROR(__xludf.DUMMYFUNCTION("GOOGLETRANSLATE(A1030,""en"",""pt-br"")"),"desprezível")</f>
        <v>desprezível</v>
      </c>
      <c r="D1030" s="1" t="str">
        <f>IFERROR(__xludf.DUMMYFUNCTION("GOOGLETRANSLATE(B1030,""en"",""pt-br"")"),"negativo")</f>
        <v>negativo</v>
      </c>
    </row>
    <row r="1031" ht="15.75" customHeight="1">
      <c r="A1031" s="2" t="s">
        <v>1033</v>
      </c>
      <c r="B1031" s="2" t="s">
        <v>3</v>
      </c>
      <c r="C1031" s="1" t="str">
        <f>IFERROR(__xludf.DUMMYFUNCTION("GOOGLETRANSLATE(A1031,""en"",""pt-br"")"),"desdenhoso")</f>
        <v>desdenhoso</v>
      </c>
      <c r="D1031" s="1" t="str">
        <f>IFERROR(__xludf.DUMMYFUNCTION("GOOGLETRANSLATE(B1031,""en"",""pt-br"")"),"negativo")</f>
        <v>negativo</v>
      </c>
    </row>
    <row r="1032" ht="15.75" customHeight="1">
      <c r="A1032" s="2" t="s">
        <v>1034</v>
      </c>
      <c r="B1032" s="2" t="s">
        <v>3</v>
      </c>
      <c r="C1032" s="1" t="str">
        <f>IFERROR(__xludf.DUMMYFUNCTION("GOOGLETRANSLATE(A1032,""en"",""pt-br"")"),"desdenhosamente")</f>
        <v>desdenhosamente</v>
      </c>
      <c r="D1032" s="1" t="str">
        <f>IFERROR(__xludf.DUMMYFUNCTION("GOOGLETRANSLATE(B1032,""en"",""pt-br"")"),"negativo")</f>
        <v>negativo</v>
      </c>
    </row>
    <row r="1033" ht="15.75" customHeight="1">
      <c r="A1033" s="2" t="s">
        <v>1035</v>
      </c>
      <c r="B1033" s="2" t="s">
        <v>3</v>
      </c>
      <c r="C1033" s="1" t="str">
        <f>IFERROR(__xludf.DUMMYFUNCTION("GOOGLETRANSLATE(A1033,""en"",""pt-br"")"),"competir")</f>
        <v>competir</v>
      </c>
      <c r="D1033" s="1" t="str">
        <f>IFERROR(__xludf.DUMMYFUNCTION("GOOGLETRANSLATE(B1033,""en"",""pt-br"")"),"negativo")</f>
        <v>negativo</v>
      </c>
    </row>
    <row r="1034" ht="15.75" customHeight="1">
      <c r="A1034" s="2" t="s">
        <v>1036</v>
      </c>
      <c r="B1034" s="2" t="s">
        <v>3</v>
      </c>
      <c r="C1034" s="1" t="str">
        <f>IFERROR(__xludf.DUMMYFUNCTION("GOOGLETRANSLATE(A1034,""en"",""pt-br"")"),"contenção")</f>
        <v>contenção</v>
      </c>
      <c r="D1034" s="1" t="str">
        <f>IFERROR(__xludf.DUMMYFUNCTION("GOOGLETRANSLATE(B1034,""en"",""pt-br"")"),"negativo")</f>
        <v>negativo</v>
      </c>
    </row>
    <row r="1035" ht="15.75" customHeight="1">
      <c r="A1035" s="2" t="s">
        <v>1037</v>
      </c>
      <c r="B1035" s="2" t="s">
        <v>3</v>
      </c>
      <c r="C1035" s="1" t="str">
        <f>IFERROR(__xludf.DUMMYFUNCTION("GOOGLETRANSLATE(A1035,""en"",""pt-br"")"),"contencioso")</f>
        <v>contencioso</v>
      </c>
      <c r="D1035" s="1" t="str">
        <f>IFERROR(__xludf.DUMMYFUNCTION("GOOGLETRANSLATE(B1035,""en"",""pt-br"")"),"negativo")</f>
        <v>negativo</v>
      </c>
    </row>
    <row r="1036" ht="15.75" customHeight="1">
      <c r="A1036" s="2" t="s">
        <v>1038</v>
      </c>
      <c r="B1036" s="2" t="s">
        <v>14</v>
      </c>
      <c r="C1036" s="1" t="str">
        <f>IFERROR(__xludf.DUMMYFUNCTION("GOOGLETRANSLATE(A1036,""en"",""pt-br"")"),"contentamento")</f>
        <v>contentamento</v>
      </c>
      <c r="D1036" s="1" t="str">
        <f>IFERROR(__xludf.DUMMYFUNCTION("GOOGLETRANSLATE(B1036,""en"",""pt-br"")"),"positivo")</f>
        <v>positivo</v>
      </c>
    </row>
    <row r="1037" ht="15.75" customHeight="1">
      <c r="A1037" s="2" t="s">
        <v>1039</v>
      </c>
      <c r="B1037" s="2" t="s">
        <v>14</v>
      </c>
      <c r="C1037" s="1" t="str">
        <f>IFERROR(__xludf.DUMMYFUNCTION("GOOGLETRANSLATE(A1037,""en"",""pt-br"")"),"continuidade")</f>
        <v>continuidade</v>
      </c>
      <c r="D1037" s="1" t="str">
        <f>IFERROR(__xludf.DUMMYFUNCTION("GOOGLETRANSLATE(B1037,""en"",""pt-br"")"),"positivo")</f>
        <v>positivo</v>
      </c>
    </row>
    <row r="1038" ht="15.75" customHeight="1">
      <c r="A1038" s="2" t="s">
        <v>1040</v>
      </c>
      <c r="B1038" s="2" t="s">
        <v>3</v>
      </c>
      <c r="C1038" s="1" t="str">
        <f>IFERROR(__xludf.DUMMYFUNCTION("GOOGLETRANSLATE(A1038,""en"",""pt-br"")"),"contorcer")</f>
        <v>contorcer</v>
      </c>
      <c r="D1038" s="1" t="str">
        <f>IFERROR(__xludf.DUMMYFUNCTION("GOOGLETRANSLATE(B1038,""en"",""pt-br"")"),"negativo")</f>
        <v>negativo</v>
      </c>
    </row>
    <row r="1039" ht="15.75" customHeight="1">
      <c r="A1039" s="2" t="s">
        <v>1041</v>
      </c>
      <c r="B1039" s="2" t="s">
        <v>3</v>
      </c>
      <c r="C1039" s="1" t="str">
        <f>IFERROR(__xludf.DUMMYFUNCTION("GOOGLETRANSLATE(A1039,""en"",""pt-br"")"),"contorções")</f>
        <v>contorções</v>
      </c>
      <c r="D1039" s="1" t="str">
        <f>IFERROR(__xludf.DUMMYFUNCTION("GOOGLETRANSLATE(B1039,""en"",""pt-br"")"),"negativo")</f>
        <v>negativo</v>
      </c>
    </row>
    <row r="1040" ht="15.75" customHeight="1">
      <c r="A1040" s="2" t="s">
        <v>1042</v>
      </c>
      <c r="B1040" s="2" t="s">
        <v>3</v>
      </c>
      <c r="C1040" s="1" t="str">
        <f>IFERROR(__xludf.DUMMYFUNCTION("GOOGLETRANSLATE(A1040,""en"",""pt-br"")"),"contraditório")</f>
        <v>contraditório</v>
      </c>
      <c r="D1040" s="1" t="str">
        <f>IFERROR(__xludf.DUMMYFUNCTION("GOOGLETRANSLATE(B1040,""en"",""pt-br"")"),"negativo")</f>
        <v>negativo</v>
      </c>
    </row>
    <row r="1041" ht="15.75" customHeight="1">
      <c r="A1041" s="2" t="s">
        <v>1043</v>
      </c>
      <c r="B1041" s="2" t="s">
        <v>3</v>
      </c>
      <c r="C1041" s="1" t="str">
        <f>IFERROR(__xludf.DUMMYFUNCTION("GOOGLETRANSLATE(A1041,""en"",""pt-br"")"),"contradição")</f>
        <v>contradição</v>
      </c>
      <c r="D1041" s="1" t="str">
        <f>IFERROR(__xludf.DUMMYFUNCTION("GOOGLETRANSLATE(B1041,""en"",""pt-br"")"),"negativo")</f>
        <v>negativo</v>
      </c>
    </row>
    <row r="1042" ht="15.75" customHeight="1">
      <c r="A1042" s="2" t="s">
        <v>1044</v>
      </c>
      <c r="B1042" s="2" t="s">
        <v>3</v>
      </c>
      <c r="C1042" s="1" t="str">
        <f>IFERROR(__xludf.DUMMYFUNCTION("GOOGLETRANSLATE(A1042,""en"",""pt-br"")"),"contraditório")</f>
        <v>contraditório</v>
      </c>
      <c r="D1042" s="1" t="str">
        <f>IFERROR(__xludf.DUMMYFUNCTION("GOOGLETRANSLATE(B1042,""en"",""pt-br"")"),"negativo")</f>
        <v>negativo</v>
      </c>
    </row>
    <row r="1043" ht="15.75" customHeight="1">
      <c r="A1043" s="2" t="s">
        <v>1045</v>
      </c>
      <c r="B1043" s="2" t="s">
        <v>3</v>
      </c>
      <c r="C1043" s="1" t="str">
        <f>IFERROR(__xludf.DUMMYFUNCTION("GOOGLETRANSLATE(A1043,""en"",""pt-br"")"),"contrariedade")</f>
        <v>contrariedade</v>
      </c>
      <c r="D1043" s="1" t="str">
        <f>IFERROR(__xludf.DUMMYFUNCTION("GOOGLETRANSLATE(B1043,""en"",""pt-br"")"),"negativo")</f>
        <v>negativo</v>
      </c>
    </row>
    <row r="1044" ht="15.75" customHeight="1">
      <c r="A1044" s="2" t="s">
        <v>1046</v>
      </c>
      <c r="B1044" s="2" t="s">
        <v>14</v>
      </c>
      <c r="C1044" s="1" t="str">
        <f>IFERROR(__xludf.DUMMYFUNCTION("GOOGLETRANSLATE(A1044,""en"",""pt-br"")"),"contrasty")</f>
        <v>contrasty</v>
      </c>
      <c r="D1044" s="1" t="str">
        <f>IFERROR(__xludf.DUMMYFUNCTION("GOOGLETRANSLATE(B1044,""en"",""pt-br"")"),"positivo")</f>
        <v>positivo</v>
      </c>
    </row>
    <row r="1045" ht="15.75" customHeight="1">
      <c r="A1045" s="2" t="s">
        <v>1047</v>
      </c>
      <c r="B1045" s="2" t="s">
        <v>3</v>
      </c>
      <c r="C1045" s="1" t="str">
        <f>IFERROR(__xludf.DUMMYFUNCTION("GOOGLETRANSLATE(A1045,""en"",""pt-br"")"),"infringir")</f>
        <v>infringir</v>
      </c>
      <c r="D1045" s="1" t="str">
        <f>IFERROR(__xludf.DUMMYFUNCTION("GOOGLETRANSLATE(B1045,""en"",""pt-br"")"),"negativo")</f>
        <v>negativo</v>
      </c>
    </row>
    <row r="1046" ht="15.75" customHeight="1">
      <c r="A1046" s="2" t="s">
        <v>1048</v>
      </c>
      <c r="B1046" s="2" t="s">
        <v>14</v>
      </c>
      <c r="C1046" s="1" t="str">
        <f>IFERROR(__xludf.DUMMYFUNCTION("GOOGLETRANSLATE(A1046,""en"",""pt-br"")"),"contribuição")</f>
        <v>contribuição</v>
      </c>
      <c r="D1046" s="1" t="str">
        <f>IFERROR(__xludf.DUMMYFUNCTION("GOOGLETRANSLATE(B1046,""en"",""pt-br"")"),"positivo")</f>
        <v>positivo</v>
      </c>
    </row>
    <row r="1047" ht="15.75" customHeight="1">
      <c r="A1047" s="2" t="s">
        <v>1049</v>
      </c>
      <c r="B1047" s="2" t="s">
        <v>3</v>
      </c>
      <c r="C1047" s="1" t="str">
        <f>IFERROR(__xludf.DUMMYFUNCTION("GOOGLETRANSLATE(A1047,""en"",""pt-br"")"),"contrive")</f>
        <v>contrive</v>
      </c>
      <c r="D1047" s="1" t="str">
        <f>IFERROR(__xludf.DUMMYFUNCTION("GOOGLETRANSLATE(B1047,""en"",""pt-br"")"),"negativo")</f>
        <v>negativo</v>
      </c>
    </row>
    <row r="1048" ht="15.75" customHeight="1">
      <c r="A1048" s="2" t="s">
        <v>1050</v>
      </c>
      <c r="B1048" s="2" t="s">
        <v>3</v>
      </c>
      <c r="C1048" s="1" t="str">
        <f>IFERROR(__xludf.DUMMYFUNCTION("GOOGLETRANSLATE(A1048,""en"",""pt-br"")"),"artificial")</f>
        <v>artificial</v>
      </c>
      <c r="D1048" s="1" t="str">
        <f>IFERROR(__xludf.DUMMYFUNCTION("GOOGLETRANSLATE(B1048,""en"",""pt-br"")"),"negativo")</f>
        <v>negativo</v>
      </c>
    </row>
    <row r="1049" ht="15.75" customHeight="1">
      <c r="A1049" s="2" t="s">
        <v>1051</v>
      </c>
      <c r="B1049" s="2" t="s">
        <v>3</v>
      </c>
      <c r="C1049" s="1" t="str">
        <f>IFERROR(__xludf.DUMMYFUNCTION("GOOGLETRANSLATE(A1049,""en"",""pt-br"")"),"controverso")</f>
        <v>controverso</v>
      </c>
      <c r="D1049" s="1" t="str">
        <f>IFERROR(__xludf.DUMMYFUNCTION("GOOGLETRANSLATE(B1049,""en"",""pt-br"")"),"negativo")</f>
        <v>negativo</v>
      </c>
    </row>
    <row r="1050" ht="15.75" customHeight="1">
      <c r="A1050" s="2" t="s">
        <v>1052</v>
      </c>
      <c r="B1050" s="2" t="s">
        <v>3</v>
      </c>
      <c r="C1050" s="1" t="str">
        <f>IFERROR(__xludf.DUMMYFUNCTION("GOOGLETRANSLATE(A1050,""en"",""pt-br"")"),"controvérsia")</f>
        <v>controvérsia</v>
      </c>
      <c r="D1050" s="1" t="str">
        <f>IFERROR(__xludf.DUMMYFUNCTION("GOOGLETRANSLATE(B1050,""en"",""pt-br"")"),"negativo")</f>
        <v>negativo</v>
      </c>
    </row>
    <row r="1051" ht="15.75" customHeight="1">
      <c r="A1051" s="2" t="s">
        <v>1053</v>
      </c>
      <c r="B1051" s="2" t="s">
        <v>14</v>
      </c>
      <c r="C1051" s="1" t="str">
        <f>IFERROR(__xludf.DUMMYFUNCTION("GOOGLETRANSLATE(A1051,""en"",""pt-br"")"),"conveniência")</f>
        <v>conveniência</v>
      </c>
      <c r="D1051" s="1" t="str">
        <f>IFERROR(__xludf.DUMMYFUNCTION("GOOGLETRANSLATE(B1051,""en"",""pt-br"")"),"positivo")</f>
        <v>positivo</v>
      </c>
    </row>
    <row r="1052" ht="15.75" customHeight="1">
      <c r="A1052" s="2" t="s">
        <v>1054</v>
      </c>
      <c r="B1052" s="2" t="s">
        <v>14</v>
      </c>
      <c r="C1052" s="1" t="str">
        <f>IFERROR(__xludf.DUMMYFUNCTION("GOOGLETRANSLATE(A1052,""en"",""pt-br"")"),"conveniente")</f>
        <v>conveniente</v>
      </c>
      <c r="D1052" s="1" t="str">
        <f>IFERROR(__xludf.DUMMYFUNCTION("GOOGLETRANSLATE(B1052,""en"",""pt-br"")"),"positivo")</f>
        <v>positivo</v>
      </c>
    </row>
    <row r="1053" ht="15.75" customHeight="1">
      <c r="A1053" s="2" t="s">
        <v>1055</v>
      </c>
      <c r="B1053" s="2" t="s">
        <v>14</v>
      </c>
      <c r="C1053" s="1" t="str">
        <f>IFERROR(__xludf.DUMMYFUNCTION("GOOGLETRANSLATE(A1053,""en"",""pt-br"")"),"convenientemente")</f>
        <v>convenientemente</v>
      </c>
      <c r="D1053" s="1" t="str">
        <f>IFERROR(__xludf.DUMMYFUNCTION("GOOGLETRANSLATE(B1053,""en"",""pt-br"")"),"positivo")</f>
        <v>positivo</v>
      </c>
    </row>
    <row r="1054" ht="15.75" customHeight="1">
      <c r="A1054" s="2" t="s">
        <v>1056</v>
      </c>
      <c r="B1054" s="2" t="s">
        <v>14</v>
      </c>
      <c r="C1054" s="1" t="str">
        <f>IFERROR(__xludf.DUMMYFUNCTION("GOOGLETRANSLATE(A1054,""en"",""pt-br"")"),"convience")</f>
        <v>convience</v>
      </c>
      <c r="D1054" s="1" t="str">
        <f>IFERROR(__xludf.DUMMYFUNCTION("GOOGLETRANSLATE(B1054,""en"",""pt-br"")"),"positivo")</f>
        <v>positivo</v>
      </c>
    </row>
    <row r="1055" ht="15.75" customHeight="1">
      <c r="A1055" s="2" t="s">
        <v>1057</v>
      </c>
      <c r="B1055" s="2" t="s">
        <v>14</v>
      </c>
      <c r="C1055" s="1" t="str">
        <f>IFERROR(__xludf.DUMMYFUNCTION("GOOGLETRANSLATE(A1055,""en"",""pt-br"")"),"convienient")</f>
        <v>convienient</v>
      </c>
      <c r="D1055" s="1" t="str">
        <f>IFERROR(__xludf.DUMMYFUNCTION("GOOGLETRANSLATE(B1055,""en"",""pt-br"")"),"positivo")</f>
        <v>positivo</v>
      </c>
    </row>
    <row r="1056" ht="15.75" customHeight="1">
      <c r="A1056" s="2" t="s">
        <v>1058</v>
      </c>
      <c r="B1056" s="2" t="s">
        <v>14</v>
      </c>
      <c r="C1056" s="1" t="str">
        <f>IFERROR(__xludf.DUMMYFUNCTION("GOOGLETRANSLATE(A1056,""en"",""pt-br"")"),"convient")</f>
        <v>convient</v>
      </c>
      <c r="D1056" s="1" t="str">
        <f>IFERROR(__xludf.DUMMYFUNCTION("GOOGLETRANSLATE(B1056,""en"",""pt-br"")"),"positivo")</f>
        <v>positivo</v>
      </c>
    </row>
    <row r="1057" ht="15.75" customHeight="1">
      <c r="A1057" s="2" t="s">
        <v>1059</v>
      </c>
      <c r="B1057" s="2" t="s">
        <v>14</v>
      </c>
      <c r="C1057" s="1" t="str">
        <f>IFERROR(__xludf.DUMMYFUNCTION("GOOGLETRANSLATE(A1057,""en"",""pt-br"")"),"convincente")</f>
        <v>convincente</v>
      </c>
      <c r="D1057" s="1" t="str">
        <f>IFERROR(__xludf.DUMMYFUNCTION("GOOGLETRANSLATE(B1057,""en"",""pt-br"")"),"positivo")</f>
        <v>positivo</v>
      </c>
    </row>
    <row r="1058" ht="15.75" customHeight="1">
      <c r="A1058" s="2" t="s">
        <v>1060</v>
      </c>
      <c r="B1058" s="2" t="s">
        <v>14</v>
      </c>
      <c r="C1058" s="1" t="str">
        <f>IFERROR(__xludf.DUMMYFUNCTION("GOOGLETRANSLATE(A1058,""en"",""pt-br"")"),"convincentemente")</f>
        <v>convincentemente</v>
      </c>
      <c r="D1058" s="1" t="str">
        <f>IFERROR(__xludf.DUMMYFUNCTION("GOOGLETRANSLATE(B1058,""en"",""pt-br"")"),"positivo")</f>
        <v>positivo</v>
      </c>
    </row>
    <row r="1059" ht="15.75" customHeight="1">
      <c r="A1059" s="2" t="s">
        <v>1061</v>
      </c>
      <c r="B1059" s="2" t="s">
        <v>3</v>
      </c>
      <c r="C1059" s="1" t="str">
        <f>IFERROR(__xludf.DUMMYFUNCTION("GOOGLETRANSLATE(A1059,""en"",""pt-br"")"),"circinal")</f>
        <v>circinal</v>
      </c>
      <c r="D1059" s="1" t="str">
        <f>IFERROR(__xludf.DUMMYFUNCTION("GOOGLETRANSLATE(B1059,""en"",""pt-br"")"),"negativo")</f>
        <v>negativo</v>
      </c>
    </row>
    <row r="1060" ht="15.75" customHeight="1">
      <c r="A1060" s="2" t="s">
        <v>1062</v>
      </c>
      <c r="B1060" s="2" t="s">
        <v>14</v>
      </c>
      <c r="C1060" s="1" t="str">
        <f>IFERROR(__xludf.DUMMYFUNCTION("GOOGLETRANSLATE(A1060,""en"",""pt-br"")"),"legal")</f>
        <v>legal</v>
      </c>
      <c r="D1060" s="1" t="str">
        <f>IFERROR(__xludf.DUMMYFUNCTION("GOOGLETRANSLATE(B1060,""en"",""pt-br"")"),"positivo")</f>
        <v>positivo</v>
      </c>
    </row>
    <row r="1061" ht="15.75" customHeight="1">
      <c r="A1061" s="2" t="s">
        <v>1063</v>
      </c>
      <c r="B1061" s="2" t="s">
        <v>14</v>
      </c>
      <c r="C1061" s="1" t="str">
        <f>IFERROR(__xludf.DUMMYFUNCTION("GOOGLETRANSLATE(A1061,""en"",""pt-br"")"),"mais legal")</f>
        <v>mais legal</v>
      </c>
      <c r="D1061" s="1" t="str">
        <f>IFERROR(__xludf.DUMMYFUNCTION("GOOGLETRANSLATE(B1061,""en"",""pt-br"")"),"positivo")</f>
        <v>positivo</v>
      </c>
    </row>
    <row r="1062" ht="15.75" customHeight="1">
      <c r="A1062" s="2" t="s">
        <v>1064</v>
      </c>
      <c r="B1062" s="2" t="s">
        <v>14</v>
      </c>
      <c r="C1062" s="1" t="str">
        <f>IFERROR(__xludf.DUMMYFUNCTION("GOOGLETRANSLATE(A1062,""en"",""pt-br"")"),"cooperativo")</f>
        <v>cooperativo</v>
      </c>
      <c r="D1062" s="1" t="str">
        <f>IFERROR(__xludf.DUMMYFUNCTION("GOOGLETRANSLATE(B1062,""en"",""pt-br"")"),"positivo")</f>
        <v>positivo</v>
      </c>
    </row>
    <row r="1063" ht="15.75" customHeight="1">
      <c r="A1063" s="2" t="s">
        <v>1065</v>
      </c>
      <c r="B1063" s="2" t="s">
        <v>14</v>
      </c>
      <c r="C1063" s="1" t="str">
        <f>IFERROR(__xludf.DUMMYFUNCTION("GOOGLETRANSLATE(A1063,""en"",""pt-br"")"),"cooperativamente")</f>
        <v>cooperativamente</v>
      </c>
      <c r="D1063" s="1" t="str">
        <f>IFERROR(__xludf.DUMMYFUNCTION("GOOGLETRANSLATE(B1063,""en"",""pt-br"")"),"positivo")</f>
        <v>positivo</v>
      </c>
    </row>
    <row r="1064" ht="15.75" customHeight="1">
      <c r="A1064" s="2" t="s">
        <v>1066</v>
      </c>
      <c r="B1064" s="2" t="s">
        <v>14</v>
      </c>
      <c r="C1064" s="1" t="str">
        <f>IFERROR(__xludf.DUMMYFUNCTION("GOOGLETRANSLATE(A1064,""en"",""pt-br"")"),"Pilar")</f>
        <v>Pilar</v>
      </c>
      <c r="D1064" s="1" t="str">
        <f>IFERROR(__xludf.DUMMYFUNCTION("GOOGLETRANSLATE(B1064,""en"",""pt-br"")"),"positivo")</f>
        <v>positivo</v>
      </c>
    </row>
    <row r="1065" ht="15.75" customHeight="1">
      <c r="A1065" s="2" t="s">
        <v>1067</v>
      </c>
      <c r="B1065" s="2" t="s">
        <v>14</v>
      </c>
      <c r="C1065" s="1" t="str">
        <f>IFERROR(__xludf.DUMMYFUNCTION("GOOGLETRANSLATE(A1065,""en"",""pt-br"")"),"corrigir")</f>
        <v>corrigir</v>
      </c>
      <c r="D1065" s="1" t="str">
        <f>IFERROR(__xludf.DUMMYFUNCTION("GOOGLETRANSLATE(B1065,""en"",""pt-br"")"),"positivo")</f>
        <v>positivo</v>
      </c>
    </row>
    <row r="1066" ht="15.75" customHeight="1">
      <c r="A1066" s="2" t="s">
        <v>1068</v>
      </c>
      <c r="B1066" s="2" t="s">
        <v>14</v>
      </c>
      <c r="C1066" s="1" t="str">
        <f>IFERROR(__xludf.DUMMYFUNCTION("GOOGLETRANSLATE(A1066,""en"",""pt-br"")"),"corretamente")</f>
        <v>corretamente</v>
      </c>
      <c r="D1066" s="1" t="str">
        <f>IFERROR(__xludf.DUMMYFUNCTION("GOOGLETRANSLATE(B1066,""en"",""pt-br"")"),"positivo")</f>
        <v>positivo</v>
      </c>
    </row>
    <row r="1067" ht="15.75" customHeight="1">
      <c r="A1067" s="2" t="s">
        <v>1069</v>
      </c>
      <c r="B1067" s="2" t="s">
        <v>3</v>
      </c>
      <c r="C1067" s="1" t="str">
        <f>IFERROR(__xludf.DUMMYFUNCTION("GOOGLETRANSLATE(A1067,""en"",""pt-br"")"),"corroer")</f>
        <v>corroer</v>
      </c>
      <c r="D1067" s="1" t="str">
        <f>IFERROR(__xludf.DUMMYFUNCTION("GOOGLETRANSLATE(B1067,""en"",""pt-br"")"),"negativo")</f>
        <v>negativo</v>
      </c>
    </row>
    <row r="1068" ht="15.75" customHeight="1">
      <c r="A1068" s="2" t="s">
        <v>1070</v>
      </c>
      <c r="B1068" s="2" t="s">
        <v>3</v>
      </c>
      <c r="C1068" s="1" t="str">
        <f>IFERROR(__xludf.DUMMYFUNCTION("GOOGLETRANSLATE(A1068,""en"",""pt-br"")"),"corrosão")</f>
        <v>corrosão</v>
      </c>
      <c r="D1068" s="1" t="str">
        <f>IFERROR(__xludf.DUMMYFUNCTION("GOOGLETRANSLATE(B1068,""en"",""pt-br"")"),"negativo")</f>
        <v>negativo</v>
      </c>
    </row>
    <row r="1069" ht="15.75" customHeight="1">
      <c r="A1069" s="2" t="s">
        <v>1071</v>
      </c>
      <c r="B1069" s="2" t="s">
        <v>3</v>
      </c>
      <c r="C1069" s="1" t="str">
        <f>IFERROR(__xludf.DUMMYFUNCTION("GOOGLETRANSLATE(A1069,""en"",""pt-br"")"),"corrosões")</f>
        <v>corrosões</v>
      </c>
      <c r="D1069" s="1" t="str">
        <f>IFERROR(__xludf.DUMMYFUNCTION("GOOGLETRANSLATE(B1069,""en"",""pt-br"")"),"negativo")</f>
        <v>negativo</v>
      </c>
    </row>
    <row r="1070" ht="15.75" customHeight="1">
      <c r="A1070" s="2" t="s">
        <v>1072</v>
      </c>
      <c r="B1070" s="2" t="s">
        <v>3</v>
      </c>
      <c r="C1070" s="1" t="str">
        <f>IFERROR(__xludf.DUMMYFUNCTION("GOOGLETRANSLATE(A1070,""en"",""pt-br"")"),"corrosivo")</f>
        <v>corrosivo</v>
      </c>
      <c r="D1070" s="1" t="str">
        <f>IFERROR(__xludf.DUMMYFUNCTION("GOOGLETRANSLATE(B1070,""en"",""pt-br"")"),"negativo")</f>
        <v>negativo</v>
      </c>
    </row>
    <row r="1071" ht="15.75" customHeight="1">
      <c r="A1071" s="2" t="s">
        <v>1073</v>
      </c>
      <c r="B1071" s="2" t="s">
        <v>3</v>
      </c>
      <c r="C1071" s="1" t="str">
        <f>IFERROR(__xludf.DUMMYFUNCTION("GOOGLETRANSLATE(A1071,""en"",""pt-br"")"),"corrupto")</f>
        <v>corrupto</v>
      </c>
      <c r="D1071" s="1" t="str">
        <f>IFERROR(__xludf.DUMMYFUNCTION("GOOGLETRANSLATE(B1071,""en"",""pt-br"")"),"negativo")</f>
        <v>negativo</v>
      </c>
    </row>
    <row r="1072" ht="15.75" customHeight="1">
      <c r="A1072" s="2" t="s">
        <v>1074</v>
      </c>
      <c r="B1072" s="2" t="s">
        <v>3</v>
      </c>
      <c r="C1072" s="1" t="str">
        <f>IFERROR(__xludf.DUMMYFUNCTION("GOOGLETRANSLATE(A1072,""en"",""pt-br"")"),"corrompido")</f>
        <v>corrompido</v>
      </c>
      <c r="D1072" s="1" t="str">
        <f>IFERROR(__xludf.DUMMYFUNCTION("GOOGLETRANSLATE(B1072,""en"",""pt-br"")"),"negativo")</f>
        <v>negativo</v>
      </c>
    </row>
    <row r="1073" ht="15.75" customHeight="1">
      <c r="A1073" s="2" t="s">
        <v>1075</v>
      </c>
      <c r="B1073" s="2" t="s">
        <v>3</v>
      </c>
      <c r="C1073" s="1" t="str">
        <f>IFERROR(__xludf.DUMMYFUNCTION("GOOGLETRANSLATE(A1073,""en"",""pt-br"")"),"corrompendo")</f>
        <v>corrompendo</v>
      </c>
      <c r="D1073" s="1" t="str">
        <f>IFERROR(__xludf.DUMMYFUNCTION("GOOGLETRANSLATE(B1073,""en"",""pt-br"")"),"negativo")</f>
        <v>negativo</v>
      </c>
    </row>
    <row r="1074" ht="15.75" customHeight="1">
      <c r="A1074" s="2" t="s">
        <v>1076</v>
      </c>
      <c r="B1074" s="2" t="s">
        <v>3</v>
      </c>
      <c r="C1074" s="1" t="str">
        <f>IFERROR(__xludf.DUMMYFUNCTION("GOOGLETRANSLATE(A1074,""en"",""pt-br"")"),"corrupção")</f>
        <v>corrupção</v>
      </c>
      <c r="D1074" s="1" t="str">
        <f>IFERROR(__xludf.DUMMYFUNCTION("GOOGLETRANSLATE(B1074,""en"",""pt-br"")"),"negativo")</f>
        <v>negativo</v>
      </c>
    </row>
    <row r="1075" ht="15.75" customHeight="1">
      <c r="A1075" s="2" t="s">
        <v>1077</v>
      </c>
      <c r="B1075" s="2" t="s">
        <v>3</v>
      </c>
      <c r="C1075" s="1" t="str">
        <f>IFERROR(__xludf.DUMMYFUNCTION("GOOGLETRANSLATE(A1075,""en"",""pt-br"")"),"corrompe")</f>
        <v>corrompe</v>
      </c>
      <c r="D1075" s="1" t="str">
        <f>IFERROR(__xludf.DUMMYFUNCTION("GOOGLETRANSLATE(B1075,""en"",""pt-br"")"),"negativo")</f>
        <v>negativo</v>
      </c>
    </row>
    <row r="1076" ht="15.75" customHeight="1">
      <c r="A1076" s="2" t="s">
        <v>1078</v>
      </c>
      <c r="B1076" s="2" t="s">
        <v>3</v>
      </c>
      <c r="C1076" s="1" t="str">
        <f>IFERROR(__xludf.DUMMYFUNCTION("GOOGLETRANSLATE(A1076,""en"",""pt-br"")"),"corruptted")</f>
        <v>corruptted</v>
      </c>
      <c r="D1076" s="1" t="str">
        <f>IFERROR(__xludf.DUMMYFUNCTION("GOOGLETRANSLATE(B1076,""en"",""pt-br"")"),"negativo")</f>
        <v>negativo</v>
      </c>
    </row>
    <row r="1077" ht="15.75" customHeight="1">
      <c r="A1077" s="2" t="s">
        <v>1079</v>
      </c>
      <c r="B1077" s="2" t="s">
        <v>14</v>
      </c>
      <c r="C1077" s="1" t="str">
        <f>IFERROR(__xludf.DUMMYFUNCTION("GOOGLETRANSLATE(A1077,""en"",""pt-br"")"),"custo-beneficio")</f>
        <v>custo-beneficio</v>
      </c>
      <c r="D1077" s="1" t="str">
        <f>IFERROR(__xludf.DUMMYFUNCTION("GOOGLETRANSLATE(B1077,""en"",""pt-br"")"),"positivo")</f>
        <v>positivo</v>
      </c>
    </row>
    <row r="1078" ht="15.75" customHeight="1">
      <c r="A1078" s="2" t="s">
        <v>1080</v>
      </c>
      <c r="B1078" s="2" t="s">
        <v>14</v>
      </c>
      <c r="C1078" s="1" t="str">
        <f>IFERROR(__xludf.DUMMYFUNCTION("GOOGLETRANSLATE(A1078,""en"",""pt-br"")"),"economia de custo")</f>
        <v>economia de custo</v>
      </c>
      <c r="D1078" s="1" t="str">
        <f>IFERROR(__xludf.DUMMYFUNCTION("GOOGLETRANSLATE(B1078,""en"",""pt-br"")"),"positivo")</f>
        <v>positivo</v>
      </c>
    </row>
    <row r="1079" ht="15.75" customHeight="1">
      <c r="A1079" s="2" t="s">
        <v>1081</v>
      </c>
      <c r="B1079" s="2" t="s">
        <v>3</v>
      </c>
      <c r="C1079" s="1" t="str">
        <f>IFERROR(__xludf.DUMMYFUNCTION("GOOGLETRANSLATE(A1079,""en"",""pt-br"")"),"mais caro")</f>
        <v>mais caro</v>
      </c>
      <c r="D1079" s="1" t="str">
        <f>IFERROR(__xludf.DUMMYFUNCTION("GOOGLETRANSLATE(B1079,""en"",""pt-br"")"),"negativo")</f>
        <v>negativo</v>
      </c>
    </row>
    <row r="1080" ht="15.75" customHeight="1">
      <c r="A1080" s="2" t="s">
        <v>1082</v>
      </c>
      <c r="B1080" s="2" t="s">
        <v>3</v>
      </c>
      <c r="C1080" s="1" t="str">
        <f>IFERROR(__xludf.DUMMYFUNCTION("GOOGLETRANSLATE(A1080,""en"",""pt-br"")"),"dispendioso")</f>
        <v>dispendioso</v>
      </c>
      <c r="D1080" s="1" t="str">
        <f>IFERROR(__xludf.DUMMYFUNCTION("GOOGLETRANSLATE(B1080,""en"",""pt-br"")"),"negativo")</f>
        <v>negativo</v>
      </c>
    </row>
    <row r="1081" ht="15.75" customHeight="1">
      <c r="A1081" s="2" t="s">
        <v>1083</v>
      </c>
      <c r="B1081" s="2" t="s">
        <v>14</v>
      </c>
      <c r="C1081" s="1" t="str">
        <f>IFERROR(__xludf.DUMMYFUNCTION("GOOGLETRANSLATE(A1081,""en"",""pt-br"")"),"contra ataque")</f>
        <v>contra ataque</v>
      </c>
      <c r="D1081" s="1" t="str">
        <f>IFERROR(__xludf.DUMMYFUNCTION("GOOGLETRANSLATE(B1081,""en"",""pt-br"")"),"positivo")</f>
        <v>positivo</v>
      </c>
    </row>
    <row r="1082" ht="15.75" customHeight="1">
      <c r="A1082" s="2" t="s">
        <v>1084</v>
      </c>
      <c r="B1082" s="2" t="s">
        <v>14</v>
      </c>
      <c r="C1082" s="1" t="str">
        <f>IFERROR(__xludf.DUMMYFUNCTION("GOOGLETRANSLATE(A1082,""en"",""pt-br"")"),"contra-ataques")</f>
        <v>contra-ataques</v>
      </c>
      <c r="D1082" s="1" t="str">
        <f>IFERROR(__xludf.DUMMYFUNCTION("GOOGLETRANSLATE(B1082,""en"",""pt-br"")"),"positivo")</f>
        <v>positivo</v>
      </c>
    </row>
    <row r="1083" ht="15.75" customHeight="1">
      <c r="A1083" s="2" t="s">
        <v>1085</v>
      </c>
      <c r="B1083" s="2" t="s">
        <v>3</v>
      </c>
      <c r="C1083" s="1" t="str">
        <f>IFERROR(__xludf.DUMMYFUNCTION("GOOGLETRANSLATE(A1083,""en"",""pt-br"")"),"contraproducente")</f>
        <v>contraproducente</v>
      </c>
      <c r="D1083" s="1" t="str">
        <f>IFERROR(__xludf.DUMMYFUNCTION("GOOGLETRANSLATE(B1083,""en"",""pt-br"")"),"negativo")</f>
        <v>negativo</v>
      </c>
    </row>
    <row r="1084" ht="15.75" customHeight="1">
      <c r="A1084" s="2" t="s">
        <v>1086</v>
      </c>
      <c r="B1084" s="2" t="s">
        <v>3</v>
      </c>
      <c r="C1084" s="1" t="str">
        <f>IFERROR(__xludf.DUMMYFUNCTION("GOOGLETRANSLATE(A1084,""en"",""pt-br"")"),"contraproducente")</f>
        <v>contraproducente</v>
      </c>
      <c r="D1084" s="1" t="str">
        <f>IFERROR(__xludf.DUMMYFUNCTION("GOOGLETRANSLATE(B1084,""en"",""pt-br"")"),"negativo")</f>
        <v>negativo</v>
      </c>
    </row>
    <row r="1085" ht="15.75" customHeight="1">
      <c r="A1085" s="2" t="s">
        <v>1087</v>
      </c>
      <c r="B1085" s="2" t="s">
        <v>3</v>
      </c>
      <c r="C1085" s="1" t="str">
        <f>IFERROR(__xludf.DUMMYFUNCTION("GOOGLETRANSLATE(A1085,""en"",""pt-br"")"),"golpistas")</f>
        <v>golpistas</v>
      </c>
      <c r="D1085" s="1" t="str">
        <f>IFERROR(__xludf.DUMMYFUNCTION("GOOGLETRANSLATE(B1085,""en"",""pt-br"")"),"negativo")</f>
        <v>negativo</v>
      </c>
    </row>
    <row r="1086" ht="15.75" customHeight="1">
      <c r="A1086" s="2" t="s">
        <v>1088</v>
      </c>
      <c r="B1086" s="2" t="s">
        <v>14</v>
      </c>
      <c r="C1086" s="1" t="str">
        <f>IFERROR(__xludf.DUMMYFUNCTION("GOOGLETRANSLATE(A1086,""en"",""pt-br"")"),"coragem")</f>
        <v>coragem</v>
      </c>
      <c r="D1086" s="1" t="str">
        <f>IFERROR(__xludf.DUMMYFUNCTION("GOOGLETRANSLATE(B1086,""en"",""pt-br"")"),"positivo")</f>
        <v>positivo</v>
      </c>
    </row>
    <row r="1087" ht="15.75" customHeight="1">
      <c r="A1087" s="2" t="s">
        <v>1089</v>
      </c>
      <c r="B1087" s="2" t="s">
        <v>14</v>
      </c>
      <c r="C1087" s="1" t="str">
        <f>IFERROR(__xludf.DUMMYFUNCTION("GOOGLETRANSLATE(A1087,""en"",""pt-br"")"),"corajoso")</f>
        <v>corajoso</v>
      </c>
      <c r="D1087" s="1" t="str">
        <f>IFERROR(__xludf.DUMMYFUNCTION("GOOGLETRANSLATE(B1087,""en"",""pt-br"")"),"positivo")</f>
        <v>positivo</v>
      </c>
    </row>
    <row r="1088" ht="15.75" customHeight="1">
      <c r="A1088" s="2" t="s">
        <v>1090</v>
      </c>
      <c r="B1088" s="2" t="s">
        <v>14</v>
      </c>
      <c r="C1088" s="1" t="str">
        <f>IFERROR(__xludf.DUMMYFUNCTION("GOOGLETRANSLATE(A1088,""en"",""pt-br"")"),"corajosamente")</f>
        <v>corajosamente</v>
      </c>
      <c r="D1088" s="1" t="str">
        <f>IFERROR(__xludf.DUMMYFUNCTION("GOOGLETRANSLATE(B1088,""en"",""pt-br"")"),"positivo")</f>
        <v>positivo</v>
      </c>
    </row>
    <row r="1089" ht="15.75" customHeight="1">
      <c r="A1089" s="2" t="s">
        <v>1091</v>
      </c>
      <c r="B1089" s="2" t="s">
        <v>14</v>
      </c>
      <c r="C1089" s="1" t="str">
        <f>IFERROR(__xludf.DUMMYFUNCTION("GOOGLETRANSLATE(A1089,""en"",""pt-br"")"),"courageousness")</f>
        <v>courageousness</v>
      </c>
      <c r="D1089" s="1" t="str">
        <f>IFERROR(__xludf.DUMMYFUNCTION("GOOGLETRANSLATE(B1089,""en"",""pt-br"")"),"positivo")</f>
        <v>positivo</v>
      </c>
    </row>
    <row r="1090" ht="15.75" customHeight="1">
      <c r="A1090" s="2" t="s">
        <v>1092</v>
      </c>
      <c r="B1090" s="2" t="s">
        <v>14</v>
      </c>
      <c r="C1090" s="1" t="str">
        <f>IFERROR(__xludf.DUMMYFUNCTION("GOOGLETRANSLATE(A1090,""en"",""pt-br"")"),"cortês")</f>
        <v>cortês</v>
      </c>
      <c r="D1090" s="1" t="str">
        <f>IFERROR(__xludf.DUMMYFUNCTION("GOOGLETRANSLATE(B1090,""en"",""pt-br"")"),"positivo")</f>
        <v>positivo</v>
      </c>
    </row>
    <row r="1091" ht="15.75" customHeight="1">
      <c r="A1091" s="2" t="s">
        <v>1093</v>
      </c>
      <c r="B1091" s="2" t="s">
        <v>14</v>
      </c>
      <c r="C1091" s="1" t="str">
        <f>IFERROR(__xludf.DUMMYFUNCTION("GOOGLETRANSLATE(A1091,""en"",""pt-br"")"),"polido")</f>
        <v>polido</v>
      </c>
      <c r="D1091" s="1" t="str">
        <f>IFERROR(__xludf.DUMMYFUNCTION("GOOGLETRANSLATE(B1091,""en"",""pt-br"")"),"positivo")</f>
        <v>positivo</v>
      </c>
    </row>
    <row r="1092" ht="15.75" customHeight="1">
      <c r="A1092" s="2" t="s">
        <v>1094</v>
      </c>
      <c r="B1092" s="2" t="s">
        <v>14</v>
      </c>
      <c r="C1092" s="1" t="str">
        <f>IFERROR(__xludf.DUMMYFUNCTION("GOOGLETRANSLATE(A1092,""en"",""pt-br"")"),"pacto")</f>
        <v>pacto</v>
      </c>
      <c r="D1092" s="1" t="str">
        <f>IFERROR(__xludf.DUMMYFUNCTION("GOOGLETRANSLATE(B1092,""en"",""pt-br"")"),"positivo")</f>
        <v>positivo</v>
      </c>
    </row>
    <row r="1093" ht="15.75" customHeight="1">
      <c r="A1093" s="2" t="s">
        <v>1095</v>
      </c>
      <c r="B1093" s="2" t="s">
        <v>3</v>
      </c>
      <c r="C1093" s="1" t="str">
        <f>IFERROR(__xludf.DUMMYFUNCTION("GOOGLETRANSLATE(A1093,""en"",""pt-br"")"),"cobiçoso")</f>
        <v>cobiçoso</v>
      </c>
      <c r="D1093" s="1" t="str">
        <f>IFERROR(__xludf.DUMMYFUNCTION("GOOGLETRANSLATE(B1093,""en"",""pt-br"")"),"negativo")</f>
        <v>negativo</v>
      </c>
    </row>
    <row r="1094" ht="15.75" customHeight="1">
      <c r="A1094" s="2" t="s">
        <v>1096</v>
      </c>
      <c r="B1094" s="2" t="s">
        <v>3</v>
      </c>
      <c r="C1094" s="1" t="str">
        <f>IFERROR(__xludf.DUMMYFUNCTION("GOOGLETRANSLATE(A1094,""en"",""pt-br"")"),"covarde")</f>
        <v>covarde</v>
      </c>
      <c r="D1094" s="1" t="str">
        <f>IFERROR(__xludf.DUMMYFUNCTION("GOOGLETRANSLATE(B1094,""en"",""pt-br"")"),"negativo")</f>
        <v>negativo</v>
      </c>
    </row>
    <row r="1095" ht="15.75" customHeight="1">
      <c r="A1095" s="2" t="s">
        <v>1097</v>
      </c>
      <c r="B1095" s="2" t="s">
        <v>3</v>
      </c>
      <c r="C1095" s="1" t="str">
        <f>IFERROR(__xludf.DUMMYFUNCTION("GOOGLETRANSLATE(A1095,""en"",""pt-br"")"),"covardemente")</f>
        <v>covardemente</v>
      </c>
      <c r="D1095" s="1" t="str">
        <f>IFERROR(__xludf.DUMMYFUNCTION("GOOGLETRANSLATE(B1095,""en"",""pt-br"")"),"negativo")</f>
        <v>negativo</v>
      </c>
    </row>
    <row r="1096" ht="15.75" customHeight="1">
      <c r="A1096" s="2" t="s">
        <v>1098</v>
      </c>
      <c r="B1096" s="2" t="s">
        <v>14</v>
      </c>
      <c r="C1096" s="1" t="str">
        <f>IFERROR(__xludf.DUMMYFUNCTION("GOOGLETRANSLATE(A1096,""en"",""pt-br"")"),"acolhedor")</f>
        <v>acolhedor</v>
      </c>
      <c r="D1096" s="1" t="str">
        <f>IFERROR(__xludf.DUMMYFUNCTION("GOOGLETRANSLATE(B1096,""en"",""pt-br"")"),"positivo")</f>
        <v>positivo</v>
      </c>
    </row>
    <row r="1097" ht="15.75" customHeight="1">
      <c r="A1097" s="2" t="s">
        <v>1099</v>
      </c>
      <c r="B1097" s="2" t="s">
        <v>3</v>
      </c>
      <c r="C1097" s="1" t="str">
        <f>IFERROR(__xludf.DUMMYFUNCTION("GOOGLETRANSLATE(A1097,""en"",""pt-br"")"),"ranzinza")</f>
        <v>ranzinza</v>
      </c>
      <c r="D1097" s="1" t="str">
        <f>IFERROR(__xludf.DUMMYFUNCTION("GOOGLETRANSLATE(B1097,""en"",""pt-br"")"),"negativo")</f>
        <v>negativo</v>
      </c>
    </row>
    <row r="1098" ht="15.75" customHeight="1">
      <c r="A1098" s="2" t="s">
        <v>1100</v>
      </c>
      <c r="B1098" s="2" t="s">
        <v>3</v>
      </c>
      <c r="C1098" s="1" t="str">
        <f>IFERROR(__xludf.DUMMYFUNCTION("GOOGLETRANSLATE(A1098,""en"",""pt-br"")"),"fenda")</f>
        <v>fenda</v>
      </c>
      <c r="D1098" s="1" t="str">
        <f>IFERROR(__xludf.DUMMYFUNCTION("GOOGLETRANSLATE(B1098,""en"",""pt-br"")"),"negativo")</f>
        <v>negativo</v>
      </c>
    </row>
    <row r="1099" ht="15.75" customHeight="1">
      <c r="A1099" s="2" t="s">
        <v>1101</v>
      </c>
      <c r="B1099" s="2" t="s">
        <v>3</v>
      </c>
      <c r="C1099" s="1" t="str">
        <f>IFERROR(__xludf.DUMMYFUNCTION("GOOGLETRANSLATE(A1099,""en"",""pt-br"")"),"rachado")</f>
        <v>rachado</v>
      </c>
      <c r="D1099" s="1" t="str">
        <f>IFERROR(__xludf.DUMMYFUNCTION("GOOGLETRANSLATE(B1099,""en"",""pt-br"")"),"negativo")</f>
        <v>negativo</v>
      </c>
    </row>
    <row r="1100" ht="15.75" customHeight="1">
      <c r="A1100" s="2" t="s">
        <v>1102</v>
      </c>
      <c r="B1100" s="2" t="s">
        <v>3</v>
      </c>
      <c r="C1100" s="1" t="str">
        <f>IFERROR(__xludf.DUMMYFUNCTION("GOOGLETRANSLATE(A1100,""en"",""pt-br"")"),"rachaduras")</f>
        <v>rachaduras</v>
      </c>
      <c r="D1100" s="1" t="str">
        <f>IFERROR(__xludf.DUMMYFUNCTION("GOOGLETRANSLATE(B1100,""en"",""pt-br"")"),"negativo")</f>
        <v>negativo</v>
      </c>
    </row>
    <row r="1101" ht="15.75" customHeight="1">
      <c r="A1101" s="2" t="s">
        <v>1103</v>
      </c>
      <c r="B1101" s="2" t="s">
        <v>3</v>
      </c>
      <c r="C1101" s="1" t="str">
        <f>IFERROR(__xludf.DUMMYFUNCTION("GOOGLETRANSLATE(A1101,""en"",""pt-br"")"),"astuciosamente")</f>
        <v>astuciosamente</v>
      </c>
      <c r="D1101" s="1" t="str">
        <f>IFERROR(__xludf.DUMMYFUNCTION("GOOGLETRANSLATE(B1101,""en"",""pt-br"")"),"negativo")</f>
        <v>negativo</v>
      </c>
    </row>
    <row r="1102" ht="15.75" customHeight="1">
      <c r="A1102" s="2" t="s">
        <v>1104</v>
      </c>
      <c r="B1102" s="2" t="s">
        <v>3</v>
      </c>
      <c r="C1102" s="1" t="str">
        <f>IFERROR(__xludf.DUMMYFUNCTION("GOOGLETRANSLATE(A1102,""en"",""pt-br"")"),"craftly")</f>
        <v>craftly</v>
      </c>
      <c r="D1102" s="1" t="str">
        <f>IFERROR(__xludf.DUMMYFUNCTION("GOOGLETRANSLATE(B1102,""en"",""pt-br"")"),"negativo")</f>
        <v>negativo</v>
      </c>
    </row>
    <row r="1103" ht="15.75" customHeight="1">
      <c r="A1103" s="2" t="s">
        <v>1105</v>
      </c>
      <c r="B1103" s="2" t="s">
        <v>3</v>
      </c>
      <c r="C1103" s="1" t="str">
        <f>IFERROR(__xludf.DUMMYFUNCTION("GOOGLETRANSLATE(A1103,""en"",""pt-br"")"),"astuto")</f>
        <v>astuto</v>
      </c>
      <c r="D1103" s="1" t="str">
        <f>IFERROR(__xludf.DUMMYFUNCTION("GOOGLETRANSLATE(B1103,""en"",""pt-br"")"),"negativo")</f>
        <v>negativo</v>
      </c>
    </row>
    <row r="1104" ht="15.75" customHeight="1">
      <c r="A1104" s="2" t="s">
        <v>1106</v>
      </c>
      <c r="B1104" s="2" t="s">
        <v>3</v>
      </c>
      <c r="C1104" s="1" t="str">
        <f>IFERROR(__xludf.DUMMYFUNCTION("GOOGLETRANSLATE(A1104,""en"",""pt-br"")"),"cãibra")</f>
        <v>cãibra</v>
      </c>
      <c r="D1104" s="1" t="str">
        <f>IFERROR(__xludf.DUMMYFUNCTION("GOOGLETRANSLATE(B1104,""en"",""pt-br"")"),"negativo")</f>
        <v>negativo</v>
      </c>
    </row>
    <row r="1105" ht="15.75" customHeight="1">
      <c r="A1105" s="2" t="s">
        <v>1107</v>
      </c>
      <c r="B1105" s="2" t="s">
        <v>3</v>
      </c>
      <c r="C1105" s="1" t="str">
        <f>IFERROR(__xludf.DUMMYFUNCTION("GOOGLETRANSLATE(A1105,""en"",""pt-br"")"),"espasmódico")</f>
        <v>espasmódico</v>
      </c>
      <c r="D1105" s="1" t="str">
        <f>IFERROR(__xludf.DUMMYFUNCTION("GOOGLETRANSLATE(B1105,""en"",""pt-br"")"),"negativo")</f>
        <v>negativo</v>
      </c>
    </row>
    <row r="1106" ht="15.75" customHeight="1">
      <c r="A1106" s="2" t="s">
        <v>1108</v>
      </c>
      <c r="B1106" s="2" t="s">
        <v>3</v>
      </c>
      <c r="C1106" s="1" t="str">
        <f>IFERROR(__xludf.DUMMYFUNCTION("GOOGLETRANSLATE(A1106,""en"",""pt-br"")"),"cólicas")</f>
        <v>cólicas</v>
      </c>
      <c r="D1106" s="1" t="str">
        <f>IFERROR(__xludf.DUMMYFUNCTION("GOOGLETRANSLATE(B1106,""en"",""pt-br"")"),"negativo")</f>
        <v>negativo</v>
      </c>
    </row>
    <row r="1107" ht="15.75" customHeight="1">
      <c r="A1107" s="2" t="s">
        <v>1109</v>
      </c>
      <c r="B1107" s="2" t="s">
        <v>3</v>
      </c>
      <c r="C1107" s="1" t="str">
        <f>IFERROR(__xludf.DUMMYFUNCTION("GOOGLETRANSLATE(A1107,""en"",""pt-br"")"),"adoentado")</f>
        <v>adoentado</v>
      </c>
      <c r="D1107" s="1" t="str">
        <f>IFERROR(__xludf.DUMMYFUNCTION("GOOGLETRANSLATE(B1107,""en"",""pt-br"")"),"negativo")</f>
        <v>negativo</v>
      </c>
    </row>
    <row r="1108" ht="15.75" customHeight="1">
      <c r="A1108" s="2" t="s">
        <v>1110</v>
      </c>
      <c r="B1108" s="2" t="s">
        <v>3</v>
      </c>
      <c r="C1108" s="1" t="str">
        <f>IFERROR(__xludf.DUMMYFUNCTION("GOOGLETRANSLATE(A1108,""en"",""pt-br"")"),"porcaria")</f>
        <v>porcaria</v>
      </c>
      <c r="D1108" s="1" t="str">
        <f>IFERROR(__xludf.DUMMYFUNCTION("GOOGLETRANSLATE(B1108,""en"",""pt-br"")"),"negativo")</f>
        <v>negativo</v>
      </c>
    </row>
    <row r="1109" ht="15.75" customHeight="1">
      <c r="A1109" s="2" t="s">
        <v>1111</v>
      </c>
      <c r="B1109" s="2" t="s">
        <v>3</v>
      </c>
      <c r="C1109" s="1" t="str">
        <f>IFERROR(__xludf.DUMMYFUNCTION("GOOGLETRANSLATE(A1109,""en"",""pt-br"")"),"porcaria")</f>
        <v>porcaria</v>
      </c>
      <c r="D1109" s="1" t="str">
        <f>IFERROR(__xludf.DUMMYFUNCTION("GOOGLETRANSLATE(B1109,""en"",""pt-br"")"),"negativo")</f>
        <v>negativo</v>
      </c>
    </row>
    <row r="1110" ht="15.75" customHeight="1">
      <c r="A1110" s="2" t="s">
        <v>1112</v>
      </c>
      <c r="B1110" s="2" t="s">
        <v>3</v>
      </c>
      <c r="C1110" s="1" t="str">
        <f>IFERROR(__xludf.DUMMYFUNCTION("GOOGLETRANSLATE(A1110,""en"",""pt-br"")"),"jogo de dados")</f>
        <v>jogo de dados</v>
      </c>
      <c r="D1110" s="1" t="str">
        <f>IFERROR(__xludf.DUMMYFUNCTION("GOOGLETRANSLATE(B1110,""en"",""pt-br"")"),"negativo")</f>
        <v>negativo</v>
      </c>
    </row>
    <row r="1111" ht="15.75" customHeight="1">
      <c r="A1111" s="2" t="s">
        <v>1113</v>
      </c>
      <c r="B1111" s="2" t="s">
        <v>3</v>
      </c>
      <c r="C1111" s="1" t="str">
        <f>IFERROR(__xludf.DUMMYFUNCTION("GOOGLETRANSLATE(A1111,""en"",""pt-br"")"),"batida")</f>
        <v>batida</v>
      </c>
      <c r="D1111" s="1" t="str">
        <f>IFERROR(__xludf.DUMMYFUNCTION("GOOGLETRANSLATE(B1111,""en"",""pt-br"")"),"negativo")</f>
        <v>negativo</v>
      </c>
    </row>
    <row r="1112" ht="15.75" customHeight="1">
      <c r="A1112" s="2" t="s">
        <v>1114</v>
      </c>
      <c r="B1112" s="2" t="s">
        <v>3</v>
      </c>
      <c r="C1112" s="1" t="str">
        <f>IFERROR(__xludf.DUMMYFUNCTION("GOOGLETRANSLATE(A1112,""en"",""pt-br"")"),"caiu")</f>
        <v>caiu</v>
      </c>
      <c r="D1112" s="1" t="str">
        <f>IFERROR(__xludf.DUMMYFUNCTION("GOOGLETRANSLATE(B1112,""en"",""pt-br"")"),"negativo")</f>
        <v>negativo</v>
      </c>
    </row>
    <row r="1113" ht="15.75" customHeight="1">
      <c r="A1113" s="2" t="s">
        <v>1115</v>
      </c>
      <c r="B1113" s="2" t="s">
        <v>3</v>
      </c>
      <c r="C1113" s="1" t="str">
        <f>IFERROR(__xludf.DUMMYFUNCTION("GOOGLETRANSLATE(A1113,""en"",""pt-br"")"),"crashes")</f>
        <v>crashes</v>
      </c>
      <c r="D1113" s="1" t="str">
        <f>IFERROR(__xludf.DUMMYFUNCTION("GOOGLETRANSLATE(B1113,""en"",""pt-br"")"),"negativo")</f>
        <v>negativo</v>
      </c>
    </row>
    <row r="1114" ht="15.75" customHeight="1">
      <c r="A1114" s="2" t="s">
        <v>1116</v>
      </c>
      <c r="B1114" s="2" t="s">
        <v>3</v>
      </c>
      <c r="C1114" s="1" t="str">
        <f>IFERROR(__xludf.DUMMYFUNCTION("GOOGLETRANSLATE(A1114,""en"",""pt-br"")"),"Falhando")</f>
        <v>Falhando</v>
      </c>
      <c r="D1114" s="1" t="str">
        <f>IFERROR(__xludf.DUMMYFUNCTION("GOOGLETRANSLATE(B1114,""en"",""pt-br"")"),"negativo")</f>
        <v>negativo</v>
      </c>
    </row>
    <row r="1115" ht="15.75" customHeight="1">
      <c r="A1115" s="2" t="s">
        <v>1117</v>
      </c>
      <c r="B1115" s="2" t="s">
        <v>3</v>
      </c>
      <c r="C1115" s="1" t="str">
        <f>IFERROR(__xludf.DUMMYFUNCTION("GOOGLETRANSLATE(A1115,""en"",""pt-br"")"),"grosseiro")</f>
        <v>grosseiro</v>
      </c>
      <c r="D1115" s="1" t="str">
        <f>IFERROR(__xludf.DUMMYFUNCTION("GOOGLETRANSLATE(B1115,""en"",""pt-br"")"),"negativo")</f>
        <v>negativo</v>
      </c>
    </row>
    <row r="1116" ht="15.75" customHeight="1">
      <c r="A1116" s="2" t="s">
        <v>1118</v>
      </c>
      <c r="B1116" s="2" t="s">
        <v>3</v>
      </c>
      <c r="C1116" s="1" t="str">
        <f>IFERROR(__xludf.DUMMYFUNCTION("GOOGLETRANSLATE(A1116,""en"",""pt-br"")"),"covarde")</f>
        <v>covarde</v>
      </c>
      <c r="D1116" s="1" t="str">
        <f>IFERROR(__xludf.DUMMYFUNCTION("GOOGLETRANSLATE(B1116,""en"",""pt-br"")"),"negativo")</f>
        <v>negativo</v>
      </c>
    </row>
    <row r="1117" ht="15.75" customHeight="1">
      <c r="A1117" s="2" t="s">
        <v>1119</v>
      </c>
      <c r="B1117" s="2" t="s">
        <v>3</v>
      </c>
      <c r="C1117" s="1" t="str">
        <f>IFERROR(__xludf.DUMMYFUNCTION("GOOGLETRANSLATE(A1117,""en"",""pt-br"")"),"covardemente")</f>
        <v>covardemente</v>
      </c>
      <c r="D1117" s="1" t="str">
        <f>IFERROR(__xludf.DUMMYFUNCTION("GOOGLETRANSLATE(B1117,""en"",""pt-br"")"),"negativo")</f>
        <v>negativo</v>
      </c>
    </row>
    <row r="1118" ht="15.75" customHeight="1">
      <c r="A1118" s="2" t="s">
        <v>1120</v>
      </c>
      <c r="B1118" s="2" t="s">
        <v>3</v>
      </c>
      <c r="C1118" s="1" t="str">
        <f>IFERROR(__xludf.DUMMYFUNCTION("GOOGLETRANSLATE(A1118,""en"",""pt-br"")"),"mania")</f>
        <v>mania</v>
      </c>
      <c r="D1118" s="1" t="str">
        <f>IFERROR(__xludf.DUMMYFUNCTION("GOOGLETRANSLATE(B1118,""en"",""pt-br"")"),"negativo")</f>
        <v>negativo</v>
      </c>
    </row>
    <row r="1119" ht="15.75" customHeight="1">
      <c r="A1119" s="2" t="s">
        <v>1121</v>
      </c>
      <c r="B1119" s="2" t="s">
        <v>3</v>
      </c>
      <c r="C1119" s="1" t="str">
        <f>IFERROR(__xludf.DUMMYFUNCTION("GOOGLETRANSLATE(A1119,""en"",""pt-br"")"),"loucamente")</f>
        <v>loucamente</v>
      </c>
      <c r="D1119" s="1" t="str">
        <f>IFERROR(__xludf.DUMMYFUNCTION("GOOGLETRANSLATE(B1119,""en"",""pt-br"")"),"negativo")</f>
        <v>negativo</v>
      </c>
    </row>
    <row r="1120" ht="15.75" customHeight="1">
      <c r="A1120" s="2" t="s">
        <v>1122</v>
      </c>
      <c r="B1120" s="2" t="s">
        <v>3</v>
      </c>
      <c r="C1120" s="1" t="str">
        <f>IFERROR(__xludf.DUMMYFUNCTION("GOOGLETRANSLATE(A1120,""en"",""pt-br"")"),"loucura")</f>
        <v>loucura</v>
      </c>
      <c r="D1120" s="1" t="str">
        <f>IFERROR(__xludf.DUMMYFUNCTION("GOOGLETRANSLATE(B1120,""en"",""pt-br"")"),"negativo")</f>
        <v>negativo</v>
      </c>
    </row>
    <row r="1121" ht="15.75" customHeight="1">
      <c r="A1121" s="2" t="s">
        <v>1123</v>
      </c>
      <c r="B1121" s="2" t="s">
        <v>3</v>
      </c>
      <c r="C1121" s="1" t="str">
        <f>IFERROR(__xludf.DUMMYFUNCTION("GOOGLETRANSLATE(A1121,""en"",""pt-br"")"),"louco")</f>
        <v>louco</v>
      </c>
      <c r="D1121" s="1" t="str">
        <f>IFERROR(__xludf.DUMMYFUNCTION("GOOGLETRANSLATE(B1121,""en"",""pt-br"")"),"negativo")</f>
        <v>negativo</v>
      </c>
    </row>
    <row r="1122" ht="15.75" customHeight="1">
      <c r="A1122" s="2" t="s">
        <v>1124</v>
      </c>
      <c r="B1122" s="2" t="s">
        <v>3</v>
      </c>
      <c r="C1122" s="1" t="str">
        <f>IFERROR(__xludf.DUMMYFUNCTION("GOOGLETRANSLATE(A1122,""en"",""pt-br"")"),"ranger")</f>
        <v>ranger</v>
      </c>
      <c r="D1122" s="1" t="str">
        <f>IFERROR(__xludf.DUMMYFUNCTION("GOOGLETRANSLATE(B1122,""en"",""pt-br"")"),"negativo")</f>
        <v>negativo</v>
      </c>
    </row>
    <row r="1123" ht="15.75" customHeight="1">
      <c r="A1123" s="2" t="s">
        <v>1125</v>
      </c>
      <c r="B1123" s="2" t="s">
        <v>3</v>
      </c>
      <c r="C1123" s="1" t="str">
        <f>IFERROR(__xludf.DUMMYFUNCTION("GOOGLETRANSLATE(A1123,""en"",""pt-br"")"),"ranger")</f>
        <v>ranger</v>
      </c>
      <c r="D1123" s="1" t="str">
        <f>IFERROR(__xludf.DUMMYFUNCTION("GOOGLETRANSLATE(B1123,""en"",""pt-br"")"),"negativo")</f>
        <v>negativo</v>
      </c>
    </row>
    <row r="1124" ht="15.75" customHeight="1">
      <c r="A1124" s="2" t="s">
        <v>1126</v>
      </c>
      <c r="B1124" s="2" t="s">
        <v>3</v>
      </c>
      <c r="C1124" s="1" t="str">
        <f>IFERROR(__xludf.DUMMYFUNCTION("GOOGLETRANSLATE(A1124,""en"",""pt-br"")"),"rangidos")</f>
        <v>rangidos</v>
      </c>
      <c r="D1124" s="1" t="str">
        <f>IFERROR(__xludf.DUMMYFUNCTION("GOOGLETRANSLATE(B1124,""en"",""pt-br"")"),"negativo")</f>
        <v>negativo</v>
      </c>
    </row>
    <row r="1125" ht="15.75" customHeight="1">
      <c r="A1125" s="2" t="s">
        <v>1127</v>
      </c>
      <c r="B1125" s="2" t="s">
        <v>14</v>
      </c>
      <c r="C1125" s="1" t="str">
        <f>IFERROR(__xludf.DUMMYFUNCTION("GOOGLETRANSLATE(A1125,""en"",""pt-br"")"),"criativo")</f>
        <v>criativo</v>
      </c>
      <c r="D1125" s="1" t="str">
        <f>IFERROR(__xludf.DUMMYFUNCTION("GOOGLETRANSLATE(B1125,""en"",""pt-br"")"),"positivo")</f>
        <v>positivo</v>
      </c>
    </row>
    <row r="1126" ht="15.75" customHeight="1">
      <c r="A1126" s="2" t="s">
        <v>1128</v>
      </c>
      <c r="B1126" s="2" t="s">
        <v>14</v>
      </c>
      <c r="C1126" s="1" t="str">
        <f>IFERROR(__xludf.DUMMYFUNCTION("GOOGLETRANSLATE(A1126,""en"",""pt-br"")"),"crédito")</f>
        <v>crédito</v>
      </c>
      <c r="D1126" s="1" t="str">
        <f>IFERROR(__xludf.DUMMYFUNCTION("GOOGLETRANSLATE(B1126,""en"",""pt-br"")"),"positivo")</f>
        <v>positivo</v>
      </c>
    </row>
    <row r="1127" ht="15.75" customHeight="1">
      <c r="A1127" s="2" t="s">
        <v>1129</v>
      </c>
      <c r="B1127" s="2" t="s">
        <v>14</v>
      </c>
      <c r="C1127" s="1" t="str">
        <f>IFERROR(__xludf.DUMMYFUNCTION("GOOGLETRANSLATE(A1127,""en"",""pt-br"")"),"acreditável")</f>
        <v>acreditável</v>
      </c>
      <c r="D1127" s="1" t="str">
        <f>IFERROR(__xludf.DUMMYFUNCTION("GOOGLETRANSLATE(B1127,""en"",""pt-br"")"),"positivo")</f>
        <v>positivo</v>
      </c>
    </row>
    <row r="1128" ht="15.75" customHeight="1">
      <c r="A1128" s="2" t="s">
        <v>1130</v>
      </c>
      <c r="B1128" s="2" t="s">
        <v>3</v>
      </c>
      <c r="C1128" s="1" t="str">
        <f>IFERROR(__xludf.DUMMYFUNCTION("GOOGLETRANSLATE(A1128,""en"",""pt-br"")"),"crédulo")</f>
        <v>crédulo</v>
      </c>
      <c r="D1128" s="1" t="str">
        <f>IFERROR(__xludf.DUMMYFUNCTION("GOOGLETRANSLATE(B1128,""en"",""pt-br"")"),"negativo")</f>
        <v>negativo</v>
      </c>
    </row>
    <row r="1129" ht="15.75" customHeight="1">
      <c r="A1129" s="2" t="s">
        <v>1131</v>
      </c>
      <c r="B1129" s="2" t="s">
        <v>3</v>
      </c>
      <c r="C1129" s="1" t="str">
        <f>IFERROR(__xludf.DUMMYFUNCTION("GOOGLETRANSLATE(A1129,""en"",""pt-br"")"),"rastejar")</f>
        <v>rastejar</v>
      </c>
      <c r="D1129" s="1" t="str">
        <f>IFERROR(__xludf.DUMMYFUNCTION("GOOGLETRANSLATE(B1129,""en"",""pt-br"")"),"negativo")</f>
        <v>negativo</v>
      </c>
    </row>
    <row r="1130" ht="15.75" customHeight="1">
      <c r="A1130" s="2" t="s">
        <v>1132</v>
      </c>
      <c r="B1130" s="2" t="s">
        <v>3</v>
      </c>
      <c r="C1130" s="1" t="str">
        <f>IFERROR(__xludf.DUMMYFUNCTION("GOOGLETRANSLATE(A1130,""en"",""pt-br"")"),"rastejante")</f>
        <v>rastejante</v>
      </c>
      <c r="D1130" s="1" t="str">
        <f>IFERROR(__xludf.DUMMYFUNCTION("GOOGLETRANSLATE(B1130,""en"",""pt-br"")"),"negativo")</f>
        <v>negativo</v>
      </c>
    </row>
    <row r="1131" ht="15.75" customHeight="1">
      <c r="A1131" s="2" t="s">
        <v>1133</v>
      </c>
      <c r="B1131" s="2" t="s">
        <v>3</v>
      </c>
      <c r="C1131" s="1" t="str">
        <f>IFERROR(__xludf.DUMMYFUNCTION("GOOGLETRANSLATE(A1131,""en"",""pt-br"")"),"arrepio")</f>
        <v>arrepio</v>
      </c>
      <c r="D1131" s="1" t="str">
        <f>IFERROR(__xludf.DUMMYFUNCTION("GOOGLETRANSLATE(B1131,""en"",""pt-br"")"),"negativo")</f>
        <v>negativo</v>
      </c>
    </row>
    <row r="1132" ht="15.75" customHeight="1">
      <c r="A1132" s="2" t="s">
        <v>1134</v>
      </c>
      <c r="B1132" s="2" t="s">
        <v>3</v>
      </c>
      <c r="C1132" s="1" t="str">
        <f>IFERROR(__xludf.DUMMYFUNCTION("GOOGLETRANSLATE(A1132,""en"",""pt-br"")"),"arrepiante")</f>
        <v>arrepiante</v>
      </c>
      <c r="D1132" s="1" t="str">
        <f>IFERROR(__xludf.DUMMYFUNCTION("GOOGLETRANSLATE(B1132,""en"",""pt-br"")"),"negativo")</f>
        <v>negativo</v>
      </c>
    </row>
    <row r="1133" ht="15.75" customHeight="1">
      <c r="A1133" s="2" t="s">
        <v>1135</v>
      </c>
      <c r="B1133" s="2" t="s">
        <v>3</v>
      </c>
      <c r="C1133" s="1" t="str">
        <f>IFERROR(__xludf.DUMMYFUNCTION("GOOGLETRANSLATE(A1133,""en"",""pt-br"")"),"rastejou")</f>
        <v>rastejou</v>
      </c>
      <c r="D1133" s="1" t="str">
        <f>IFERROR(__xludf.DUMMYFUNCTION("GOOGLETRANSLATE(B1133,""en"",""pt-br"")"),"negativo")</f>
        <v>negativo</v>
      </c>
    </row>
    <row r="1134" ht="15.75" customHeight="1">
      <c r="A1134" s="2" t="s">
        <v>1136</v>
      </c>
      <c r="B1134" s="2" t="s">
        <v>3</v>
      </c>
      <c r="C1134" s="1" t="str">
        <f>IFERROR(__xludf.DUMMYFUNCTION("GOOGLETRANSLATE(A1134,""en"",""pt-br"")"),"crime")</f>
        <v>crime</v>
      </c>
      <c r="D1134" s="1" t="str">
        <f>IFERROR(__xludf.DUMMYFUNCTION("GOOGLETRANSLATE(B1134,""en"",""pt-br"")"),"negativo")</f>
        <v>negativo</v>
      </c>
    </row>
    <row r="1135" ht="15.75" customHeight="1">
      <c r="A1135" s="2" t="s">
        <v>1137</v>
      </c>
      <c r="B1135" s="2" t="s">
        <v>3</v>
      </c>
      <c r="C1135" s="1" t="str">
        <f>IFERROR(__xludf.DUMMYFUNCTION("GOOGLETRANSLATE(A1135,""en"",""pt-br"")"),"Criminoso")</f>
        <v>Criminoso</v>
      </c>
      <c r="D1135" s="1" t="str">
        <f>IFERROR(__xludf.DUMMYFUNCTION("GOOGLETRANSLATE(B1135,""en"",""pt-br"")"),"negativo")</f>
        <v>negativo</v>
      </c>
    </row>
    <row r="1136" ht="15.75" customHeight="1">
      <c r="A1136" s="2" t="s">
        <v>1138</v>
      </c>
      <c r="B1136" s="2" t="s">
        <v>3</v>
      </c>
      <c r="C1136" s="1" t="str">
        <f>IFERROR(__xludf.DUMMYFUNCTION("GOOGLETRANSLATE(A1136,""en"",""pt-br"")"),"Vergonhoso")</f>
        <v>Vergonhoso</v>
      </c>
      <c r="D1136" s="1" t="str">
        <f>IFERROR(__xludf.DUMMYFUNCTION("GOOGLETRANSLATE(B1136,""en"",""pt-br"")"),"negativo")</f>
        <v>negativo</v>
      </c>
    </row>
    <row r="1137" ht="15.75" customHeight="1">
      <c r="A1137" s="2" t="s">
        <v>1139</v>
      </c>
      <c r="B1137" s="2" t="s">
        <v>3</v>
      </c>
      <c r="C1137" s="1" t="str">
        <f>IFERROR(__xludf.DUMMYFUNCTION("GOOGLETRANSLATE(A1137,""en"",""pt-br"")"),"encolhi")</f>
        <v>encolhi</v>
      </c>
      <c r="D1137" s="1" t="str">
        <f>IFERROR(__xludf.DUMMYFUNCTION("GOOGLETRANSLATE(B1137,""en"",""pt-br"")"),"negativo")</f>
        <v>negativo</v>
      </c>
    </row>
    <row r="1138" ht="15.75" customHeight="1">
      <c r="A1138" s="2" t="s">
        <v>1140</v>
      </c>
      <c r="B1138" s="2" t="s">
        <v>3</v>
      </c>
      <c r="C1138" s="1" t="str">
        <f>IFERROR(__xludf.DUMMYFUNCTION("GOOGLETRANSLATE(A1138,""en"",""pt-br"")"),"cringes")</f>
        <v>cringes</v>
      </c>
      <c r="D1138" s="1" t="str">
        <f>IFERROR(__xludf.DUMMYFUNCTION("GOOGLETRANSLATE(B1138,""en"",""pt-br"")"),"negativo")</f>
        <v>negativo</v>
      </c>
    </row>
    <row r="1139" ht="15.75" customHeight="1">
      <c r="A1139" s="2" t="s">
        <v>1141</v>
      </c>
      <c r="B1139" s="2" t="s">
        <v>3</v>
      </c>
      <c r="C1139" s="1" t="str">
        <f>IFERROR(__xludf.DUMMYFUNCTION("GOOGLETRANSLATE(A1139,""en"",""pt-br"")"),"aleijado")</f>
        <v>aleijado</v>
      </c>
      <c r="D1139" s="1" t="str">
        <f>IFERROR(__xludf.DUMMYFUNCTION("GOOGLETRANSLATE(B1139,""en"",""pt-br"")"),"negativo")</f>
        <v>negativo</v>
      </c>
    </row>
    <row r="1140" ht="15.75" customHeight="1">
      <c r="A1140" s="2" t="s">
        <v>1142</v>
      </c>
      <c r="B1140" s="2" t="s">
        <v>3</v>
      </c>
      <c r="C1140" s="1" t="str">
        <f>IFERROR(__xludf.DUMMYFUNCTION("GOOGLETRANSLATE(A1140,""en"",""pt-br"")"),"aleijado")</f>
        <v>aleijado</v>
      </c>
      <c r="D1140" s="1" t="str">
        <f>IFERROR(__xludf.DUMMYFUNCTION("GOOGLETRANSLATE(B1140,""en"",""pt-br"")"),"negativo")</f>
        <v>negativo</v>
      </c>
    </row>
    <row r="1141" ht="15.75" customHeight="1">
      <c r="A1141" s="2" t="s">
        <v>1143</v>
      </c>
      <c r="B1141" s="2" t="s">
        <v>3</v>
      </c>
      <c r="C1141" s="1" t="str">
        <f>IFERROR(__xludf.DUMMYFUNCTION("GOOGLETRANSLATE(A1141,""en"",""pt-br"")"),"aleijados")</f>
        <v>aleijados</v>
      </c>
      <c r="D1141" s="1" t="str">
        <f>IFERROR(__xludf.DUMMYFUNCTION("GOOGLETRANSLATE(B1141,""en"",""pt-br"")"),"negativo")</f>
        <v>negativo</v>
      </c>
    </row>
    <row r="1142" ht="15.75" customHeight="1">
      <c r="A1142" s="2" t="s">
        <v>1144</v>
      </c>
      <c r="B1142" s="2" t="s">
        <v>3</v>
      </c>
      <c r="C1142" s="1" t="str">
        <f>IFERROR(__xludf.DUMMYFUNCTION("GOOGLETRANSLATE(A1142,""en"",""pt-br"")"),"aleijante")</f>
        <v>aleijante</v>
      </c>
      <c r="D1142" s="1" t="str">
        <f>IFERROR(__xludf.DUMMYFUNCTION("GOOGLETRANSLATE(B1142,""en"",""pt-br"")"),"negativo")</f>
        <v>negativo</v>
      </c>
    </row>
    <row r="1143" ht="15.75" customHeight="1">
      <c r="A1143" s="2" t="s">
        <v>1145</v>
      </c>
      <c r="B1143" s="2" t="s">
        <v>3</v>
      </c>
      <c r="C1143" s="1" t="str">
        <f>IFERROR(__xludf.DUMMYFUNCTION("GOOGLETRANSLATE(A1143,""en"",""pt-br"")"),"crise")</f>
        <v>crise</v>
      </c>
      <c r="D1143" s="1" t="str">
        <f>IFERROR(__xludf.DUMMYFUNCTION("GOOGLETRANSLATE(B1143,""en"",""pt-br"")"),"negativo")</f>
        <v>negativo</v>
      </c>
    </row>
    <row r="1144" ht="15.75" customHeight="1">
      <c r="A1144" s="2" t="s">
        <v>1146</v>
      </c>
      <c r="B1144" s="2" t="s">
        <v>14</v>
      </c>
      <c r="C1144" s="1" t="str">
        <f>IFERROR(__xludf.DUMMYFUNCTION("GOOGLETRANSLATE(A1144,""en"",""pt-br"")"),"batata frita")</f>
        <v>batata frita</v>
      </c>
      <c r="D1144" s="1" t="str">
        <f>IFERROR(__xludf.DUMMYFUNCTION("GOOGLETRANSLATE(B1144,""en"",""pt-br"")"),"positivo")</f>
        <v>positivo</v>
      </c>
    </row>
    <row r="1145" ht="15.75" customHeight="1">
      <c r="A1145" s="2" t="s">
        <v>1147</v>
      </c>
      <c r="B1145" s="2" t="s">
        <v>14</v>
      </c>
      <c r="C1145" s="1" t="str">
        <f>IFERROR(__xludf.DUMMYFUNCTION("GOOGLETRANSLATE(A1145,""en"",""pt-br"")"),"crisper")</f>
        <v>crisper</v>
      </c>
      <c r="D1145" s="1" t="str">
        <f>IFERROR(__xludf.DUMMYFUNCTION("GOOGLETRANSLATE(B1145,""en"",""pt-br"")"),"positivo")</f>
        <v>positivo</v>
      </c>
    </row>
    <row r="1146" ht="15.75" customHeight="1">
      <c r="A1146" s="2" t="s">
        <v>1148</v>
      </c>
      <c r="B1146" s="2" t="s">
        <v>3</v>
      </c>
      <c r="C1146" s="1" t="str">
        <f>IFERROR(__xludf.DUMMYFUNCTION("GOOGLETRANSLATE(A1146,""en"",""pt-br"")"),"crítico")</f>
        <v>crítico</v>
      </c>
      <c r="D1146" s="1" t="str">
        <f>IFERROR(__xludf.DUMMYFUNCTION("GOOGLETRANSLATE(B1146,""en"",""pt-br"")"),"negativo")</f>
        <v>negativo</v>
      </c>
    </row>
    <row r="1147" ht="15.75" customHeight="1">
      <c r="A1147" s="2" t="s">
        <v>1149</v>
      </c>
      <c r="B1147" s="2" t="s">
        <v>3</v>
      </c>
      <c r="C1147" s="1" t="str">
        <f>IFERROR(__xludf.DUMMYFUNCTION("GOOGLETRANSLATE(A1147,""en"",""pt-br"")"),"crítico")</f>
        <v>crítico</v>
      </c>
      <c r="D1147" s="1" t="str">
        <f>IFERROR(__xludf.DUMMYFUNCTION("GOOGLETRANSLATE(B1147,""en"",""pt-br"")"),"negativo")</f>
        <v>negativo</v>
      </c>
    </row>
    <row r="1148" ht="15.75" customHeight="1">
      <c r="A1148" s="2" t="s">
        <v>1150</v>
      </c>
      <c r="B1148" s="2" t="s">
        <v>3</v>
      </c>
      <c r="C1148" s="1" t="str">
        <f>IFERROR(__xludf.DUMMYFUNCTION("GOOGLETRANSLATE(A1148,""en"",""pt-br"")"),"crítica")</f>
        <v>crítica</v>
      </c>
      <c r="D1148" s="1" t="str">
        <f>IFERROR(__xludf.DUMMYFUNCTION("GOOGLETRANSLATE(B1148,""en"",""pt-br"")"),"negativo")</f>
        <v>negativo</v>
      </c>
    </row>
    <row r="1149" ht="15.75" customHeight="1">
      <c r="A1149" s="2" t="s">
        <v>1151</v>
      </c>
      <c r="B1149" s="2" t="s">
        <v>3</v>
      </c>
      <c r="C1149" s="1" t="str">
        <f>IFERROR(__xludf.DUMMYFUNCTION("GOOGLETRANSLATE(A1149,""en"",""pt-br"")"),"críticas")</f>
        <v>críticas</v>
      </c>
      <c r="D1149" s="1" t="str">
        <f>IFERROR(__xludf.DUMMYFUNCTION("GOOGLETRANSLATE(B1149,""en"",""pt-br"")"),"negativo")</f>
        <v>negativo</v>
      </c>
    </row>
    <row r="1150" ht="15.75" customHeight="1">
      <c r="A1150" s="2" t="s">
        <v>1152</v>
      </c>
      <c r="B1150" s="2" t="s">
        <v>3</v>
      </c>
      <c r="C1150" s="1" t="str">
        <f>IFERROR(__xludf.DUMMYFUNCTION("GOOGLETRANSLATE(A1150,""en"",""pt-br"")"),"criticar")</f>
        <v>criticar</v>
      </c>
      <c r="D1150" s="1" t="str">
        <f>IFERROR(__xludf.DUMMYFUNCTION("GOOGLETRANSLATE(B1150,""en"",""pt-br"")"),"negativo")</f>
        <v>negativo</v>
      </c>
    </row>
    <row r="1151" ht="15.75" customHeight="1">
      <c r="A1151" s="2" t="s">
        <v>1153</v>
      </c>
      <c r="B1151" s="2" t="s">
        <v>3</v>
      </c>
      <c r="C1151" s="1" t="str">
        <f>IFERROR(__xludf.DUMMYFUNCTION("GOOGLETRANSLATE(A1151,""en"",""pt-br"")"),"criticada")</f>
        <v>criticada</v>
      </c>
      <c r="D1151" s="1" t="str">
        <f>IFERROR(__xludf.DUMMYFUNCTION("GOOGLETRANSLATE(B1151,""en"",""pt-br"")"),"negativo")</f>
        <v>negativo</v>
      </c>
    </row>
    <row r="1152" ht="15.75" customHeight="1">
      <c r="A1152" s="2" t="s">
        <v>1154</v>
      </c>
      <c r="B1152" s="2" t="s">
        <v>3</v>
      </c>
      <c r="C1152" s="1" t="str">
        <f>IFERROR(__xludf.DUMMYFUNCTION("GOOGLETRANSLATE(A1152,""en"",""pt-br"")"),"criticar")</f>
        <v>criticar</v>
      </c>
      <c r="D1152" s="1" t="str">
        <f>IFERROR(__xludf.DUMMYFUNCTION("GOOGLETRANSLATE(B1152,""en"",""pt-br"")"),"negativo")</f>
        <v>negativo</v>
      </c>
    </row>
    <row r="1153" ht="15.75" customHeight="1">
      <c r="A1153" s="2" t="s">
        <v>1155</v>
      </c>
      <c r="B1153" s="2" t="s">
        <v>3</v>
      </c>
      <c r="C1153" s="1" t="str">
        <f>IFERROR(__xludf.DUMMYFUNCTION("GOOGLETRANSLATE(A1153,""en"",""pt-br"")"),"críticos")</f>
        <v>críticos</v>
      </c>
      <c r="D1153" s="1" t="str">
        <f>IFERROR(__xludf.DUMMYFUNCTION("GOOGLETRANSLATE(B1153,""en"",""pt-br"")"),"negativo")</f>
        <v>negativo</v>
      </c>
    </row>
    <row r="1154" ht="15.75" customHeight="1">
      <c r="A1154" s="2" t="s">
        <v>1156</v>
      </c>
      <c r="B1154" s="2" t="s">
        <v>3</v>
      </c>
      <c r="C1154" s="1" t="str">
        <f>IFERROR(__xludf.DUMMYFUNCTION("GOOGLETRANSLATE(A1154,""en"",""pt-br"")"),"cronyism")</f>
        <v>cronyism</v>
      </c>
      <c r="D1154" s="1" t="str">
        <f>IFERROR(__xludf.DUMMYFUNCTION("GOOGLETRANSLATE(B1154,""en"",""pt-br"")"),"negativo")</f>
        <v>negativo</v>
      </c>
    </row>
    <row r="1155" ht="15.75" customHeight="1">
      <c r="A1155" s="2" t="s">
        <v>1157</v>
      </c>
      <c r="B1155" s="2" t="s">
        <v>3</v>
      </c>
      <c r="C1155" s="1" t="str">
        <f>IFERROR(__xludf.DUMMYFUNCTION("GOOGLETRANSLATE(A1155,""en"",""pt-br"")"),"trapaceiro")</f>
        <v>trapaceiro</v>
      </c>
      <c r="D1155" s="1" t="str">
        <f>IFERROR(__xludf.DUMMYFUNCTION("GOOGLETRANSLATE(B1155,""en"",""pt-br"")"),"negativo")</f>
        <v>negativo</v>
      </c>
    </row>
    <row r="1156" ht="15.75" customHeight="1">
      <c r="A1156" s="2" t="s">
        <v>1158</v>
      </c>
      <c r="B1156" s="2" t="s">
        <v>3</v>
      </c>
      <c r="C1156" s="1" t="str">
        <f>IFERROR(__xludf.DUMMYFUNCTION("GOOGLETRANSLATE(A1156,""en"",""pt-br"")"),"torto")</f>
        <v>torto</v>
      </c>
      <c r="D1156" s="1" t="str">
        <f>IFERROR(__xludf.DUMMYFUNCTION("GOOGLETRANSLATE(B1156,""en"",""pt-br"")"),"negativo")</f>
        <v>negativo</v>
      </c>
    </row>
    <row r="1157" ht="15.75" customHeight="1">
      <c r="A1157" s="2" t="s">
        <v>1159</v>
      </c>
      <c r="B1157" s="2" t="s">
        <v>3</v>
      </c>
      <c r="C1157" s="1" t="str">
        <f>IFERROR(__xludf.DUMMYFUNCTION("GOOGLETRANSLATE(A1157,""en"",""pt-br"")"),"bandidos")</f>
        <v>bandidos</v>
      </c>
      <c r="D1157" s="1" t="str">
        <f>IFERROR(__xludf.DUMMYFUNCTION("GOOGLETRANSLATE(B1157,""en"",""pt-br"")"),"negativo")</f>
        <v>negativo</v>
      </c>
    </row>
    <row r="1158" ht="15.75" customHeight="1">
      <c r="A1158" s="2" t="s">
        <v>1160</v>
      </c>
      <c r="B1158" s="2" t="s">
        <v>3</v>
      </c>
      <c r="C1158" s="1" t="str">
        <f>IFERROR(__xludf.DUMMYFUNCTION("GOOGLETRANSLATE(A1158,""en"",""pt-br"")"),"lotado")</f>
        <v>lotado</v>
      </c>
      <c r="D1158" s="1" t="str">
        <f>IFERROR(__xludf.DUMMYFUNCTION("GOOGLETRANSLATE(B1158,""en"",""pt-br"")"),"negativo")</f>
        <v>negativo</v>
      </c>
    </row>
    <row r="1159" ht="15.75" customHeight="1">
      <c r="A1159" s="2" t="s">
        <v>1161</v>
      </c>
      <c r="B1159" s="2" t="s">
        <v>3</v>
      </c>
      <c r="C1159" s="1" t="str">
        <f>IFERROR(__xludf.DUMMYFUNCTION("GOOGLETRANSLATE(A1159,""en"",""pt-br"")"),"crowdedness")</f>
        <v>crowdedness</v>
      </c>
      <c r="D1159" s="1" t="str">
        <f>IFERROR(__xludf.DUMMYFUNCTION("GOOGLETRANSLATE(B1159,""en"",""pt-br"")"),"negativo")</f>
        <v>negativo</v>
      </c>
    </row>
    <row r="1160" ht="15.75" customHeight="1">
      <c r="A1160" s="2" t="s">
        <v>1162</v>
      </c>
      <c r="B1160" s="2" t="s">
        <v>3</v>
      </c>
      <c r="C1160" s="1" t="str">
        <f>IFERROR(__xludf.DUMMYFUNCTION("GOOGLETRANSLATE(A1160,""en"",""pt-br"")"),"bruto")</f>
        <v>bruto</v>
      </c>
      <c r="D1160" s="1" t="str">
        <f>IFERROR(__xludf.DUMMYFUNCTION("GOOGLETRANSLATE(B1160,""en"",""pt-br"")"),"negativo")</f>
        <v>negativo</v>
      </c>
    </row>
    <row r="1161" ht="15.75" customHeight="1">
      <c r="A1161" s="2" t="s">
        <v>1163</v>
      </c>
      <c r="B1161" s="2" t="s">
        <v>3</v>
      </c>
      <c r="C1161" s="1" t="str">
        <f>IFERROR(__xludf.DUMMYFUNCTION("GOOGLETRANSLATE(A1161,""en"",""pt-br"")"),"cruel")</f>
        <v>cruel</v>
      </c>
      <c r="D1161" s="1" t="str">
        <f>IFERROR(__xludf.DUMMYFUNCTION("GOOGLETRANSLATE(B1161,""en"",""pt-br"")"),"negativo")</f>
        <v>negativo</v>
      </c>
    </row>
    <row r="1162" ht="15.75" customHeight="1">
      <c r="A1162" s="2" t="s">
        <v>1164</v>
      </c>
      <c r="B1162" s="2" t="s">
        <v>3</v>
      </c>
      <c r="C1162" s="1" t="str">
        <f>IFERROR(__xludf.DUMMYFUNCTION("GOOGLETRANSLATE(A1162,""en"",""pt-br"")"),"mais cruel")</f>
        <v>mais cruel</v>
      </c>
      <c r="D1162" s="1" t="str">
        <f>IFERROR(__xludf.DUMMYFUNCTION("GOOGLETRANSLATE(B1162,""en"",""pt-br"")"),"negativo")</f>
        <v>negativo</v>
      </c>
    </row>
    <row r="1163" ht="15.75" customHeight="1">
      <c r="A1163" s="2" t="s">
        <v>1165</v>
      </c>
      <c r="B1163" s="2" t="s">
        <v>3</v>
      </c>
      <c r="C1163" s="1" t="str">
        <f>IFERROR(__xludf.DUMMYFUNCTION("GOOGLETRANSLATE(A1163,""en"",""pt-br"")"),"cruelest")</f>
        <v>cruelest</v>
      </c>
      <c r="D1163" s="1" t="str">
        <f>IFERROR(__xludf.DUMMYFUNCTION("GOOGLETRANSLATE(B1163,""en"",""pt-br"")"),"negativo")</f>
        <v>negativo</v>
      </c>
    </row>
    <row r="1164" ht="15.75" customHeight="1">
      <c r="A1164" s="2" t="s">
        <v>1166</v>
      </c>
      <c r="B1164" s="2" t="s">
        <v>3</v>
      </c>
      <c r="C1164" s="1" t="str">
        <f>IFERROR(__xludf.DUMMYFUNCTION("GOOGLETRANSLATE(A1164,""en"",""pt-br"")"),"cruelmente")</f>
        <v>cruelmente</v>
      </c>
      <c r="D1164" s="1" t="str">
        <f>IFERROR(__xludf.DUMMYFUNCTION("GOOGLETRANSLATE(B1164,""en"",""pt-br"")"),"negativo")</f>
        <v>negativo</v>
      </c>
    </row>
    <row r="1165" ht="15.75" customHeight="1">
      <c r="A1165" s="2" t="s">
        <v>1167</v>
      </c>
      <c r="B1165" s="2" t="s">
        <v>3</v>
      </c>
      <c r="C1165" s="1" t="str">
        <f>IFERROR(__xludf.DUMMYFUNCTION("GOOGLETRANSLATE(A1165,""en"",""pt-br"")"),"cruelness")</f>
        <v>cruelness</v>
      </c>
      <c r="D1165" s="1" t="str">
        <f>IFERROR(__xludf.DUMMYFUNCTION("GOOGLETRANSLATE(B1165,""en"",""pt-br"")"),"negativo")</f>
        <v>negativo</v>
      </c>
    </row>
    <row r="1166" ht="15.75" customHeight="1">
      <c r="A1166" s="2" t="s">
        <v>1168</v>
      </c>
      <c r="B1166" s="2" t="s">
        <v>3</v>
      </c>
      <c r="C1166" s="1" t="str">
        <f>IFERROR(__xludf.DUMMYFUNCTION("GOOGLETRANSLATE(A1166,""en"",""pt-br"")"),"crueldades")</f>
        <v>crueldades</v>
      </c>
      <c r="D1166" s="1" t="str">
        <f>IFERROR(__xludf.DUMMYFUNCTION("GOOGLETRANSLATE(B1166,""en"",""pt-br"")"),"negativo")</f>
        <v>negativo</v>
      </c>
    </row>
    <row r="1167" ht="15.75" customHeight="1">
      <c r="A1167" s="2" t="s">
        <v>1169</v>
      </c>
      <c r="B1167" s="2" t="s">
        <v>3</v>
      </c>
      <c r="C1167" s="1" t="str">
        <f>IFERROR(__xludf.DUMMYFUNCTION("GOOGLETRANSLATE(A1167,""en"",""pt-br"")"),"crueldade")</f>
        <v>crueldade</v>
      </c>
      <c r="D1167" s="1" t="str">
        <f>IFERROR(__xludf.DUMMYFUNCTION("GOOGLETRANSLATE(B1167,""en"",""pt-br"")"),"negativo")</f>
        <v>negativo</v>
      </c>
    </row>
    <row r="1168" ht="15.75" customHeight="1">
      <c r="A1168" s="2" t="s">
        <v>1170</v>
      </c>
      <c r="B1168" s="2" t="s">
        <v>3</v>
      </c>
      <c r="C1168" s="1" t="str">
        <f>IFERROR(__xludf.DUMMYFUNCTION("GOOGLETRANSLATE(A1168,""en"",""pt-br"")"),"desmoronar")</f>
        <v>desmoronar</v>
      </c>
      <c r="D1168" s="1" t="str">
        <f>IFERROR(__xludf.DUMMYFUNCTION("GOOGLETRANSLATE(B1168,""en"",""pt-br"")"),"negativo")</f>
        <v>negativo</v>
      </c>
    </row>
    <row r="1169" ht="15.75" customHeight="1">
      <c r="A1169" s="2" t="s">
        <v>1171</v>
      </c>
      <c r="B1169" s="2" t="s">
        <v>3</v>
      </c>
      <c r="C1169" s="1" t="str">
        <f>IFERROR(__xludf.DUMMYFUNCTION("GOOGLETRANSLATE(A1169,""en"",""pt-br"")"),"desintegrando")</f>
        <v>desintegrando</v>
      </c>
      <c r="D1169" s="1" t="str">
        <f>IFERROR(__xludf.DUMMYFUNCTION("GOOGLETRANSLATE(B1169,""en"",""pt-br"")"),"negativo")</f>
        <v>negativo</v>
      </c>
    </row>
    <row r="1170" ht="15.75" customHeight="1">
      <c r="A1170" s="2" t="s">
        <v>1172</v>
      </c>
      <c r="B1170" s="2" t="s">
        <v>3</v>
      </c>
      <c r="C1170" s="1" t="str">
        <f>IFERROR(__xludf.DUMMYFUNCTION("GOOGLETRANSLATE(A1170,""en"",""pt-br"")"),"sujo")</f>
        <v>sujo</v>
      </c>
      <c r="D1170" s="1" t="str">
        <f>IFERROR(__xludf.DUMMYFUNCTION("GOOGLETRANSLATE(B1170,""en"",""pt-br"")"),"negativo")</f>
        <v>negativo</v>
      </c>
    </row>
    <row r="1171" ht="15.75" customHeight="1">
      <c r="A1171" s="2" t="s">
        <v>1173</v>
      </c>
      <c r="B1171" s="2" t="s">
        <v>3</v>
      </c>
      <c r="C1171" s="1" t="str">
        <f>IFERROR(__xludf.DUMMYFUNCTION("GOOGLETRANSLATE(A1171,""en"",""pt-br"")"),"amarrotar")</f>
        <v>amarrotar</v>
      </c>
      <c r="D1171" s="1" t="str">
        <f>IFERROR(__xludf.DUMMYFUNCTION("GOOGLETRANSLATE(B1171,""en"",""pt-br"")"),"negativo")</f>
        <v>negativo</v>
      </c>
    </row>
    <row r="1172" ht="15.75" customHeight="1">
      <c r="A1172" s="2" t="s">
        <v>1174</v>
      </c>
      <c r="B1172" s="2" t="s">
        <v>3</v>
      </c>
      <c r="C1172" s="1" t="str">
        <f>IFERROR(__xludf.DUMMYFUNCTION("GOOGLETRANSLATE(A1172,""en"",""pt-br"")"),"amassado")</f>
        <v>amassado</v>
      </c>
      <c r="D1172" s="1" t="str">
        <f>IFERROR(__xludf.DUMMYFUNCTION("GOOGLETRANSLATE(B1172,""en"",""pt-br"")"),"negativo")</f>
        <v>negativo</v>
      </c>
    </row>
    <row r="1173" ht="15.75" customHeight="1">
      <c r="A1173" s="2" t="s">
        <v>1175</v>
      </c>
      <c r="B1173" s="2" t="s">
        <v>3</v>
      </c>
      <c r="C1173" s="1" t="str">
        <f>IFERROR(__xludf.DUMMYFUNCTION("GOOGLETRANSLATE(A1173,""en"",""pt-br"")"),"crumples")</f>
        <v>crumples</v>
      </c>
      <c r="D1173" s="1" t="str">
        <f>IFERROR(__xludf.DUMMYFUNCTION("GOOGLETRANSLATE(B1173,""en"",""pt-br"")"),"negativo")</f>
        <v>negativo</v>
      </c>
    </row>
    <row r="1174" ht="15.75" customHeight="1">
      <c r="A1174" s="2" t="s">
        <v>1176</v>
      </c>
      <c r="B1174" s="2" t="s">
        <v>3</v>
      </c>
      <c r="C1174" s="1" t="str">
        <f>IFERROR(__xludf.DUMMYFUNCTION("GOOGLETRANSLATE(A1174,""en"",""pt-br"")"),"A paixão súbita")</f>
        <v>A paixão súbita</v>
      </c>
      <c r="D1174" s="1" t="str">
        <f>IFERROR(__xludf.DUMMYFUNCTION("GOOGLETRANSLATE(B1174,""en"",""pt-br"")"),"negativo")</f>
        <v>negativo</v>
      </c>
    </row>
    <row r="1175" ht="15.75" customHeight="1">
      <c r="A1175" s="2" t="s">
        <v>1177</v>
      </c>
      <c r="B1175" s="2" t="s">
        <v>3</v>
      </c>
      <c r="C1175" s="1" t="str">
        <f>IFERROR(__xludf.DUMMYFUNCTION("GOOGLETRANSLATE(A1175,""en"",""pt-br"")"),"esmagado")</f>
        <v>esmagado</v>
      </c>
      <c r="D1175" s="1" t="str">
        <f>IFERROR(__xludf.DUMMYFUNCTION("GOOGLETRANSLATE(B1175,""en"",""pt-br"")"),"negativo")</f>
        <v>negativo</v>
      </c>
    </row>
    <row r="1176" ht="15.75" customHeight="1">
      <c r="A1176" s="2" t="s">
        <v>1178</v>
      </c>
      <c r="B1176" s="2" t="s">
        <v>3</v>
      </c>
      <c r="C1176" s="1" t="str">
        <f>IFERROR(__xludf.DUMMYFUNCTION("GOOGLETRANSLATE(A1176,""en"",""pt-br"")"),"esmagador")</f>
        <v>esmagador</v>
      </c>
      <c r="D1176" s="1" t="str">
        <f>IFERROR(__xludf.DUMMYFUNCTION("GOOGLETRANSLATE(B1176,""en"",""pt-br"")"),"negativo")</f>
        <v>negativo</v>
      </c>
    </row>
    <row r="1177" ht="15.75" customHeight="1">
      <c r="A1177" s="2" t="s">
        <v>1179</v>
      </c>
      <c r="B1177" s="2" t="s">
        <v>3</v>
      </c>
      <c r="C1177" s="1" t="str">
        <f>IFERROR(__xludf.DUMMYFUNCTION("GOOGLETRANSLATE(A1177,""en"",""pt-br"")"),"chorar")</f>
        <v>chorar</v>
      </c>
      <c r="D1177" s="1" t="str">
        <f>IFERROR(__xludf.DUMMYFUNCTION("GOOGLETRANSLATE(B1177,""en"",""pt-br"")"),"negativo")</f>
        <v>negativo</v>
      </c>
    </row>
    <row r="1178" ht="15.75" customHeight="1">
      <c r="A1178" s="2" t="s">
        <v>1180</v>
      </c>
      <c r="B1178" s="2" t="s">
        <v>3</v>
      </c>
      <c r="C1178" s="1" t="str">
        <f>IFERROR(__xludf.DUMMYFUNCTION("GOOGLETRANSLATE(A1178,""en"",""pt-br"")"),"culpável")</f>
        <v>culpável</v>
      </c>
      <c r="D1178" s="1" t="str">
        <f>IFERROR(__xludf.DUMMYFUNCTION("GOOGLETRANSLATE(B1178,""en"",""pt-br"")"),"negativo")</f>
        <v>negativo</v>
      </c>
    </row>
    <row r="1179" ht="15.75" customHeight="1">
      <c r="A1179" s="2" t="s">
        <v>1181</v>
      </c>
      <c r="B1179" s="2" t="s">
        <v>3</v>
      </c>
      <c r="C1179" s="1" t="str">
        <f>IFERROR(__xludf.DUMMYFUNCTION("GOOGLETRANSLATE(A1179,""en"",""pt-br"")"),"culpado")</f>
        <v>culpado</v>
      </c>
      <c r="D1179" s="1" t="str">
        <f>IFERROR(__xludf.DUMMYFUNCTION("GOOGLETRANSLATE(B1179,""en"",""pt-br"")"),"negativo")</f>
        <v>negativo</v>
      </c>
    </row>
    <row r="1180" ht="15.75" customHeight="1">
      <c r="A1180" s="2" t="s">
        <v>1182</v>
      </c>
      <c r="B1180" s="2" t="s">
        <v>3</v>
      </c>
      <c r="C1180" s="1" t="str">
        <f>IFERROR(__xludf.DUMMYFUNCTION("GOOGLETRANSLATE(A1180,""en"",""pt-br"")"),"pesado")</f>
        <v>pesado</v>
      </c>
      <c r="D1180" s="1" t="str">
        <f>IFERROR(__xludf.DUMMYFUNCTION("GOOGLETRANSLATE(B1180,""en"",""pt-br"")"),"negativo")</f>
        <v>negativo</v>
      </c>
    </row>
    <row r="1181" ht="15.75" customHeight="1">
      <c r="A1181" s="2" t="s">
        <v>1183</v>
      </c>
      <c r="B1181" s="2" t="s">
        <v>3</v>
      </c>
      <c r="C1181" s="1" t="str">
        <f>IFERROR(__xludf.DUMMYFUNCTION("GOOGLETRANSLATE(A1181,""en"",""pt-br"")"),"cona")</f>
        <v>cona</v>
      </c>
      <c r="D1181" s="1" t="str">
        <f>IFERROR(__xludf.DUMMYFUNCTION("GOOGLETRANSLATE(B1181,""en"",""pt-br"")"),"negativo")</f>
        <v>negativo</v>
      </c>
    </row>
    <row r="1182" ht="15.75" customHeight="1">
      <c r="A1182" s="2" t="s">
        <v>1184</v>
      </c>
      <c r="B1182" s="2" t="s">
        <v>3</v>
      </c>
      <c r="C1182" s="1" t="str">
        <f>IFERROR(__xludf.DUMMYFUNCTION("GOOGLETRANSLATE(A1182,""en"",""pt-br"")"),"cunts")</f>
        <v>cunts</v>
      </c>
      <c r="D1182" s="1" t="str">
        <f>IFERROR(__xludf.DUMMYFUNCTION("GOOGLETRANSLATE(B1182,""en"",""pt-br"")"),"negativo")</f>
        <v>negativo</v>
      </c>
    </row>
    <row r="1183" ht="15.75" customHeight="1">
      <c r="A1183" s="2" t="s">
        <v>1185</v>
      </c>
      <c r="B1183" s="2" t="s">
        <v>3</v>
      </c>
      <c r="C1183" s="1" t="str">
        <f>IFERROR(__xludf.DUMMYFUNCTION("GOOGLETRANSLATE(A1183,""en"",""pt-br"")"),"cuplrit")</f>
        <v>cuplrit</v>
      </c>
      <c r="D1183" s="1" t="str">
        <f>IFERROR(__xludf.DUMMYFUNCTION("GOOGLETRANSLATE(B1183,""en"",""pt-br"")"),"negativo")</f>
        <v>negativo</v>
      </c>
    </row>
    <row r="1184" ht="15.75" customHeight="1">
      <c r="A1184" s="2" t="s">
        <v>1186</v>
      </c>
      <c r="B1184" s="2" t="s">
        <v>14</v>
      </c>
      <c r="C1184" s="1" t="str">
        <f>IFERROR(__xludf.DUMMYFUNCTION("GOOGLETRANSLATE(A1184,""en"",""pt-br"")"),"cura")</f>
        <v>cura</v>
      </c>
      <c r="D1184" s="1" t="str">
        <f>IFERROR(__xludf.DUMMYFUNCTION("GOOGLETRANSLATE(B1184,""en"",""pt-br"")"),"positivo")</f>
        <v>positivo</v>
      </c>
    </row>
    <row r="1185" ht="15.75" customHeight="1">
      <c r="A1185" s="2" t="s">
        <v>1187</v>
      </c>
      <c r="B1185" s="2" t="s">
        <v>14</v>
      </c>
      <c r="C1185" s="1" t="str">
        <f>IFERROR(__xludf.DUMMYFUNCTION("GOOGLETRANSLATE(A1185,""en"",""pt-br"")"),"cura-tudo")</f>
        <v>cura-tudo</v>
      </c>
      <c r="D1185" s="1" t="str">
        <f>IFERROR(__xludf.DUMMYFUNCTION("GOOGLETRANSLATE(B1185,""en"",""pt-br"")"),"positivo")</f>
        <v>positivo</v>
      </c>
    </row>
    <row r="1186" ht="15.75" customHeight="1">
      <c r="A1186" s="2" t="s">
        <v>1188</v>
      </c>
      <c r="B1186" s="2" t="s">
        <v>3</v>
      </c>
      <c r="C1186" s="1" t="str">
        <f>IFERROR(__xludf.DUMMYFUNCTION("GOOGLETRANSLATE(A1186,""en"",""pt-br"")"),"maldição")</f>
        <v>maldição</v>
      </c>
      <c r="D1186" s="1" t="str">
        <f>IFERROR(__xludf.DUMMYFUNCTION("GOOGLETRANSLATE(B1186,""en"",""pt-br"")"),"negativo")</f>
        <v>negativo</v>
      </c>
    </row>
    <row r="1187" ht="15.75" customHeight="1">
      <c r="A1187" s="2" t="s">
        <v>1189</v>
      </c>
      <c r="B1187" s="2" t="s">
        <v>3</v>
      </c>
      <c r="C1187" s="1" t="str">
        <f>IFERROR(__xludf.DUMMYFUNCTION("GOOGLETRANSLATE(A1187,""en"",""pt-br"")"),"amaldiçoado")</f>
        <v>amaldiçoado</v>
      </c>
      <c r="D1187" s="1" t="str">
        <f>IFERROR(__xludf.DUMMYFUNCTION("GOOGLETRANSLATE(B1187,""en"",""pt-br"")"),"negativo")</f>
        <v>negativo</v>
      </c>
    </row>
    <row r="1188" ht="15.75" customHeight="1">
      <c r="A1188" s="2" t="s">
        <v>1190</v>
      </c>
      <c r="B1188" s="2" t="s">
        <v>3</v>
      </c>
      <c r="C1188" s="1" t="str">
        <f>IFERROR(__xludf.DUMMYFUNCTION("GOOGLETRANSLATE(A1188,""en"",""pt-br"")"),"maldições")</f>
        <v>maldições</v>
      </c>
      <c r="D1188" s="1" t="str">
        <f>IFERROR(__xludf.DUMMYFUNCTION("GOOGLETRANSLATE(B1188,""en"",""pt-br"")"),"negativo")</f>
        <v>negativo</v>
      </c>
    </row>
    <row r="1189" ht="15.75" customHeight="1">
      <c r="A1189" s="2" t="s">
        <v>1191</v>
      </c>
      <c r="B1189" s="2" t="s">
        <v>3</v>
      </c>
      <c r="C1189" s="1" t="str">
        <f>IFERROR(__xludf.DUMMYFUNCTION("GOOGLETRANSLATE(A1189,""en"",""pt-br"")"),"brusco")</f>
        <v>brusco</v>
      </c>
      <c r="D1189" s="1" t="str">
        <f>IFERROR(__xludf.DUMMYFUNCTION("GOOGLETRANSLATE(B1189,""en"",""pt-br"")"),"negativo")</f>
        <v>negativo</v>
      </c>
    </row>
    <row r="1190" ht="15.75" customHeight="1">
      <c r="A1190" s="2" t="s">
        <v>1192</v>
      </c>
      <c r="B1190" s="2" t="s">
        <v>14</v>
      </c>
      <c r="C1190" s="1" t="str">
        <f>IFERROR(__xludf.DUMMYFUNCTION("GOOGLETRANSLATE(A1190,""en"",""pt-br"")"),"confortável")</f>
        <v>confortável</v>
      </c>
      <c r="D1190" s="1" t="str">
        <f>IFERROR(__xludf.DUMMYFUNCTION("GOOGLETRANSLATE(B1190,""en"",""pt-br"")"),"positivo")</f>
        <v>positivo</v>
      </c>
    </row>
    <row r="1191" ht="15.75" customHeight="1">
      <c r="A1191" s="2" t="s">
        <v>1193</v>
      </c>
      <c r="B1191" s="2" t="s">
        <v>3</v>
      </c>
      <c r="C1191" s="1" t="str">
        <f>IFERROR(__xludf.DUMMYFUNCTION("GOOGLETRANSLATE(A1191,""en"",""pt-br"")"),"maldição")</f>
        <v>maldição</v>
      </c>
      <c r="D1191" s="1" t="str">
        <f>IFERROR(__xludf.DUMMYFUNCTION("GOOGLETRANSLATE(B1191,""en"",""pt-br"")"),"negativo")</f>
        <v>negativo</v>
      </c>
    </row>
    <row r="1192" ht="15.75" customHeight="1">
      <c r="A1192" s="2" t="s">
        <v>1194</v>
      </c>
      <c r="B1192" s="2" t="s">
        <v>3</v>
      </c>
      <c r="C1192" s="1" t="str">
        <f>IFERROR(__xludf.DUMMYFUNCTION("GOOGLETRANSLATE(A1192,""en"",""pt-br"")"),"maldito")</f>
        <v>maldito</v>
      </c>
      <c r="D1192" s="1" t="str">
        <f>IFERROR(__xludf.DUMMYFUNCTION("GOOGLETRANSLATE(B1192,""en"",""pt-br"")"),"negativo")</f>
        <v>negativo</v>
      </c>
    </row>
    <row r="1193" ht="15.75" customHeight="1">
      <c r="A1193" s="2" t="s">
        <v>1195</v>
      </c>
      <c r="B1193" s="2" t="s">
        <v>14</v>
      </c>
      <c r="C1193" s="1" t="str">
        <f>IFERROR(__xludf.DUMMYFUNCTION("GOOGLETRANSLATE(A1193,""en"",""pt-br"")"),"fofa")</f>
        <v>fofa</v>
      </c>
      <c r="D1193" s="1" t="str">
        <f>IFERROR(__xludf.DUMMYFUNCTION("GOOGLETRANSLATE(B1193,""en"",""pt-br"")"),"positivo")</f>
        <v>positivo</v>
      </c>
    </row>
    <row r="1194" ht="15.75" customHeight="1">
      <c r="A1194" s="2" t="s">
        <v>1196</v>
      </c>
      <c r="B1194" s="2" t="s">
        <v>14</v>
      </c>
      <c r="C1194" s="1" t="str">
        <f>IFERROR(__xludf.DUMMYFUNCTION("GOOGLETRANSLATE(A1194,""en"",""pt-br"")"),"fofura")</f>
        <v>fofura</v>
      </c>
      <c r="D1194" s="1" t="str">
        <f>IFERROR(__xludf.DUMMYFUNCTION("GOOGLETRANSLATE(B1194,""en"",""pt-br"")"),"positivo")</f>
        <v>positivo</v>
      </c>
    </row>
    <row r="1195" ht="15.75" customHeight="1">
      <c r="A1195" s="2" t="s">
        <v>1197</v>
      </c>
      <c r="B1195" s="2" t="s">
        <v>3</v>
      </c>
      <c r="C1195" s="1" t="str">
        <f>IFERROR(__xludf.DUMMYFUNCTION("GOOGLETRANSLATE(A1195,""en"",""pt-br"")"),"assassino")</f>
        <v>assassino</v>
      </c>
      <c r="D1195" s="1" t="str">
        <f>IFERROR(__xludf.DUMMYFUNCTION("GOOGLETRANSLATE(B1195,""en"",""pt-br"")"),"negativo")</f>
        <v>negativo</v>
      </c>
    </row>
    <row r="1196" ht="15.75" customHeight="1">
      <c r="A1196" s="2" t="s">
        <v>1198</v>
      </c>
      <c r="B1196" s="2" t="s">
        <v>3</v>
      </c>
      <c r="C1196" s="1" t="str">
        <f>IFERROR(__xludf.DUMMYFUNCTION("GOOGLETRANSLATE(A1196,""en"",""pt-br"")"),"cínico")</f>
        <v>cínico</v>
      </c>
      <c r="D1196" s="1" t="str">
        <f>IFERROR(__xludf.DUMMYFUNCTION("GOOGLETRANSLATE(B1196,""en"",""pt-br"")"),"negativo")</f>
        <v>negativo</v>
      </c>
    </row>
    <row r="1197" ht="15.75" customHeight="1">
      <c r="A1197" s="2" t="s">
        <v>1199</v>
      </c>
      <c r="B1197" s="2" t="s">
        <v>3</v>
      </c>
      <c r="C1197" s="1" t="str">
        <f>IFERROR(__xludf.DUMMYFUNCTION("GOOGLETRANSLATE(A1197,""en"",""pt-br"")"),"cinismo")</f>
        <v>cinismo</v>
      </c>
      <c r="D1197" s="1" t="str">
        <f>IFERROR(__xludf.DUMMYFUNCTION("GOOGLETRANSLATE(B1197,""en"",""pt-br"")"),"negativo")</f>
        <v>negativo</v>
      </c>
    </row>
    <row r="1198" ht="15.75" customHeight="1">
      <c r="A1198" s="2" t="s">
        <v>1200</v>
      </c>
      <c r="B1198" s="2" t="s">
        <v>3</v>
      </c>
      <c r="C1198" s="1" t="str">
        <f>IFERROR(__xludf.DUMMYFUNCTION("GOOGLETRANSLATE(A1198,""en"",""pt-br"")"),"d * mn")</f>
        <v>d * mn</v>
      </c>
      <c r="D1198" s="1" t="str">
        <f>IFERROR(__xludf.DUMMYFUNCTION("GOOGLETRANSLATE(B1198,""en"",""pt-br"")"),"negativo")</f>
        <v>negativo</v>
      </c>
    </row>
    <row r="1199" ht="15.75" customHeight="1">
      <c r="A1199" s="2" t="s">
        <v>1201</v>
      </c>
      <c r="B1199" s="2" t="s">
        <v>3</v>
      </c>
      <c r="C1199" s="1" t="str">
        <f>IFERROR(__xludf.DUMMYFUNCTION("GOOGLETRANSLATE(A1199,""en"",""pt-br"")"),"danificar")</f>
        <v>danificar</v>
      </c>
      <c r="D1199" s="1" t="str">
        <f>IFERROR(__xludf.DUMMYFUNCTION("GOOGLETRANSLATE(B1199,""en"",""pt-br"")"),"negativo")</f>
        <v>negativo</v>
      </c>
    </row>
    <row r="1200" ht="15.75" customHeight="1">
      <c r="A1200" s="2" t="s">
        <v>1202</v>
      </c>
      <c r="B1200" s="2" t="s">
        <v>3</v>
      </c>
      <c r="C1200" s="1" t="str">
        <f>IFERROR(__xludf.DUMMYFUNCTION("GOOGLETRANSLATE(A1200,""en"",""pt-br"")"),"estragado")</f>
        <v>estragado</v>
      </c>
      <c r="D1200" s="1" t="str">
        <f>IFERROR(__xludf.DUMMYFUNCTION("GOOGLETRANSLATE(B1200,""en"",""pt-br"")"),"negativo")</f>
        <v>negativo</v>
      </c>
    </row>
    <row r="1201" ht="15.75" customHeight="1">
      <c r="A1201" s="2" t="s">
        <v>1203</v>
      </c>
      <c r="B1201" s="2" t="s">
        <v>3</v>
      </c>
      <c r="C1201" s="1" t="str">
        <f>IFERROR(__xludf.DUMMYFUNCTION("GOOGLETRANSLATE(A1201,""en"",""pt-br"")"),"danos")</f>
        <v>danos</v>
      </c>
      <c r="D1201" s="1" t="str">
        <f>IFERROR(__xludf.DUMMYFUNCTION("GOOGLETRANSLATE(B1201,""en"",""pt-br"")"),"negativo")</f>
        <v>negativo</v>
      </c>
    </row>
    <row r="1202" ht="15.75" customHeight="1">
      <c r="A1202" s="2" t="s">
        <v>1204</v>
      </c>
      <c r="B1202" s="2" t="s">
        <v>3</v>
      </c>
      <c r="C1202" s="1" t="str">
        <f>IFERROR(__xludf.DUMMYFUNCTION("GOOGLETRANSLATE(A1202,""en"",""pt-br"")"),"danificar")</f>
        <v>danificar</v>
      </c>
      <c r="D1202" s="1" t="str">
        <f>IFERROR(__xludf.DUMMYFUNCTION("GOOGLETRANSLATE(B1202,""en"",""pt-br"")"),"negativo")</f>
        <v>negativo</v>
      </c>
    </row>
    <row r="1203" ht="15.75" customHeight="1">
      <c r="A1203" s="2" t="s">
        <v>1205</v>
      </c>
      <c r="B1203" s="2" t="s">
        <v>3</v>
      </c>
      <c r="C1203" s="1" t="str">
        <f>IFERROR(__xludf.DUMMYFUNCTION("GOOGLETRANSLATE(A1203,""en"",""pt-br"")"),"Droga")</f>
        <v>Droga</v>
      </c>
      <c r="D1203" s="1" t="str">
        <f>IFERROR(__xludf.DUMMYFUNCTION("GOOGLETRANSLATE(B1203,""en"",""pt-br"")"),"negativo")</f>
        <v>negativo</v>
      </c>
    </row>
    <row r="1204" ht="15.75" customHeight="1">
      <c r="A1204" s="2" t="s">
        <v>1206</v>
      </c>
      <c r="B1204" s="2" t="s">
        <v>3</v>
      </c>
      <c r="C1204" s="1" t="str">
        <f>IFERROR(__xludf.DUMMYFUNCTION("GOOGLETRANSLATE(A1204,""en"",""pt-br"")"),"condenável")</f>
        <v>condenável</v>
      </c>
      <c r="D1204" s="1" t="str">
        <f>IFERROR(__xludf.DUMMYFUNCTION("GOOGLETRANSLATE(B1204,""en"",""pt-br"")"),"negativo")</f>
        <v>negativo</v>
      </c>
    </row>
    <row r="1205" ht="15.75" customHeight="1">
      <c r="A1205" s="2" t="s">
        <v>1207</v>
      </c>
      <c r="B1205" s="2" t="s">
        <v>3</v>
      </c>
      <c r="C1205" s="1" t="str">
        <f>IFERROR(__xludf.DUMMYFUNCTION("GOOGLETRANSLATE(A1205,""en"",""pt-br"")"),"odiosamente")</f>
        <v>odiosamente</v>
      </c>
      <c r="D1205" s="1" t="str">
        <f>IFERROR(__xludf.DUMMYFUNCTION("GOOGLETRANSLATE(B1205,""en"",""pt-br"")"),"negativo")</f>
        <v>negativo</v>
      </c>
    </row>
    <row r="1206" ht="15.75" customHeight="1">
      <c r="A1206" s="2" t="s">
        <v>1208</v>
      </c>
      <c r="B1206" s="2" t="s">
        <v>3</v>
      </c>
      <c r="C1206" s="1" t="str">
        <f>IFERROR(__xludf.DUMMYFUNCTION("GOOGLETRANSLATE(A1206,""en"",""pt-br"")"),"condenação")</f>
        <v>condenação</v>
      </c>
      <c r="D1206" s="1" t="str">
        <f>IFERROR(__xludf.DUMMYFUNCTION("GOOGLETRANSLATE(B1206,""en"",""pt-br"")"),"negativo")</f>
        <v>negativo</v>
      </c>
    </row>
    <row r="1207" ht="15.75" customHeight="1">
      <c r="A1207" s="2" t="s">
        <v>1209</v>
      </c>
      <c r="B1207" s="2" t="s">
        <v>3</v>
      </c>
      <c r="C1207" s="1" t="str">
        <f>IFERROR(__xludf.DUMMYFUNCTION("GOOGLETRANSLATE(A1207,""en"",""pt-br"")"),"condenado")</f>
        <v>condenado</v>
      </c>
      <c r="D1207" s="1" t="str">
        <f>IFERROR(__xludf.DUMMYFUNCTION("GOOGLETRANSLATE(B1207,""en"",""pt-br"")"),"negativo")</f>
        <v>negativo</v>
      </c>
    </row>
    <row r="1208" ht="15.75" customHeight="1">
      <c r="A1208" s="2" t="s">
        <v>1210</v>
      </c>
      <c r="B1208" s="2" t="s">
        <v>3</v>
      </c>
      <c r="C1208" s="1" t="str">
        <f>IFERROR(__xludf.DUMMYFUNCTION("GOOGLETRANSLATE(A1208,""en"",""pt-br"")"),"condenatório")</f>
        <v>condenatório</v>
      </c>
      <c r="D1208" s="1" t="str">
        <f>IFERROR(__xludf.DUMMYFUNCTION("GOOGLETRANSLATE(B1208,""en"",""pt-br"")"),"negativo")</f>
        <v>negativo</v>
      </c>
    </row>
    <row r="1209" ht="15.75" customHeight="1">
      <c r="A1209" s="2" t="s">
        <v>1211</v>
      </c>
      <c r="B1209" s="2" t="s">
        <v>3</v>
      </c>
      <c r="C1209" s="1" t="str">
        <f>IFERROR(__xludf.DUMMYFUNCTION("GOOGLETRANSLATE(A1209,""en"",""pt-br"")"),"amortecedor")</f>
        <v>amortecedor</v>
      </c>
      <c r="D1209" s="1" t="str">
        <f>IFERROR(__xludf.DUMMYFUNCTION("GOOGLETRANSLATE(B1209,""en"",""pt-br"")"),"negativo")</f>
        <v>negativo</v>
      </c>
    </row>
    <row r="1210" ht="15.75" customHeight="1">
      <c r="A1210" s="2" t="s">
        <v>1212</v>
      </c>
      <c r="B1210" s="2" t="s">
        <v>3</v>
      </c>
      <c r="C1210" s="1" t="str">
        <f>IFERROR(__xludf.DUMMYFUNCTION("GOOGLETRANSLATE(A1210,""en"",""pt-br"")"),"perigo")</f>
        <v>perigo</v>
      </c>
      <c r="D1210" s="1" t="str">
        <f>IFERROR(__xludf.DUMMYFUNCTION("GOOGLETRANSLATE(B1210,""en"",""pt-br"")"),"negativo")</f>
        <v>negativo</v>
      </c>
    </row>
    <row r="1211" ht="15.75" customHeight="1">
      <c r="A1211" s="2" t="s">
        <v>1213</v>
      </c>
      <c r="B1211" s="2" t="s">
        <v>3</v>
      </c>
      <c r="C1211" s="1" t="str">
        <f>IFERROR(__xludf.DUMMYFUNCTION("GOOGLETRANSLATE(A1211,""en"",""pt-br"")"),"perigoso")</f>
        <v>perigoso</v>
      </c>
      <c r="D1211" s="1" t="str">
        <f>IFERROR(__xludf.DUMMYFUNCTION("GOOGLETRANSLATE(B1211,""en"",""pt-br"")"),"negativo")</f>
        <v>negativo</v>
      </c>
    </row>
    <row r="1212" ht="15.75" customHeight="1">
      <c r="A1212" s="2" t="s">
        <v>1214</v>
      </c>
      <c r="B1212" s="2" t="s">
        <v>3</v>
      </c>
      <c r="C1212" s="1" t="str">
        <f>IFERROR(__xludf.DUMMYFUNCTION("GOOGLETRANSLATE(A1212,""en"",""pt-br"")"),"periculosidade")</f>
        <v>periculosidade</v>
      </c>
      <c r="D1212" s="1" t="str">
        <f>IFERROR(__xludf.DUMMYFUNCTION("GOOGLETRANSLATE(B1212,""en"",""pt-br"")"),"negativo")</f>
        <v>negativo</v>
      </c>
    </row>
    <row r="1213" ht="15.75" customHeight="1">
      <c r="A1213" s="2" t="s">
        <v>1215</v>
      </c>
      <c r="B1213" s="2" t="s">
        <v>14</v>
      </c>
      <c r="C1213" s="1" t="str">
        <f>IFERROR(__xludf.DUMMYFUNCTION("GOOGLETRANSLATE(A1213,""en"",""pt-br"")"),"danke")</f>
        <v>danke</v>
      </c>
      <c r="D1213" s="1" t="str">
        <f>IFERROR(__xludf.DUMMYFUNCTION("GOOGLETRANSLATE(B1213,""en"",""pt-br"")"),"positivo")</f>
        <v>positivo</v>
      </c>
    </row>
    <row r="1214" ht="15.75" customHeight="1">
      <c r="A1214" s="2" t="s">
        <v>1216</v>
      </c>
      <c r="B1214" s="2" t="s">
        <v>14</v>
      </c>
      <c r="C1214" s="1" t="str">
        <f>IFERROR(__xludf.DUMMYFUNCTION("GOOGLETRANSLATE(A1214,""en"",""pt-br"")"),"danken")</f>
        <v>danken</v>
      </c>
      <c r="D1214" s="1" t="str">
        <f>IFERROR(__xludf.DUMMYFUNCTION("GOOGLETRANSLATE(B1214,""en"",""pt-br"")"),"positivo")</f>
        <v>positivo</v>
      </c>
    </row>
    <row r="1215" ht="15.75" customHeight="1">
      <c r="A1215" s="2" t="s">
        <v>1217</v>
      </c>
      <c r="B1215" s="2" t="s">
        <v>14</v>
      </c>
      <c r="C1215" s="1" t="str">
        <f>IFERROR(__xludf.DUMMYFUNCTION("GOOGLETRANSLATE(A1215,""en"",""pt-br"")"),"ousado")</f>
        <v>ousado</v>
      </c>
      <c r="D1215" s="1" t="str">
        <f>IFERROR(__xludf.DUMMYFUNCTION("GOOGLETRANSLATE(B1215,""en"",""pt-br"")"),"positivo")</f>
        <v>positivo</v>
      </c>
    </row>
    <row r="1216" ht="15.75" customHeight="1">
      <c r="A1216" s="2" t="s">
        <v>1218</v>
      </c>
      <c r="B1216" s="2" t="s">
        <v>14</v>
      </c>
      <c r="C1216" s="1" t="str">
        <f>IFERROR(__xludf.DUMMYFUNCTION("GOOGLETRANSLATE(A1216,""en"",""pt-br"")"),"ousadamente")</f>
        <v>ousadamente</v>
      </c>
      <c r="D1216" s="1" t="str">
        <f>IFERROR(__xludf.DUMMYFUNCTION("GOOGLETRANSLATE(B1216,""en"",""pt-br"")"),"positivo")</f>
        <v>positivo</v>
      </c>
    </row>
    <row r="1217" ht="15.75" customHeight="1">
      <c r="A1217" s="2" t="s">
        <v>1219</v>
      </c>
      <c r="B1217" s="2" t="s">
        <v>3</v>
      </c>
      <c r="C1217" s="1" t="str">
        <f>IFERROR(__xludf.DUMMYFUNCTION("GOOGLETRANSLATE(A1217,""en"",""pt-br"")"),"Sombrio")</f>
        <v>Sombrio</v>
      </c>
      <c r="D1217" s="1" t="str">
        <f>IFERROR(__xludf.DUMMYFUNCTION("GOOGLETRANSLATE(B1217,""en"",""pt-br"")"),"negativo")</f>
        <v>negativo</v>
      </c>
    </row>
    <row r="1218" ht="15.75" customHeight="1">
      <c r="A1218" s="2" t="s">
        <v>1220</v>
      </c>
      <c r="B1218" s="2" t="s">
        <v>3</v>
      </c>
      <c r="C1218" s="1" t="str">
        <f>IFERROR(__xludf.DUMMYFUNCTION("GOOGLETRANSLATE(A1218,""en"",""pt-br"")"),"escurecer")</f>
        <v>escurecer</v>
      </c>
      <c r="D1218" s="1" t="str">
        <f>IFERROR(__xludf.DUMMYFUNCTION("GOOGLETRANSLATE(B1218,""en"",""pt-br"")"),"negativo")</f>
        <v>negativo</v>
      </c>
    </row>
    <row r="1219" ht="15.75" customHeight="1">
      <c r="A1219" s="2" t="s">
        <v>1221</v>
      </c>
      <c r="B1219" s="2" t="s">
        <v>3</v>
      </c>
      <c r="C1219" s="1" t="str">
        <f>IFERROR(__xludf.DUMMYFUNCTION("GOOGLETRANSLATE(A1219,""en"",""pt-br"")"),"escurecido")</f>
        <v>escurecido</v>
      </c>
      <c r="D1219" s="1" t="str">
        <f>IFERROR(__xludf.DUMMYFUNCTION("GOOGLETRANSLATE(B1219,""en"",""pt-br"")"),"negativo")</f>
        <v>negativo</v>
      </c>
    </row>
    <row r="1220" ht="15.75" customHeight="1">
      <c r="A1220" s="2" t="s">
        <v>1222</v>
      </c>
      <c r="B1220" s="2" t="s">
        <v>3</v>
      </c>
      <c r="C1220" s="1" t="str">
        <f>IFERROR(__xludf.DUMMYFUNCTION("GOOGLETRANSLATE(A1220,""en"",""pt-br"")"),"mais escura")</f>
        <v>mais escura</v>
      </c>
      <c r="D1220" s="1" t="str">
        <f>IFERROR(__xludf.DUMMYFUNCTION("GOOGLETRANSLATE(B1220,""en"",""pt-br"")"),"negativo")</f>
        <v>negativo</v>
      </c>
    </row>
    <row r="1221" ht="15.75" customHeight="1">
      <c r="A1221" s="2" t="s">
        <v>1223</v>
      </c>
      <c r="B1221" s="2" t="s">
        <v>3</v>
      </c>
      <c r="C1221" s="1" t="str">
        <f>IFERROR(__xludf.DUMMYFUNCTION("GOOGLETRANSLATE(A1221,""en"",""pt-br"")"),"Trevas")</f>
        <v>Trevas</v>
      </c>
      <c r="D1221" s="1" t="str">
        <f>IFERROR(__xludf.DUMMYFUNCTION("GOOGLETRANSLATE(B1221,""en"",""pt-br"")"),"negativo")</f>
        <v>negativo</v>
      </c>
    </row>
    <row r="1222" ht="15.75" customHeight="1">
      <c r="A1222" s="2" t="s">
        <v>1224</v>
      </c>
      <c r="B1222" s="2" t="s">
        <v>14</v>
      </c>
      <c r="C1222" s="1" t="str">
        <f>IFERROR(__xludf.DUMMYFUNCTION("GOOGLETRANSLATE(A1222,""en"",""pt-br"")"),"querida")</f>
        <v>querida</v>
      </c>
      <c r="D1222" s="1" t="str">
        <f>IFERROR(__xludf.DUMMYFUNCTION("GOOGLETRANSLATE(B1222,""en"",""pt-br"")"),"positivo")</f>
        <v>positivo</v>
      </c>
    </row>
    <row r="1223" ht="15.75" customHeight="1">
      <c r="A1223" s="2" t="s">
        <v>1225</v>
      </c>
      <c r="B1223" s="2" t="s">
        <v>14</v>
      </c>
      <c r="C1223" s="1" t="str">
        <f>IFERROR(__xludf.DUMMYFUNCTION("GOOGLETRANSLATE(A1223,""en"",""pt-br"")"),"arrojado")</f>
        <v>arrojado</v>
      </c>
      <c r="D1223" s="1" t="str">
        <f>IFERROR(__xludf.DUMMYFUNCTION("GOOGLETRANSLATE(B1223,""en"",""pt-br"")"),"positivo")</f>
        <v>positivo</v>
      </c>
    </row>
    <row r="1224" ht="15.75" customHeight="1">
      <c r="A1224" s="2" t="s">
        <v>1226</v>
      </c>
      <c r="B1224" s="2" t="s">
        <v>3</v>
      </c>
      <c r="C1224" s="1" t="str">
        <f>IFERROR(__xludf.DUMMYFUNCTION("GOOGLETRANSLATE(A1224,""en"",""pt-br"")"),"covarde")</f>
        <v>covarde</v>
      </c>
      <c r="D1224" s="1" t="str">
        <f>IFERROR(__xludf.DUMMYFUNCTION("GOOGLETRANSLATE(B1224,""en"",""pt-br"")"),"negativo")</f>
        <v>negativo</v>
      </c>
    </row>
    <row r="1225" ht="15.75" customHeight="1">
      <c r="A1225" s="2" t="s">
        <v>1227</v>
      </c>
      <c r="B1225" s="2" t="s">
        <v>3</v>
      </c>
      <c r="C1225" s="1" t="str">
        <f>IFERROR(__xludf.DUMMYFUNCTION("GOOGLETRANSLATE(A1225,""en"",""pt-br"")"),"covarde")</f>
        <v>covarde</v>
      </c>
      <c r="D1225" s="1" t="str">
        <f>IFERROR(__xludf.DUMMYFUNCTION("GOOGLETRANSLATE(B1225,""en"",""pt-br"")"),"negativo")</f>
        <v>negativo</v>
      </c>
    </row>
    <row r="1226" ht="15.75" customHeight="1">
      <c r="A1226" s="2" t="s">
        <v>1228</v>
      </c>
      <c r="B1226" s="2" t="s">
        <v>3</v>
      </c>
      <c r="C1226" s="1" t="str">
        <f>IFERROR(__xludf.DUMMYFUNCTION("GOOGLETRANSLATE(A1226,""en"",""pt-br"")"),"assustar")</f>
        <v>assustar</v>
      </c>
      <c r="D1226" s="1" t="str">
        <f>IFERROR(__xludf.DUMMYFUNCTION("GOOGLETRANSLATE(B1226,""en"",""pt-br"")"),"negativo")</f>
        <v>negativo</v>
      </c>
    </row>
    <row r="1227" ht="15.75" customHeight="1">
      <c r="A1227" s="2" t="s">
        <v>1229</v>
      </c>
      <c r="B1227" s="2" t="s">
        <v>3</v>
      </c>
      <c r="C1227" s="1" t="str">
        <f>IFERROR(__xludf.DUMMYFUNCTION("GOOGLETRANSLATE(A1227,""en"",""pt-br"")"),"assustadora")</f>
        <v>assustadora</v>
      </c>
      <c r="D1227" s="1" t="str">
        <f>IFERROR(__xludf.DUMMYFUNCTION("GOOGLETRANSLATE(B1227,""en"",""pt-br"")"),"negativo")</f>
        <v>negativo</v>
      </c>
    </row>
    <row r="1228" ht="15.75" customHeight="1">
      <c r="A1228" s="2" t="s">
        <v>1230</v>
      </c>
      <c r="B1228" s="2" t="s">
        <v>3</v>
      </c>
      <c r="C1228" s="1" t="str">
        <f>IFERROR(__xludf.DUMMYFUNCTION("GOOGLETRANSLATE(A1228,""en"",""pt-br"")"),"dauntingly")</f>
        <v>dauntingly</v>
      </c>
      <c r="D1228" s="1" t="str">
        <f>IFERROR(__xludf.DUMMYFUNCTION("GOOGLETRANSLATE(B1228,""en"",""pt-br"")"),"negativo")</f>
        <v>negativo</v>
      </c>
    </row>
    <row r="1229" ht="15.75" customHeight="1">
      <c r="A1229" s="2" t="s">
        <v>1231</v>
      </c>
      <c r="B1229" s="2" t="s">
        <v>14</v>
      </c>
      <c r="C1229" s="1" t="str">
        <f>IFERROR(__xludf.DUMMYFUNCTION("GOOGLETRANSLATE(A1229,""en"",""pt-br"")"),"destemido")</f>
        <v>destemido</v>
      </c>
      <c r="D1229" s="1" t="str">
        <f>IFERROR(__xludf.DUMMYFUNCTION("GOOGLETRANSLATE(B1229,""en"",""pt-br"")"),"positivo")</f>
        <v>positivo</v>
      </c>
    </row>
    <row r="1230" ht="15.75" customHeight="1">
      <c r="A1230" s="2" t="s">
        <v>1232</v>
      </c>
      <c r="B1230" s="2" t="s">
        <v>3</v>
      </c>
      <c r="C1230" s="1" t="str">
        <f>IFERROR(__xludf.DUMMYFUNCTION("GOOGLETRANSLATE(A1230,""en"",""pt-br"")"),"ociosidade")</f>
        <v>ociosidade</v>
      </c>
      <c r="D1230" s="1" t="str">
        <f>IFERROR(__xludf.DUMMYFUNCTION("GOOGLETRANSLATE(B1230,""en"",""pt-br"")"),"negativo")</f>
        <v>negativo</v>
      </c>
    </row>
    <row r="1231" ht="15.75" customHeight="1">
      <c r="A1231" s="2" t="s">
        <v>1233</v>
      </c>
      <c r="B1231" s="2" t="s">
        <v>14</v>
      </c>
      <c r="C1231" s="1" t="str">
        <f>IFERROR(__xludf.DUMMYFUNCTION("GOOGLETRANSLATE(A1231,""en"",""pt-br"")"),"alvorecer")</f>
        <v>alvorecer</v>
      </c>
      <c r="D1231" s="1" t="str">
        <f>IFERROR(__xludf.DUMMYFUNCTION("GOOGLETRANSLATE(B1231,""en"",""pt-br"")"),"positivo")</f>
        <v>positivo</v>
      </c>
    </row>
    <row r="1232" ht="15.75" customHeight="1">
      <c r="A1232" s="2" t="s">
        <v>1234</v>
      </c>
      <c r="B1232" s="2" t="s">
        <v>3</v>
      </c>
      <c r="C1232" s="1" t="str">
        <f>IFERROR(__xludf.DUMMYFUNCTION("GOOGLETRANSLATE(A1232,""en"",""pt-br"")"),"torpor")</f>
        <v>torpor</v>
      </c>
      <c r="D1232" s="1" t="str">
        <f>IFERROR(__xludf.DUMMYFUNCTION("GOOGLETRANSLATE(B1232,""en"",""pt-br"")"),"negativo")</f>
        <v>negativo</v>
      </c>
    </row>
    <row r="1233" ht="15.75" customHeight="1">
      <c r="A1233" s="2" t="s">
        <v>1235</v>
      </c>
      <c r="B1233" s="2" t="s">
        <v>3</v>
      </c>
      <c r="C1233" s="1" t="str">
        <f>IFERROR(__xludf.DUMMYFUNCTION("GOOGLETRANSLATE(A1233,""en"",""pt-br"")"),"atordoado")</f>
        <v>atordoado</v>
      </c>
      <c r="D1233" s="1" t="str">
        <f>IFERROR(__xludf.DUMMYFUNCTION("GOOGLETRANSLATE(B1233,""en"",""pt-br"")"),"negativo")</f>
        <v>negativo</v>
      </c>
    </row>
    <row r="1234" ht="15.75" customHeight="1">
      <c r="A1234" s="2" t="s">
        <v>1236</v>
      </c>
      <c r="B1234" s="2" t="s">
        <v>14</v>
      </c>
      <c r="C1234" s="1" t="str">
        <f>IFERROR(__xludf.DUMMYFUNCTION("GOOGLETRANSLATE(A1234,""en"",""pt-br"")"),"deslumbrar")</f>
        <v>deslumbrar</v>
      </c>
      <c r="D1234" s="1" t="str">
        <f>IFERROR(__xludf.DUMMYFUNCTION("GOOGLETRANSLATE(B1234,""en"",""pt-br"")"),"positivo")</f>
        <v>positivo</v>
      </c>
    </row>
    <row r="1235" ht="15.75" customHeight="1">
      <c r="A1235" s="2" t="s">
        <v>1237</v>
      </c>
      <c r="B1235" s="2" t="s">
        <v>14</v>
      </c>
      <c r="C1235" s="1" t="str">
        <f>IFERROR(__xludf.DUMMYFUNCTION("GOOGLETRANSLATE(A1235,""en"",""pt-br"")"),"deslumbrada")</f>
        <v>deslumbrada</v>
      </c>
      <c r="D1235" s="1" t="str">
        <f>IFERROR(__xludf.DUMMYFUNCTION("GOOGLETRANSLATE(B1235,""en"",""pt-br"")"),"positivo")</f>
        <v>positivo</v>
      </c>
    </row>
    <row r="1236" ht="15.75" customHeight="1">
      <c r="A1236" s="2" t="s">
        <v>1238</v>
      </c>
      <c r="B1236" s="2" t="s">
        <v>14</v>
      </c>
      <c r="C1236" s="1" t="str">
        <f>IFERROR(__xludf.DUMMYFUNCTION("GOOGLETRANSLATE(A1236,""en"",""pt-br"")"),"deslumbrante")</f>
        <v>deslumbrante</v>
      </c>
      <c r="D1236" s="1" t="str">
        <f>IFERROR(__xludf.DUMMYFUNCTION("GOOGLETRANSLATE(B1236,""en"",""pt-br"")"),"positivo")</f>
        <v>positivo</v>
      </c>
    </row>
    <row r="1237" ht="15.75" customHeight="1">
      <c r="A1237" s="2" t="s">
        <v>1239</v>
      </c>
      <c r="B1237" s="2" t="s">
        <v>3</v>
      </c>
      <c r="C1237" s="1" t="str">
        <f>IFERROR(__xludf.DUMMYFUNCTION("GOOGLETRANSLATE(A1237,""en"",""pt-br"")"),"morto")</f>
        <v>morto</v>
      </c>
      <c r="D1237" s="1" t="str">
        <f>IFERROR(__xludf.DUMMYFUNCTION("GOOGLETRANSLATE(B1237,""en"",""pt-br"")"),"negativo")</f>
        <v>negativo</v>
      </c>
    </row>
    <row r="1238" ht="15.75" customHeight="1">
      <c r="A1238" s="2" t="s">
        <v>1240</v>
      </c>
      <c r="B1238" s="2" t="s">
        <v>14</v>
      </c>
      <c r="C1238" s="1" t="str">
        <f>IFERROR(__xludf.DUMMYFUNCTION("GOOGLETRANSLATE(A1238,""en"",""pt-br"")"),"dead-barato")</f>
        <v>dead-barato</v>
      </c>
      <c r="D1238" s="1" t="str">
        <f>IFERROR(__xludf.DUMMYFUNCTION("GOOGLETRANSLATE(B1238,""en"",""pt-br"")"),"positivo")</f>
        <v>positivo</v>
      </c>
    </row>
    <row r="1239" ht="15.75" customHeight="1">
      <c r="A1239" s="2" t="s">
        <v>1241</v>
      </c>
      <c r="B1239" s="2" t="s">
        <v>14</v>
      </c>
      <c r="C1239" s="1" t="str">
        <f>IFERROR(__xludf.DUMMYFUNCTION("GOOGLETRANSLATE(A1239,""en"",""pt-br"")"),"dead-on")</f>
        <v>dead-on</v>
      </c>
      <c r="D1239" s="1" t="str">
        <f>IFERROR(__xludf.DUMMYFUNCTION("GOOGLETRANSLATE(B1239,""en"",""pt-br"")"),"positivo")</f>
        <v>positivo</v>
      </c>
    </row>
    <row r="1240" ht="15.75" customHeight="1">
      <c r="A1240" s="2" t="s">
        <v>1242</v>
      </c>
      <c r="B1240" s="2" t="s">
        <v>3</v>
      </c>
      <c r="C1240" s="1" t="str">
        <f>IFERROR(__xludf.DUMMYFUNCTION("GOOGLETRANSLATE(A1240,""en"",""pt-br"")"),"caloteiro")</f>
        <v>caloteiro</v>
      </c>
      <c r="D1240" s="1" t="str">
        <f>IFERROR(__xludf.DUMMYFUNCTION("GOOGLETRANSLATE(B1240,""en"",""pt-br"")"),"negativo")</f>
        <v>negativo</v>
      </c>
    </row>
    <row r="1241" ht="15.75" customHeight="1">
      <c r="A1241" s="2" t="s">
        <v>1243</v>
      </c>
      <c r="B1241" s="2" t="s">
        <v>3</v>
      </c>
      <c r="C1241" s="1" t="str">
        <f>IFERROR(__xludf.DUMMYFUNCTION("GOOGLETRANSLATE(A1241,""en"",""pt-br"")"),"impasse")</f>
        <v>impasse</v>
      </c>
      <c r="D1241" s="1" t="str">
        <f>IFERROR(__xludf.DUMMYFUNCTION("GOOGLETRANSLATE(B1241,""en"",""pt-br"")"),"negativo")</f>
        <v>negativo</v>
      </c>
    </row>
    <row r="1242" ht="15.75" customHeight="1">
      <c r="A1242" s="2" t="s">
        <v>1244</v>
      </c>
      <c r="B1242" s="2" t="s">
        <v>3</v>
      </c>
      <c r="C1242" s="1" t="str">
        <f>IFERROR(__xludf.DUMMYFUNCTION("GOOGLETRANSLATE(A1242,""en"",""pt-br"")"),"mortal")</f>
        <v>mortal</v>
      </c>
      <c r="D1242" s="1" t="str">
        <f>IFERROR(__xludf.DUMMYFUNCTION("GOOGLETRANSLATE(B1242,""en"",""pt-br"")"),"negativo")</f>
        <v>negativo</v>
      </c>
    </row>
    <row r="1243" ht="15.75" customHeight="1">
      <c r="A1243" s="2" t="s">
        <v>1245</v>
      </c>
      <c r="B1243" s="2" t="s">
        <v>3</v>
      </c>
      <c r="C1243" s="1" t="str">
        <f>IFERROR(__xludf.DUMMYFUNCTION("GOOGLETRANSLATE(A1243,""en"",""pt-br"")"),"peso morto")</f>
        <v>peso morto</v>
      </c>
      <c r="D1243" s="1" t="str">
        <f>IFERROR(__xludf.DUMMYFUNCTION("GOOGLETRANSLATE(B1243,""en"",""pt-br"")"),"negativo")</f>
        <v>negativo</v>
      </c>
    </row>
    <row r="1244" ht="15.75" customHeight="1">
      <c r="A1244" s="2" t="s">
        <v>1246</v>
      </c>
      <c r="B1244" s="2" t="s">
        <v>3</v>
      </c>
      <c r="C1244" s="1" t="str">
        <f>IFERROR(__xludf.DUMMYFUNCTION("GOOGLETRANSLATE(A1244,""en"",""pt-br"")"),"surdo")</f>
        <v>surdo</v>
      </c>
      <c r="D1244" s="1" t="str">
        <f>IFERROR(__xludf.DUMMYFUNCTION("GOOGLETRANSLATE(B1244,""en"",""pt-br"")"),"negativo")</f>
        <v>negativo</v>
      </c>
    </row>
    <row r="1245" ht="15.75" customHeight="1">
      <c r="A1245" s="2" t="s">
        <v>1247</v>
      </c>
      <c r="B1245" s="2" t="s">
        <v>3</v>
      </c>
      <c r="C1245" s="1" t="str">
        <f>IFERROR(__xludf.DUMMYFUNCTION("GOOGLETRANSLATE(A1245,""en"",""pt-br"")"),"escassez")</f>
        <v>escassez</v>
      </c>
      <c r="D1245" s="1" t="str">
        <f>IFERROR(__xludf.DUMMYFUNCTION("GOOGLETRANSLATE(B1245,""en"",""pt-br"")"),"negativo")</f>
        <v>negativo</v>
      </c>
    </row>
    <row r="1246" ht="15.75" customHeight="1">
      <c r="A1246" s="2" t="s">
        <v>1248</v>
      </c>
      <c r="B1246" s="2" t="s">
        <v>3</v>
      </c>
      <c r="C1246" s="1" t="str">
        <f>IFERROR(__xludf.DUMMYFUNCTION("GOOGLETRANSLATE(A1246,""en"",""pt-br"")"),"morte")</f>
        <v>morte</v>
      </c>
      <c r="D1246" s="1" t="str">
        <f>IFERROR(__xludf.DUMMYFUNCTION("GOOGLETRANSLATE(B1246,""en"",""pt-br"")"),"negativo")</f>
        <v>negativo</v>
      </c>
    </row>
    <row r="1247" ht="15.75" customHeight="1">
      <c r="A1247" s="2" t="s">
        <v>1249</v>
      </c>
      <c r="B1247" s="2" t="s">
        <v>3</v>
      </c>
      <c r="C1247" s="1" t="str">
        <f>IFERROR(__xludf.DUMMYFUNCTION("GOOGLETRANSLATE(A1247,""en"",""pt-br"")"),"fiasco")</f>
        <v>fiasco</v>
      </c>
      <c r="D1247" s="1" t="str">
        <f>IFERROR(__xludf.DUMMYFUNCTION("GOOGLETRANSLATE(B1247,""en"",""pt-br"")"),"negativo")</f>
        <v>negativo</v>
      </c>
    </row>
    <row r="1248" ht="15.75" customHeight="1">
      <c r="A1248" s="2" t="s">
        <v>1250</v>
      </c>
      <c r="B1248" s="2" t="s">
        <v>3</v>
      </c>
      <c r="C1248" s="1" t="str">
        <f>IFERROR(__xludf.DUMMYFUNCTION("GOOGLETRANSLATE(A1248,""en"",""pt-br"")"),"aviltar")</f>
        <v>aviltar</v>
      </c>
      <c r="D1248" s="1" t="str">
        <f>IFERROR(__xludf.DUMMYFUNCTION("GOOGLETRANSLATE(B1248,""en"",""pt-br"")"),"negativo")</f>
        <v>negativo</v>
      </c>
    </row>
    <row r="1249" ht="15.75" customHeight="1">
      <c r="A1249" s="2" t="s">
        <v>1251</v>
      </c>
      <c r="B1249" s="2" t="s">
        <v>3</v>
      </c>
      <c r="C1249" s="1" t="str">
        <f>IFERROR(__xludf.DUMMYFUNCTION("GOOGLETRANSLATE(A1249,""en"",""pt-br"")"),"aviltamento")</f>
        <v>aviltamento</v>
      </c>
      <c r="D1249" s="1" t="str">
        <f>IFERROR(__xludf.DUMMYFUNCTION("GOOGLETRANSLATE(B1249,""en"",""pt-br"")"),"negativo")</f>
        <v>negativo</v>
      </c>
    </row>
    <row r="1250" ht="15.75" customHeight="1">
      <c r="A1250" s="2" t="s">
        <v>1252</v>
      </c>
      <c r="B1250" s="2" t="s">
        <v>3</v>
      </c>
      <c r="C1250" s="1" t="str">
        <f>IFERROR(__xludf.DUMMYFUNCTION("GOOGLETRANSLATE(A1250,""en"",""pt-br"")"),"debaser")</f>
        <v>debaser</v>
      </c>
      <c r="D1250" s="1" t="str">
        <f>IFERROR(__xludf.DUMMYFUNCTION("GOOGLETRANSLATE(B1250,""en"",""pt-br"")"),"negativo")</f>
        <v>negativo</v>
      </c>
    </row>
    <row r="1251" ht="15.75" customHeight="1">
      <c r="A1251" s="2" t="s">
        <v>1253</v>
      </c>
      <c r="B1251" s="2" t="s">
        <v>3</v>
      </c>
      <c r="C1251" s="1" t="str">
        <f>IFERROR(__xludf.DUMMYFUNCTION("GOOGLETRANSLATE(A1251,""en"",""pt-br"")"),"discutível")</f>
        <v>discutível</v>
      </c>
      <c r="D1251" s="1" t="str">
        <f>IFERROR(__xludf.DUMMYFUNCTION("GOOGLETRANSLATE(B1251,""en"",""pt-br"")"),"negativo")</f>
        <v>negativo</v>
      </c>
    </row>
    <row r="1252" ht="15.75" customHeight="1">
      <c r="A1252" s="2" t="s">
        <v>1254</v>
      </c>
      <c r="B1252" s="2" t="s">
        <v>3</v>
      </c>
      <c r="C1252" s="1" t="str">
        <f>IFERROR(__xludf.DUMMYFUNCTION("GOOGLETRANSLATE(A1252,""en"",""pt-br"")"),"deboche")</f>
        <v>deboche</v>
      </c>
      <c r="D1252" s="1" t="str">
        <f>IFERROR(__xludf.DUMMYFUNCTION("GOOGLETRANSLATE(B1252,""en"",""pt-br"")"),"negativo")</f>
        <v>negativo</v>
      </c>
    </row>
    <row r="1253" ht="15.75" customHeight="1">
      <c r="A1253" s="2" t="s">
        <v>1255</v>
      </c>
      <c r="B1253" s="2" t="s">
        <v>3</v>
      </c>
      <c r="C1253" s="1" t="str">
        <f>IFERROR(__xludf.DUMMYFUNCTION("GOOGLETRANSLATE(A1253,""en"",""pt-br"")"),"devasso")</f>
        <v>devasso</v>
      </c>
      <c r="D1253" s="1" t="str">
        <f>IFERROR(__xludf.DUMMYFUNCTION("GOOGLETRANSLATE(B1253,""en"",""pt-br"")"),"negativo")</f>
        <v>negativo</v>
      </c>
    </row>
    <row r="1254" ht="15.75" customHeight="1">
      <c r="A1254" s="2" t="s">
        <v>1256</v>
      </c>
      <c r="B1254" s="2" t="s">
        <v>3</v>
      </c>
      <c r="C1254" s="1" t="str">
        <f>IFERROR(__xludf.DUMMYFUNCTION("GOOGLETRANSLATE(A1254,""en"",""pt-br"")"),"deboche")</f>
        <v>deboche</v>
      </c>
      <c r="D1254" s="1" t="str">
        <f>IFERROR(__xludf.DUMMYFUNCTION("GOOGLETRANSLATE(B1254,""en"",""pt-br"")"),"negativo")</f>
        <v>negativo</v>
      </c>
    </row>
    <row r="1255" ht="15.75" customHeight="1">
      <c r="A1255" s="2" t="s">
        <v>1257</v>
      </c>
      <c r="B1255" s="2" t="s">
        <v>3</v>
      </c>
      <c r="C1255" s="1" t="str">
        <f>IFERROR(__xludf.DUMMYFUNCTION("GOOGLETRANSLATE(A1255,""en"",""pt-br"")"),"debilitar")</f>
        <v>debilitar</v>
      </c>
      <c r="D1255" s="1" t="str">
        <f>IFERROR(__xludf.DUMMYFUNCTION("GOOGLETRANSLATE(B1255,""en"",""pt-br"")"),"negativo")</f>
        <v>negativo</v>
      </c>
    </row>
    <row r="1256" ht="15.75" customHeight="1">
      <c r="A1256" s="2" t="s">
        <v>1258</v>
      </c>
      <c r="B1256" s="2" t="s">
        <v>3</v>
      </c>
      <c r="C1256" s="1" t="str">
        <f>IFERROR(__xludf.DUMMYFUNCTION("GOOGLETRANSLATE(A1256,""en"",""pt-br"")"),"debilitante")</f>
        <v>debilitante</v>
      </c>
      <c r="D1256" s="1" t="str">
        <f>IFERROR(__xludf.DUMMYFUNCTION("GOOGLETRANSLATE(B1256,""en"",""pt-br"")"),"negativo")</f>
        <v>negativo</v>
      </c>
    </row>
    <row r="1257" ht="15.75" customHeight="1">
      <c r="A1257" s="2" t="s">
        <v>1259</v>
      </c>
      <c r="B1257" s="2" t="s">
        <v>3</v>
      </c>
      <c r="C1257" s="1" t="str">
        <f>IFERROR(__xludf.DUMMYFUNCTION("GOOGLETRANSLATE(A1257,""en"",""pt-br"")"),"debilidade")</f>
        <v>debilidade</v>
      </c>
      <c r="D1257" s="1" t="str">
        <f>IFERROR(__xludf.DUMMYFUNCTION("GOOGLETRANSLATE(B1257,""en"",""pt-br"")"),"negativo")</f>
        <v>negativo</v>
      </c>
    </row>
    <row r="1258" ht="15.75" customHeight="1">
      <c r="A1258" s="2" t="s">
        <v>1260</v>
      </c>
      <c r="B1258" s="2" t="s">
        <v>3</v>
      </c>
      <c r="C1258" s="1" t="str">
        <f>IFERROR(__xludf.DUMMYFUNCTION("GOOGLETRANSLATE(A1258,""en"",""pt-br"")"),"dívida")</f>
        <v>dívida</v>
      </c>
      <c r="D1258" s="1" t="str">
        <f>IFERROR(__xludf.DUMMYFUNCTION("GOOGLETRANSLATE(B1258,""en"",""pt-br"")"),"negativo")</f>
        <v>negativo</v>
      </c>
    </row>
    <row r="1259" ht="15.75" customHeight="1">
      <c r="A1259" s="2" t="s">
        <v>1261</v>
      </c>
      <c r="B1259" s="2" t="s">
        <v>3</v>
      </c>
      <c r="C1259" s="1" t="str">
        <f>IFERROR(__xludf.DUMMYFUNCTION("GOOGLETRANSLATE(A1259,""en"",""pt-br"")"),"dívidas")</f>
        <v>dívidas</v>
      </c>
      <c r="D1259" s="1" t="str">
        <f>IFERROR(__xludf.DUMMYFUNCTION("GOOGLETRANSLATE(B1259,""en"",""pt-br"")"),"negativo")</f>
        <v>negativo</v>
      </c>
    </row>
    <row r="1260" ht="15.75" customHeight="1">
      <c r="A1260" s="2" t="s">
        <v>1262</v>
      </c>
      <c r="B1260" s="2" t="s">
        <v>3</v>
      </c>
      <c r="C1260" s="1" t="str">
        <f>IFERROR(__xludf.DUMMYFUNCTION("GOOGLETRANSLATE(A1260,""en"",""pt-br"")"),"decadência")</f>
        <v>decadência</v>
      </c>
      <c r="D1260" s="1" t="str">
        <f>IFERROR(__xludf.DUMMYFUNCTION("GOOGLETRANSLATE(B1260,""en"",""pt-br"")"),"negativo")</f>
        <v>negativo</v>
      </c>
    </row>
    <row r="1261" ht="15.75" customHeight="1">
      <c r="A1261" s="2" t="s">
        <v>1263</v>
      </c>
      <c r="B1261" s="2" t="s">
        <v>3</v>
      </c>
      <c r="C1261" s="1" t="str">
        <f>IFERROR(__xludf.DUMMYFUNCTION("GOOGLETRANSLATE(A1261,""en"",""pt-br"")"),"decadente")</f>
        <v>decadente</v>
      </c>
      <c r="D1261" s="1" t="str">
        <f>IFERROR(__xludf.DUMMYFUNCTION("GOOGLETRANSLATE(B1261,""en"",""pt-br"")"),"negativo")</f>
        <v>negativo</v>
      </c>
    </row>
    <row r="1262" ht="15.75" customHeight="1">
      <c r="A1262" s="2" t="s">
        <v>1264</v>
      </c>
      <c r="B1262" s="2" t="s">
        <v>3</v>
      </c>
      <c r="C1262" s="1" t="str">
        <f>IFERROR(__xludf.DUMMYFUNCTION("GOOGLETRANSLATE(A1262,""en"",""pt-br"")"),"decair")</f>
        <v>decair</v>
      </c>
      <c r="D1262" s="1" t="str">
        <f>IFERROR(__xludf.DUMMYFUNCTION("GOOGLETRANSLATE(B1262,""en"",""pt-br"")"),"negativo")</f>
        <v>negativo</v>
      </c>
    </row>
    <row r="1263" ht="15.75" customHeight="1">
      <c r="A1263" s="2" t="s">
        <v>1265</v>
      </c>
      <c r="B1263" s="2" t="s">
        <v>3</v>
      </c>
      <c r="C1263" s="1" t="str">
        <f>IFERROR(__xludf.DUMMYFUNCTION("GOOGLETRANSLATE(A1263,""en"",""pt-br"")"),"cariado")</f>
        <v>cariado</v>
      </c>
      <c r="D1263" s="1" t="str">
        <f>IFERROR(__xludf.DUMMYFUNCTION("GOOGLETRANSLATE(B1263,""en"",""pt-br"")"),"negativo")</f>
        <v>negativo</v>
      </c>
    </row>
    <row r="1264" ht="15.75" customHeight="1">
      <c r="A1264" s="2" t="s">
        <v>1266</v>
      </c>
      <c r="B1264" s="2" t="s">
        <v>3</v>
      </c>
      <c r="C1264" s="1" t="str">
        <f>IFERROR(__xludf.DUMMYFUNCTION("GOOGLETRANSLATE(A1264,""en"",""pt-br"")"),"engano")</f>
        <v>engano</v>
      </c>
      <c r="D1264" s="1" t="str">
        <f>IFERROR(__xludf.DUMMYFUNCTION("GOOGLETRANSLATE(B1264,""en"",""pt-br"")"),"negativo")</f>
        <v>negativo</v>
      </c>
    </row>
    <row r="1265" ht="15.75" customHeight="1">
      <c r="A1265" s="2" t="s">
        <v>1267</v>
      </c>
      <c r="B1265" s="2" t="s">
        <v>3</v>
      </c>
      <c r="C1265" s="1" t="str">
        <f>IFERROR(__xludf.DUMMYFUNCTION("GOOGLETRANSLATE(A1265,""en"",""pt-br"")"),"enganador")</f>
        <v>enganador</v>
      </c>
      <c r="D1265" s="1" t="str">
        <f>IFERROR(__xludf.DUMMYFUNCTION("GOOGLETRANSLATE(B1265,""en"",""pt-br"")"),"negativo")</f>
        <v>negativo</v>
      </c>
    </row>
    <row r="1266" ht="15.75" customHeight="1">
      <c r="A1266" s="2" t="s">
        <v>1268</v>
      </c>
      <c r="B1266" s="2" t="s">
        <v>3</v>
      </c>
      <c r="C1266" s="1" t="str">
        <f>IFERROR(__xludf.DUMMYFUNCTION("GOOGLETRANSLATE(A1266,""en"",""pt-br"")"),"enganosamente")</f>
        <v>enganosamente</v>
      </c>
      <c r="D1266" s="1" t="str">
        <f>IFERROR(__xludf.DUMMYFUNCTION("GOOGLETRANSLATE(B1266,""en"",""pt-br"")"),"negativo")</f>
        <v>negativo</v>
      </c>
    </row>
    <row r="1267" ht="15.75" customHeight="1">
      <c r="A1267" s="2" t="s">
        <v>1269</v>
      </c>
      <c r="B1267" s="2" t="s">
        <v>3</v>
      </c>
      <c r="C1267" s="1" t="str">
        <f>IFERROR(__xludf.DUMMYFUNCTION("GOOGLETRANSLATE(A1267,""en"",""pt-br"")"),"sedução")</f>
        <v>sedução</v>
      </c>
      <c r="D1267" s="1" t="str">
        <f>IFERROR(__xludf.DUMMYFUNCTION("GOOGLETRANSLATE(B1267,""en"",""pt-br"")"),"negativo")</f>
        <v>negativo</v>
      </c>
    </row>
    <row r="1268" ht="15.75" customHeight="1">
      <c r="A1268" s="2" t="s">
        <v>1270</v>
      </c>
      <c r="B1268" s="2" t="s">
        <v>3</v>
      </c>
      <c r="C1268" s="1" t="str">
        <f>IFERROR(__xludf.DUMMYFUNCTION("GOOGLETRANSLATE(A1268,""en"",""pt-br"")"),"enganar")</f>
        <v>enganar</v>
      </c>
      <c r="D1268" s="1" t="str">
        <f>IFERROR(__xludf.DUMMYFUNCTION("GOOGLETRANSLATE(B1268,""en"",""pt-br"")"),"negativo")</f>
        <v>negativo</v>
      </c>
    </row>
    <row r="1269" ht="15.75" customHeight="1">
      <c r="A1269" s="2" t="s">
        <v>1271</v>
      </c>
      <c r="B1269" s="2" t="s">
        <v>3</v>
      </c>
      <c r="C1269" s="1" t="str">
        <f>IFERROR(__xludf.DUMMYFUNCTION("GOOGLETRANSLATE(A1269,""en"",""pt-br"")"),"enganador")</f>
        <v>enganador</v>
      </c>
      <c r="D1269" s="1" t="str">
        <f>IFERROR(__xludf.DUMMYFUNCTION("GOOGLETRANSLATE(B1269,""en"",""pt-br"")"),"negativo")</f>
        <v>negativo</v>
      </c>
    </row>
    <row r="1270" ht="15.75" customHeight="1">
      <c r="A1270" s="2" t="s">
        <v>1272</v>
      </c>
      <c r="B1270" s="2" t="s">
        <v>3</v>
      </c>
      <c r="C1270" s="1" t="str">
        <f>IFERROR(__xludf.DUMMYFUNCTION("GOOGLETRANSLATE(A1270,""en"",""pt-br"")"),"enganadores")</f>
        <v>enganadores</v>
      </c>
      <c r="D1270" s="1" t="str">
        <f>IFERROR(__xludf.DUMMYFUNCTION("GOOGLETRANSLATE(B1270,""en"",""pt-br"")"),"negativo")</f>
        <v>negativo</v>
      </c>
    </row>
    <row r="1271" ht="15.75" customHeight="1">
      <c r="A1271" s="2" t="s">
        <v>1273</v>
      </c>
      <c r="B1271" s="2" t="s">
        <v>3</v>
      </c>
      <c r="C1271" s="1" t="str">
        <f>IFERROR(__xludf.DUMMYFUNCTION("GOOGLETRANSLATE(A1271,""en"",""pt-br"")"),"enganando")</f>
        <v>enganando</v>
      </c>
      <c r="D1271" s="1" t="str">
        <f>IFERROR(__xludf.DUMMYFUNCTION("GOOGLETRANSLATE(B1271,""en"",""pt-br"")"),"negativo")</f>
        <v>negativo</v>
      </c>
    </row>
    <row r="1272" ht="15.75" customHeight="1">
      <c r="A1272" s="2" t="s">
        <v>1274</v>
      </c>
      <c r="B1272" s="2" t="s">
        <v>14</v>
      </c>
      <c r="C1272" s="1" t="str">
        <f>IFERROR(__xludf.DUMMYFUNCTION("GOOGLETRANSLATE(A1272,""en"",""pt-br"")"),"decência")</f>
        <v>decência</v>
      </c>
      <c r="D1272" s="1" t="str">
        <f>IFERROR(__xludf.DUMMYFUNCTION("GOOGLETRANSLATE(B1272,""en"",""pt-br"")"),"positivo")</f>
        <v>positivo</v>
      </c>
    </row>
    <row r="1273" ht="15.75" customHeight="1">
      <c r="A1273" s="2" t="s">
        <v>1275</v>
      </c>
      <c r="B1273" s="2" t="s">
        <v>14</v>
      </c>
      <c r="C1273" s="1" t="str">
        <f>IFERROR(__xludf.DUMMYFUNCTION("GOOGLETRANSLATE(A1273,""en"",""pt-br"")"),"decente")</f>
        <v>decente</v>
      </c>
      <c r="D1273" s="1" t="str">
        <f>IFERROR(__xludf.DUMMYFUNCTION("GOOGLETRANSLATE(B1273,""en"",""pt-br"")"),"positivo")</f>
        <v>positivo</v>
      </c>
    </row>
    <row r="1274" ht="15.75" customHeight="1">
      <c r="A1274" s="2" t="s">
        <v>1276</v>
      </c>
      <c r="B1274" s="2" t="s">
        <v>3</v>
      </c>
      <c r="C1274" s="1" t="str">
        <f>IFERROR(__xludf.DUMMYFUNCTION("GOOGLETRANSLATE(A1274,""en"",""pt-br"")"),"decepção")</f>
        <v>decepção</v>
      </c>
      <c r="D1274" s="1" t="str">
        <f>IFERROR(__xludf.DUMMYFUNCTION("GOOGLETRANSLATE(B1274,""en"",""pt-br"")"),"negativo")</f>
        <v>negativo</v>
      </c>
    </row>
    <row r="1275" ht="15.75" customHeight="1">
      <c r="A1275" s="2" t="s">
        <v>1277</v>
      </c>
      <c r="B1275" s="2" t="s">
        <v>3</v>
      </c>
      <c r="C1275" s="1" t="str">
        <f>IFERROR(__xludf.DUMMYFUNCTION("GOOGLETRANSLATE(A1275,""en"",""pt-br"")"),"enganoso")</f>
        <v>enganoso</v>
      </c>
      <c r="D1275" s="1" t="str">
        <f>IFERROR(__xludf.DUMMYFUNCTION("GOOGLETRANSLATE(B1275,""en"",""pt-br"")"),"negativo")</f>
        <v>negativo</v>
      </c>
    </row>
    <row r="1276" ht="15.75" customHeight="1">
      <c r="A1276" s="2" t="s">
        <v>1278</v>
      </c>
      <c r="B1276" s="2" t="s">
        <v>3</v>
      </c>
      <c r="C1276" s="1" t="str">
        <f>IFERROR(__xludf.DUMMYFUNCTION("GOOGLETRANSLATE(A1276,""en"",""pt-br"")"),"enganosamente")</f>
        <v>enganosamente</v>
      </c>
      <c r="D1276" s="1" t="str">
        <f>IFERROR(__xludf.DUMMYFUNCTION("GOOGLETRANSLATE(B1276,""en"",""pt-br"")"),"negativo")</f>
        <v>negativo</v>
      </c>
    </row>
    <row r="1277" ht="15.75" customHeight="1">
      <c r="A1277" s="2" t="s">
        <v>1279</v>
      </c>
      <c r="B1277" s="2" t="s">
        <v>14</v>
      </c>
      <c r="C1277" s="1" t="str">
        <f>IFERROR(__xludf.DUMMYFUNCTION("GOOGLETRANSLATE(A1277,""en"",""pt-br"")"),"decisivo")</f>
        <v>decisivo</v>
      </c>
      <c r="D1277" s="1" t="str">
        <f>IFERROR(__xludf.DUMMYFUNCTION("GOOGLETRANSLATE(B1277,""en"",""pt-br"")"),"positivo")</f>
        <v>positivo</v>
      </c>
    </row>
    <row r="1278" ht="15.75" customHeight="1">
      <c r="A1278" s="2" t="s">
        <v>1280</v>
      </c>
      <c r="B1278" s="2" t="s">
        <v>14</v>
      </c>
      <c r="C1278" s="1" t="str">
        <f>IFERROR(__xludf.DUMMYFUNCTION("GOOGLETRANSLATE(A1278,""en"",""pt-br"")"),"decisiveness")</f>
        <v>decisiveness</v>
      </c>
      <c r="D1278" s="1" t="str">
        <f>IFERROR(__xludf.DUMMYFUNCTION("GOOGLETRANSLATE(B1278,""en"",""pt-br"")"),"positivo")</f>
        <v>positivo</v>
      </c>
    </row>
    <row r="1279" ht="15.75" customHeight="1">
      <c r="A1279" s="2" t="s">
        <v>1281</v>
      </c>
      <c r="B1279" s="2" t="s">
        <v>3</v>
      </c>
      <c r="C1279" s="1" t="str">
        <f>IFERROR(__xludf.DUMMYFUNCTION("GOOGLETRANSLATE(A1279,""en"",""pt-br"")"),"declamar")</f>
        <v>declamar</v>
      </c>
      <c r="D1279" s="1" t="str">
        <f>IFERROR(__xludf.DUMMYFUNCTION("GOOGLETRANSLATE(B1279,""en"",""pt-br"")"),"negativo")</f>
        <v>negativo</v>
      </c>
    </row>
    <row r="1280" ht="15.75" customHeight="1">
      <c r="A1280" s="2" t="s">
        <v>1282</v>
      </c>
      <c r="B1280" s="2" t="s">
        <v>3</v>
      </c>
      <c r="C1280" s="1" t="str">
        <f>IFERROR(__xludf.DUMMYFUNCTION("GOOGLETRANSLATE(A1280,""en"",""pt-br"")"),"declínio")</f>
        <v>declínio</v>
      </c>
      <c r="D1280" s="1" t="str">
        <f>IFERROR(__xludf.DUMMYFUNCTION("GOOGLETRANSLATE(B1280,""en"",""pt-br"")"),"negativo")</f>
        <v>negativo</v>
      </c>
    </row>
    <row r="1281" ht="15.75" customHeight="1">
      <c r="A1281" s="2" t="s">
        <v>1283</v>
      </c>
      <c r="B1281" s="2" t="s">
        <v>3</v>
      </c>
      <c r="C1281" s="1" t="str">
        <f>IFERROR(__xludf.DUMMYFUNCTION("GOOGLETRANSLATE(A1281,""en"",""pt-br"")"),"declínios")</f>
        <v>declínios</v>
      </c>
      <c r="D1281" s="1" t="str">
        <f>IFERROR(__xludf.DUMMYFUNCTION("GOOGLETRANSLATE(B1281,""en"",""pt-br"")"),"negativo")</f>
        <v>negativo</v>
      </c>
    </row>
    <row r="1282" ht="15.75" customHeight="1">
      <c r="A1282" s="2" t="s">
        <v>1284</v>
      </c>
      <c r="B1282" s="2" t="s">
        <v>3</v>
      </c>
      <c r="C1282" s="1" t="str">
        <f>IFERROR(__xludf.DUMMYFUNCTION("GOOGLETRANSLATE(A1282,""en"",""pt-br"")"),"declinante")</f>
        <v>declinante</v>
      </c>
      <c r="D1282" s="1" t="str">
        <f>IFERROR(__xludf.DUMMYFUNCTION("GOOGLETRANSLATE(B1282,""en"",""pt-br"")"),"negativo")</f>
        <v>negativo</v>
      </c>
    </row>
    <row r="1283" ht="15.75" customHeight="1">
      <c r="A1283" s="2" t="s">
        <v>1285</v>
      </c>
      <c r="B1283" s="2" t="s">
        <v>3</v>
      </c>
      <c r="C1283" s="1" t="str">
        <f>IFERROR(__xludf.DUMMYFUNCTION("GOOGLETRANSLATE(A1283,""en"",""pt-br"")"),"diminuição")</f>
        <v>diminuição</v>
      </c>
      <c r="D1283" s="1" t="str">
        <f>IFERROR(__xludf.DUMMYFUNCTION("GOOGLETRANSLATE(B1283,""en"",""pt-br"")"),"negativo")</f>
        <v>negativo</v>
      </c>
    </row>
    <row r="1284" ht="15.75" customHeight="1">
      <c r="A1284" s="2" t="s">
        <v>1286</v>
      </c>
      <c r="B1284" s="2" t="s">
        <v>3</v>
      </c>
      <c r="C1284" s="1" t="str">
        <f>IFERROR(__xludf.DUMMYFUNCTION("GOOGLETRANSLATE(A1284,""en"",""pt-br"")"),"decrépito")</f>
        <v>decrépito</v>
      </c>
      <c r="D1284" s="1" t="str">
        <f>IFERROR(__xludf.DUMMYFUNCTION("GOOGLETRANSLATE(B1284,""en"",""pt-br"")"),"negativo")</f>
        <v>negativo</v>
      </c>
    </row>
    <row r="1285" ht="15.75" customHeight="1">
      <c r="A1285" s="2" t="s">
        <v>1287</v>
      </c>
      <c r="B1285" s="2" t="s">
        <v>3</v>
      </c>
      <c r="C1285" s="1" t="str">
        <f>IFERROR(__xludf.DUMMYFUNCTION("GOOGLETRANSLATE(A1285,""en"",""pt-br"")"),"decrepitude")</f>
        <v>decrepitude</v>
      </c>
      <c r="D1285" s="1" t="str">
        <f>IFERROR(__xludf.DUMMYFUNCTION("GOOGLETRANSLATE(B1285,""en"",""pt-br"")"),"negativo")</f>
        <v>negativo</v>
      </c>
    </row>
    <row r="1286" ht="15.75" customHeight="1">
      <c r="A1286" s="2" t="s">
        <v>1288</v>
      </c>
      <c r="B1286" s="2" t="s">
        <v>3</v>
      </c>
      <c r="C1286" s="1" t="str">
        <f>IFERROR(__xludf.DUMMYFUNCTION("GOOGLETRANSLATE(A1286,""en"",""pt-br"")"),"decry")</f>
        <v>decry</v>
      </c>
      <c r="D1286" s="1" t="str">
        <f>IFERROR(__xludf.DUMMYFUNCTION("GOOGLETRANSLATE(B1286,""en"",""pt-br"")"),"negativo")</f>
        <v>negativo</v>
      </c>
    </row>
    <row r="1287" ht="15.75" customHeight="1">
      <c r="A1287" s="2" t="s">
        <v>1289</v>
      </c>
      <c r="B1287" s="2" t="s">
        <v>14</v>
      </c>
      <c r="C1287" s="1" t="str">
        <f>IFERROR(__xludf.DUMMYFUNCTION("GOOGLETRANSLATE(A1287,""en"",""pt-br"")"),"dedicada")</f>
        <v>dedicada</v>
      </c>
      <c r="D1287" s="1" t="str">
        <f>IFERROR(__xludf.DUMMYFUNCTION("GOOGLETRANSLATE(B1287,""en"",""pt-br"")"),"positivo")</f>
        <v>positivo</v>
      </c>
    </row>
    <row r="1288" ht="15.75" customHeight="1">
      <c r="A1288" s="2" t="s">
        <v>1290</v>
      </c>
      <c r="B1288" s="2" t="s">
        <v>3</v>
      </c>
      <c r="C1288" s="1" t="str">
        <f>IFERROR(__xludf.DUMMYFUNCTION("GOOGLETRANSLATE(A1288,""en"",""pt-br"")"),"difamação")</f>
        <v>difamação</v>
      </c>
      <c r="D1288" s="1" t="str">
        <f>IFERROR(__xludf.DUMMYFUNCTION("GOOGLETRANSLATE(B1288,""en"",""pt-br"")"),"negativo")</f>
        <v>negativo</v>
      </c>
    </row>
    <row r="1289" ht="15.75" customHeight="1">
      <c r="A1289" s="2" t="s">
        <v>1291</v>
      </c>
      <c r="B1289" s="2" t="s">
        <v>3</v>
      </c>
      <c r="C1289" s="1" t="str">
        <f>IFERROR(__xludf.DUMMYFUNCTION("GOOGLETRANSLATE(A1289,""en"",""pt-br"")"),"difamações")</f>
        <v>difamações</v>
      </c>
      <c r="D1289" s="1" t="str">
        <f>IFERROR(__xludf.DUMMYFUNCTION("GOOGLETRANSLATE(B1289,""en"",""pt-br"")"),"negativo")</f>
        <v>negativo</v>
      </c>
    </row>
    <row r="1290" ht="15.75" customHeight="1">
      <c r="A1290" s="2" t="s">
        <v>1292</v>
      </c>
      <c r="B1290" s="2" t="s">
        <v>3</v>
      </c>
      <c r="C1290" s="1" t="str">
        <f>IFERROR(__xludf.DUMMYFUNCTION("GOOGLETRANSLATE(A1290,""en"",""pt-br"")"),"difamatório")</f>
        <v>difamatório</v>
      </c>
      <c r="D1290" s="1" t="str">
        <f>IFERROR(__xludf.DUMMYFUNCTION("GOOGLETRANSLATE(B1290,""en"",""pt-br"")"),"negativo")</f>
        <v>negativo</v>
      </c>
    </row>
    <row r="1291" ht="15.75" customHeight="1">
      <c r="A1291" s="2" t="s">
        <v>1293</v>
      </c>
      <c r="B1291" s="2" t="s">
        <v>3</v>
      </c>
      <c r="C1291" s="1" t="str">
        <f>IFERROR(__xludf.DUMMYFUNCTION("GOOGLETRANSLATE(A1291,""en"",""pt-br"")"),"difamar")</f>
        <v>difamar</v>
      </c>
      <c r="D1291" s="1" t="str">
        <f>IFERROR(__xludf.DUMMYFUNCTION("GOOGLETRANSLATE(B1291,""en"",""pt-br"")"),"negativo")</f>
        <v>negativo</v>
      </c>
    </row>
    <row r="1292" ht="15.75" customHeight="1">
      <c r="A1292" s="2" t="s">
        <v>1294</v>
      </c>
      <c r="B1292" s="2" t="s">
        <v>14</v>
      </c>
      <c r="C1292" s="1" t="str">
        <f>IFERROR(__xludf.DUMMYFUNCTION("GOOGLETRANSLATE(A1292,""en"",""pt-br"")"),"derrota")</f>
        <v>derrota</v>
      </c>
      <c r="D1292" s="1" t="str">
        <f>IFERROR(__xludf.DUMMYFUNCTION("GOOGLETRANSLATE(B1292,""en"",""pt-br"")"),"positivo")</f>
        <v>positivo</v>
      </c>
    </row>
    <row r="1293" ht="15.75" customHeight="1">
      <c r="A1293" s="2" t="s">
        <v>1295</v>
      </c>
      <c r="B1293" s="2" t="s">
        <v>14</v>
      </c>
      <c r="C1293" s="1" t="str">
        <f>IFERROR(__xludf.DUMMYFUNCTION("GOOGLETRANSLATE(A1293,""en"",""pt-br"")"),"derrotado")</f>
        <v>derrotado</v>
      </c>
      <c r="D1293" s="1" t="str">
        <f>IFERROR(__xludf.DUMMYFUNCTION("GOOGLETRANSLATE(B1293,""en"",""pt-br"")"),"positivo")</f>
        <v>positivo</v>
      </c>
    </row>
    <row r="1294" ht="15.75" customHeight="1">
      <c r="A1294" s="2" t="s">
        <v>1296</v>
      </c>
      <c r="B1294" s="2" t="s">
        <v>14</v>
      </c>
      <c r="C1294" s="1" t="str">
        <f>IFERROR(__xludf.DUMMYFUNCTION("GOOGLETRANSLATE(A1294,""en"",""pt-br"")"),"derrotando")</f>
        <v>derrotando</v>
      </c>
      <c r="D1294" s="1" t="str">
        <f>IFERROR(__xludf.DUMMYFUNCTION("GOOGLETRANSLATE(B1294,""en"",""pt-br"")"),"positivo")</f>
        <v>positivo</v>
      </c>
    </row>
    <row r="1295" ht="15.75" customHeight="1">
      <c r="A1295" s="2" t="s">
        <v>1297</v>
      </c>
      <c r="B1295" s="2" t="s">
        <v>14</v>
      </c>
      <c r="C1295" s="1" t="str">
        <f>IFERROR(__xludf.DUMMYFUNCTION("GOOGLETRANSLATE(A1295,""en"",""pt-br"")"),"derrotas")</f>
        <v>derrotas</v>
      </c>
      <c r="D1295" s="1" t="str">
        <f>IFERROR(__xludf.DUMMYFUNCTION("GOOGLETRANSLATE(B1295,""en"",""pt-br"")"),"positivo")</f>
        <v>positivo</v>
      </c>
    </row>
    <row r="1296" ht="15.75" customHeight="1">
      <c r="A1296" s="2" t="s">
        <v>1298</v>
      </c>
      <c r="B1296" s="2" t="s">
        <v>3</v>
      </c>
      <c r="C1296" s="1" t="str">
        <f>IFERROR(__xludf.DUMMYFUNCTION("GOOGLETRANSLATE(A1296,""en"",""pt-br"")"),"defeito")</f>
        <v>defeito</v>
      </c>
      <c r="D1296" s="1" t="str">
        <f>IFERROR(__xludf.DUMMYFUNCTION("GOOGLETRANSLATE(B1296,""en"",""pt-br"")"),"negativo")</f>
        <v>negativo</v>
      </c>
    </row>
    <row r="1297" ht="15.75" customHeight="1">
      <c r="A1297" s="2" t="s">
        <v>1299</v>
      </c>
      <c r="B1297" s="2" t="s">
        <v>3</v>
      </c>
      <c r="C1297" s="1" t="str">
        <f>IFERROR(__xludf.DUMMYFUNCTION("GOOGLETRANSLATE(A1297,""en"",""pt-br"")"),"defeituoso")</f>
        <v>defeituoso</v>
      </c>
      <c r="D1297" s="1" t="str">
        <f>IFERROR(__xludf.DUMMYFUNCTION("GOOGLETRANSLATE(B1297,""en"",""pt-br"")"),"negativo")</f>
        <v>negativo</v>
      </c>
    </row>
    <row r="1298" ht="15.75" customHeight="1">
      <c r="A1298" s="2" t="s">
        <v>1300</v>
      </c>
      <c r="B1298" s="2" t="s">
        <v>3</v>
      </c>
      <c r="C1298" s="1" t="str">
        <f>IFERROR(__xludf.DUMMYFUNCTION("GOOGLETRANSLATE(A1298,""en"",""pt-br"")"),"defeitos")</f>
        <v>defeitos</v>
      </c>
      <c r="D1298" s="1" t="str">
        <f>IFERROR(__xludf.DUMMYFUNCTION("GOOGLETRANSLATE(B1298,""en"",""pt-br"")"),"negativo")</f>
        <v>negativo</v>
      </c>
    </row>
    <row r="1299" ht="15.75" customHeight="1">
      <c r="A1299" s="2" t="s">
        <v>1301</v>
      </c>
      <c r="B1299" s="2" t="s">
        <v>14</v>
      </c>
      <c r="C1299" s="1" t="str">
        <f>IFERROR(__xludf.DUMMYFUNCTION("GOOGLETRANSLATE(A1299,""en"",""pt-br"")"),"defensor")</f>
        <v>defensor</v>
      </c>
      <c r="D1299" s="1" t="str">
        <f>IFERROR(__xludf.DUMMYFUNCTION("GOOGLETRANSLATE(B1299,""en"",""pt-br"")"),"positivo")</f>
        <v>positivo</v>
      </c>
    </row>
    <row r="1300" ht="15.75" customHeight="1">
      <c r="A1300" s="2" t="s">
        <v>1302</v>
      </c>
      <c r="B1300" s="2" t="s">
        <v>3</v>
      </c>
      <c r="C1300" s="1" t="str">
        <f>IFERROR(__xludf.DUMMYFUNCTION("GOOGLETRANSLATE(A1300,""en"",""pt-br"")"),"defensiva")</f>
        <v>defensiva</v>
      </c>
      <c r="D1300" s="1" t="str">
        <f>IFERROR(__xludf.DUMMYFUNCTION("GOOGLETRANSLATE(B1300,""en"",""pt-br"")"),"negativo")</f>
        <v>negativo</v>
      </c>
    </row>
    <row r="1301" ht="15.75" customHeight="1">
      <c r="A1301" s="2" t="s">
        <v>1303</v>
      </c>
      <c r="B1301" s="2" t="s">
        <v>14</v>
      </c>
      <c r="C1301" s="1" t="str">
        <f>IFERROR(__xludf.DUMMYFUNCTION("GOOGLETRANSLATE(A1301,""en"",""pt-br"")"),"deferência")</f>
        <v>deferência</v>
      </c>
      <c r="D1301" s="1" t="str">
        <f>IFERROR(__xludf.DUMMYFUNCTION("GOOGLETRANSLATE(B1301,""en"",""pt-br"")"),"positivo")</f>
        <v>positivo</v>
      </c>
    </row>
    <row r="1302" ht="15.75" customHeight="1">
      <c r="A1302" s="2" t="s">
        <v>1304</v>
      </c>
      <c r="B1302" s="2" t="s">
        <v>3</v>
      </c>
      <c r="C1302" s="1" t="str">
        <f>IFERROR(__xludf.DUMMYFUNCTION("GOOGLETRANSLATE(A1302,""en"",""pt-br"")"),"desafio")</f>
        <v>desafio</v>
      </c>
      <c r="D1302" s="1" t="str">
        <f>IFERROR(__xludf.DUMMYFUNCTION("GOOGLETRANSLATE(B1302,""en"",""pt-br"")"),"negativo")</f>
        <v>negativo</v>
      </c>
    </row>
    <row r="1303" ht="15.75" customHeight="1">
      <c r="A1303" s="2" t="s">
        <v>1305</v>
      </c>
      <c r="B1303" s="2" t="s">
        <v>3</v>
      </c>
      <c r="C1303" s="1" t="str">
        <f>IFERROR(__xludf.DUMMYFUNCTION("GOOGLETRANSLATE(A1303,""en"",""pt-br"")"),"desafiador")</f>
        <v>desafiador</v>
      </c>
      <c r="D1303" s="1" t="str">
        <f>IFERROR(__xludf.DUMMYFUNCTION("GOOGLETRANSLATE(B1303,""en"",""pt-br"")"),"negativo")</f>
        <v>negativo</v>
      </c>
    </row>
    <row r="1304" ht="15.75" customHeight="1">
      <c r="A1304" s="2" t="s">
        <v>1306</v>
      </c>
      <c r="B1304" s="2" t="s">
        <v>3</v>
      </c>
      <c r="C1304" s="1" t="str">
        <f>IFERROR(__xludf.DUMMYFUNCTION("GOOGLETRANSLATE(A1304,""en"",""pt-br"")"),"desafiadoramente")</f>
        <v>desafiadoramente</v>
      </c>
      <c r="D1304" s="1" t="str">
        <f>IFERROR(__xludf.DUMMYFUNCTION("GOOGLETRANSLATE(B1304,""en"",""pt-br"")"),"negativo")</f>
        <v>negativo</v>
      </c>
    </row>
    <row r="1305" ht="15.75" customHeight="1">
      <c r="A1305" s="2" t="s">
        <v>1307</v>
      </c>
      <c r="B1305" s="2" t="s">
        <v>3</v>
      </c>
      <c r="C1305" s="1" t="str">
        <f>IFERROR(__xludf.DUMMYFUNCTION("GOOGLETRANSLATE(A1305,""en"",""pt-br"")"),"deficiências")</f>
        <v>deficiências</v>
      </c>
      <c r="D1305" s="1" t="str">
        <f>IFERROR(__xludf.DUMMYFUNCTION("GOOGLETRANSLATE(B1305,""en"",""pt-br"")"),"negativo")</f>
        <v>negativo</v>
      </c>
    </row>
    <row r="1306" ht="15.75" customHeight="1">
      <c r="A1306" s="2" t="s">
        <v>1308</v>
      </c>
      <c r="B1306" s="2" t="s">
        <v>3</v>
      </c>
      <c r="C1306" s="1" t="str">
        <f>IFERROR(__xludf.DUMMYFUNCTION("GOOGLETRANSLATE(A1306,""en"",""pt-br"")"),"deficiência")</f>
        <v>deficiência</v>
      </c>
      <c r="D1306" s="1" t="str">
        <f>IFERROR(__xludf.DUMMYFUNCTION("GOOGLETRANSLATE(B1306,""en"",""pt-br"")"),"negativo")</f>
        <v>negativo</v>
      </c>
    </row>
    <row r="1307" ht="15.75" customHeight="1">
      <c r="A1307" s="2" t="s">
        <v>1309</v>
      </c>
      <c r="B1307" s="2" t="s">
        <v>3</v>
      </c>
      <c r="C1307" s="1" t="str">
        <f>IFERROR(__xludf.DUMMYFUNCTION("GOOGLETRANSLATE(A1307,""en"",""pt-br"")"),"deficiente")</f>
        <v>deficiente</v>
      </c>
      <c r="D1307" s="1" t="str">
        <f>IFERROR(__xludf.DUMMYFUNCTION("GOOGLETRANSLATE(B1307,""en"",""pt-br"")"),"negativo")</f>
        <v>negativo</v>
      </c>
    </row>
    <row r="1308" ht="15.75" customHeight="1">
      <c r="A1308" s="2" t="s">
        <v>1310</v>
      </c>
      <c r="B1308" s="2" t="s">
        <v>3</v>
      </c>
      <c r="C1308" s="1" t="str">
        <f>IFERROR(__xludf.DUMMYFUNCTION("GOOGLETRANSLATE(A1308,""en"",""pt-br"")"),"desfiladeiro")</f>
        <v>desfiladeiro</v>
      </c>
      <c r="D1308" s="1" t="str">
        <f>IFERROR(__xludf.DUMMYFUNCTION("GOOGLETRANSLATE(B1308,""en"",""pt-br"")"),"negativo")</f>
        <v>negativo</v>
      </c>
    </row>
    <row r="1309" ht="15.75" customHeight="1">
      <c r="A1309" s="2" t="s">
        <v>1311</v>
      </c>
      <c r="B1309" s="2" t="s">
        <v>3</v>
      </c>
      <c r="C1309" s="1" t="str">
        <f>IFERROR(__xludf.DUMMYFUNCTION("GOOGLETRANSLATE(A1309,""en"",""pt-br"")"),"profanador")</f>
        <v>profanador</v>
      </c>
      <c r="D1309" s="1" t="str">
        <f>IFERROR(__xludf.DUMMYFUNCTION("GOOGLETRANSLATE(B1309,""en"",""pt-br"")"),"negativo")</f>
        <v>negativo</v>
      </c>
    </row>
    <row r="1310" ht="15.75" customHeight="1">
      <c r="A1310" s="2" t="s">
        <v>1312</v>
      </c>
      <c r="B1310" s="2" t="s">
        <v>3</v>
      </c>
      <c r="C1310" s="1" t="str">
        <f>IFERROR(__xludf.DUMMYFUNCTION("GOOGLETRANSLATE(A1310,""en"",""pt-br"")"),"deformar")</f>
        <v>deformar</v>
      </c>
      <c r="D1310" s="1" t="str">
        <f>IFERROR(__xludf.DUMMYFUNCTION("GOOGLETRANSLATE(B1310,""en"",""pt-br"")"),"negativo")</f>
        <v>negativo</v>
      </c>
    </row>
    <row r="1311" ht="15.75" customHeight="1">
      <c r="A1311" s="2" t="s">
        <v>1313</v>
      </c>
      <c r="B1311" s="2" t="s">
        <v>3</v>
      </c>
      <c r="C1311" s="1" t="str">
        <f>IFERROR(__xludf.DUMMYFUNCTION("GOOGLETRANSLATE(A1311,""en"",""pt-br"")"),"deformado")</f>
        <v>deformado</v>
      </c>
      <c r="D1311" s="1" t="str">
        <f>IFERROR(__xludf.DUMMYFUNCTION("GOOGLETRANSLATE(B1311,""en"",""pt-br"")"),"negativo")</f>
        <v>negativo</v>
      </c>
    </row>
    <row r="1312" ht="15.75" customHeight="1">
      <c r="A1312" s="2" t="s">
        <v>1314</v>
      </c>
      <c r="B1312" s="2" t="s">
        <v>3</v>
      </c>
      <c r="C1312" s="1" t="str">
        <f>IFERROR(__xludf.DUMMYFUNCTION("GOOGLETRANSLATE(A1312,""en"",""pt-br"")"),"defraudar")</f>
        <v>defraudar</v>
      </c>
      <c r="D1312" s="1" t="str">
        <f>IFERROR(__xludf.DUMMYFUNCTION("GOOGLETRANSLATE(B1312,""en"",""pt-br"")"),"negativo")</f>
        <v>negativo</v>
      </c>
    </row>
    <row r="1313" ht="15.75" customHeight="1">
      <c r="A1313" s="2" t="s">
        <v>1315</v>
      </c>
      <c r="B1313" s="2" t="s">
        <v>14</v>
      </c>
      <c r="C1313" s="1" t="str">
        <f>IFERROR(__xludf.DUMMYFUNCTION("GOOGLETRANSLATE(A1313,""en"",""pt-br"")"),"hábil")</f>
        <v>hábil</v>
      </c>
      <c r="D1313" s="1" t="str">
        <f>IFERROR(__xludf.DUMMYFUNCTION("GOOGLETRANSLATE(B1313,""en"",""pt-br"")"),"positivo")</f>
        <v>positivo</v>
      </c>
    </row>
    <row r="1314" ht="15.75" customHeight="1">
      <c r="A1314" s="2" t="s">
        <v>1316</v>
      </c>
      <c r="B1314" s="2" t="s">
        <v>3</v>
      </c>
      <c r="C1314" s="1" t="str">
        <f>IFERROR(__xludf.DUMMYFUNCTION("GOOGLETRANSLATE(A1314,""en"",""pt-br"")"),"defunto")</f>
        <v>defunto</v>
      </c>
      <c r="D1314" s="1" t="str">
        <f>IFERROR(__xludf.DUMMYFUNCTION("GOOGLETRANSLATE(B1314,""en"",""pt-br"")"),"negativo")</f>
        <v>negativo</v>
      </c>
    </row>
    <row r="1315" ht="15.75" customHeight="1">
      <c r="A1315" s="2" t="s">
        <v>1317</v>
      </c>
      <c r="B1315" s="2" t="s">
        <v>3</v>
      </c>
      <c r="C1315" s="1" t="str">
        <f>IFERROR(__xludf.DUMMYFUNCTION("GOOGLETRANSLATE(A1315,""en"",""pt-br"")"),"desafiar")</f>
        <v>desafiar</v>
      </c>
      <c r="D1315" s="1" t="str">
        <f>IFERROR(__xludf.DUMMYFUNCTION("GOOGLETRANSLATE(B1315,""en"",""pt-br"")"),"negativo")</f>
        <v>negativo</v>
      </c>
    </row>
    <row r="1316" ht="15.75" customHeight="1">
      <c r="A1316" s="2" t="s">
        <v>1318</v>
      </c>
      <c r="B1316" s="2" t="s">
        <v>3</v>
      </c>
      <c r="C1316" s="1" t="str">
        <f>IFERROR(__xludf.DUMMYFUNCTION("GOOGLETRANSLATE(A1316,""en"",""pt-br"")"),"degenerar")</f>
        <v>degenerar</v>
      </c>
      <c r="D1316" s="1" t="str">
        <f>IFERROR(__xludf.DUMMYFUNCTION("GOOGLETRANSLATE(B1316,""en"",""pt-br"")"),"negativo")</f>
        <v>negativo</v>
      </c>
    </row>
    <row r="1317" ht="15.75" customHeight="1">
      <c r="A1317" s="2" t="s">
        <v>1319</v>
      </c>
      <c r="B1317" s="2" t="s">
        <v>3</v>
      </c>
      <c r="C1317" s="1" t="str">
        <f>IFERROR(__xludf.DUMMYFUNCTION("GOOGLETRANSLATE(A1317,""en"",""pt-br"")"),"degenerately")</f>
        <v>degenerately</v>
      </c>
      <c r="D1317" s="1" t="str">
        <f>IFERROR(__xludf.DUMMYFUNCTION("GOOGLETRANSLATE(B1317,""en"",""pt-br"")"),"negativo")</f>
        <v>negativo</v>
      </c>
    </row>
    <row r="1318" ht="15.75" customHeight="1">
      <c r="A1318" s="2" t="s">
        <v>1320</v>
      </c>
      <c r="B1318" s="2" t="s">
        <v>3</v>
      </c>
      <c r="C1318" s="1" t="str">
        <f>IFERROR(__xludf.DUMMYFUNCTION("GOOGLETRANSLATE(A1318,""en"",""pt-br"")"),"degeneração")</f>
        <v>degeneração</v>
      </c>
      <c r="D1318" s="1" t="str">
        <f>IFERROR(__xludf.DUMMYFUNCTION("GOOGLETRANSLATE(B1318,""en"",""pt-br"")"),"negativo")</f>
        <v>negativo</v>
      </c>
    </row>
    <row r="1319" ht="15.75" customHeight="1">
      <c r="A1319" s="2" t="s">
        <v>1321</v>
      </c>
      <c r="B1319" s="2" t="s">
        <v>14</v>
      </c>
      <c r="C1319" s="1" t="str">
        <f>IFERROR(__xludf.DUMMYFUNCTION("GOOGLETRANSLATE(A1319,""en"",""pt-br"")"),"deginified")</f>
        <v>deginified</v>
      </c>
      <c r="D1319" s="1" t="str">
        <f>IFERROR(__xludf.DUMMYFUNCTION("GOOGLETRANSLATE(B1319,""en"",""pt-br"")"),"positivo")</f>
        <v>positivo</v>
      </c>
    </row>
    <row r="1320" ht="15.75" customHeight="1">
      <c r="A1320" s="2" t="s">
        <v>1322</v>
      </c>
      <c r="B1320" s="2" t="s">
        <v>3</v>
      </c>
      <c r="C1320" s="1" t="str">
        <f>IFERROR(__xludf.DUMMYFUNCTION("GOOGLETRANSLATE(A1320,""en"",""pt-br"")"),"degradação")</f>
        <v>degradação</v>
      </c>
      <c r="D1320" s="1" t="str">
        <f>IFERROR(__xludf.DUMMYFUNCTION("GOOGLETRANSLATE(B1320,""en"",""pt-br"")"),"negativo")</f>
        <v>negativo</v>
      </c>
    </row>
    <row r="1321" ht="15.75" customHeight="1">
      <c r="A1321" s="2" t="s">
        <v>1323</v>
      </c>
      <c r="B1321" s="2" t="s">
        <v>3</v>
      </c>
      <c r="C1321" s="1" t="str">
        <f>IFERROR(__xludf.DUMMYFUNCTION("GOOGLETRANSLATE(A1321,""en"",""pt-br"")"),"degradar")</f>
        <v>degradar</v>
      </c>
      <c r="D1321" s="1" t="str">
        <f>IFERROR(__xludf.DUMMYFUNCTION("GOOGLETRANSLATE(B1321,""en"",""pt-br"")"),"negativo")</f>
        <v>negativo</v>
      </c>
    </row>
    <row r="1322" ht="15.75" customHeight="1">
      <c r="A1322" s="2" t="s">
        <v>1324</v>
      </c>
      <c r="B1322" s="2" t="s">
        <v>3</v>
      </c>
      <c r="C1322" s="1" t="str">
        <f>IFERROR(__xludf.DUMMYFUNCTION("GOOGLETRANSLATE(A1322,""en"",""pt-br"")"),"aviltante")</f>
        <v>aviltante</v>
      </c>
      <c r="D1322" s="1" t="str">
        <f>IFERROR(__xludf.DUMMYFUNCTION("GOOGLETRANSLATE(B1322,""en"",""pt-br"")"),"negativo")</f>
        <v>negativo</v>
      </c>
    </row>
    <row r="1323" ht="15.75" customHeight="1">
      <c r="A1323" s="2" t="s">
        <v>1325</v>
      </c>
      <c r="B1323" s="2" t="s">
        <v>3</v>
      </c>
      <c r="C1323" s="1" t="str">
        <f>IFERROR(__xludf.DUMMYFUNCTION("GOOGLETRANSLATE(A1323,""en"",""pt-br"")"),"intuito de degradar")</f>
        <v>intuito de degradar</v>
      </c>
      <c r="D1323" s="1" t="str">
        <f>IFERROR(__xludf.DUMMYFUNCTION("GOOGLETRANSLATE(B1323,""en"",""pt-br"")"),"negativo")</f>
        <v>negativo</v>
      </c>
    </row>
    <row r="1324" ht="15.75" customHeight="1">
      <c r="A1324" s="2" t="s">
        <v>1326</v>
      </c>
      <c r="B1324" s="2" t="s">
        <v>3</v>
      </c>
      <c r="C1324" s="1" t="str">
        <f>IFERROR(__xludf.DUMMYFUNCTION("GOOGLETRANSLATE(A1324,""en"",""pt-br"")"),"desumanização")</f>
        <v>desumanização</v>
      </c>
      <c r="D1324" s="1" t="str">
        <f>IFERROR(__xludf.DUMMYFUNCTION("GOOGLETRANSLATE(B1324,""en"",""pt-br"")"),"negativo")</f>
        <v>negativo</v>
      </c>
    </row>
    <row r="1325" ht="15.75" customHeight="1">
      <c r="A1325" s="2" t="s">
        <v>1327</v>
      </c>
      <c r="B1325" s="2" t="s">
        <v>3</v>
      </c>
      <c r="C1325" s="1" t="str">
        <f>IFERROR(__xludf.DUMMYFUNCTION("GOOGLETRANSLATE(A1325,""en"",""pt-br"")"),"desumanizar")</f>
        <v>desumanizar</v>
      </c>
      <c r="D1325" s="1" t="str">
        <f>IFERROR(__xludf.DUMMYFUNCTION("GOOGLETRANSLATE(B1325,""en"",""pt-br"")"),"negativo")</f>
        <v>negativo</v>
      </c>
    </row>
    <row r="1326" ht="15.75" customHeight="1">
      <c r="A1326" s="2" t="s">
        <v>1328</v>
      </c>
      <c r="B1326" s="2" t="s">
        <v>3</v>
      </c>
      <c r="C1326" s="1" t="str">
        <f>IFERROR(__xludf.DUMMYFUNCTION("GOOGLETRANSLATE(A1326,""en"",""pt-br"")"),"deign")</f>
        <v>deign</v>
      </c>
      <c r="D1326" s="1" t="str">
        <f>IFERROR(__xludf.DUMMYFUNCTION("GOOGLETRANSLATE(B1326,""en"",""pt-br"")"),"negativo")</f>
        <v>negativo</v>
      </c>
    </row>
    <row r="1327" ht="15.75" customHeight="1">
      <c r="A1327" s="2" t="s">
        <v>1329</v>
      </c>
      <c r="B1327" s="2" t="s">
        <v>3</v>
      </c>
      <c r="C1327" s="1" t="str">
        <f>IFERROR(__xludf.DUMMYFUNCTION("GOOGLETRANSLATE(A1327,""en"",""pt-br"")"),"deprimir")</f>
        <v>deprimir</v>
      </c>
      <c r="D1327" s="1" t="str">
        <f>IFERROR(__xludf.DUMMYFUNCTION("GOOGLETRANSLATE(B1327,""en"",""pt-br"")"),"negativo")</f>
        <v>negativo</v>
      </c>
    </row>
    <row r="1328" ht="15.75" customHeight="1">
      <c r="A1328" s="2" t="s">
        <v>1330</v>
      </c>
      <c r="B1328" s="2" t="s">
        <v>3</v>
      </c>
      <c r="C1328" s="1" t="str">
        <f>IFERROR(__xludf.DUMMYFUNCTION("GOOGLETRANSLATE(A1328,""en"",""pt-br"")"),"abatido")</f>
        <v>abatido</v>
      </c>
      <c r="D1328" s="1" t="str">
        <f>IFERROR(__xludf.DUMMYFUNCTION("GOOGLETRANSLATE(B1328,""en"",""pt-br"")"),"negativo")</f>
        <v>negativo</v>
      </c>
    </row>
    <row r="1329" ht="15.75" customHeight="1">
      <c r="A1329" s="2" t="s">
        <v>1331</v>
      </c>
      <c r="B1329" s="2" t="s">
        <v>3</v>
      </c>
      <c r="C1329" s="1" t="str">
        <f>IFERROR(__xludf.DUMMYFUNCTION("GOOGLETRANSLATE(A1329,""en"",""pt-br"")"),"dejectedly")</f>
        <v>dejectedly</v>
      </c>
      <c r="D1329" s="1" t="str">
        <f>IFERROR(__xludf.DUMMYFUNCTION("GOOGLETRANSLATE(B1329,""en"",""pt-br"")"),"negativo")</f>
        <v>negativo</v>
      </c>
    </row>
    <row r="1330" ht="15.75" customHeight="1">
      <c r="A1330" s="2" t="s">
        <v>1332</v>
      </c>
      <c r="B1330" s="2" t="s">
        <v>3</v>
      </c>
      <c r="C1330" s="1" t="str">
        <f>IFERROR(__xludf.DUMMYFUNCTION("GOOGLETRANSLATE(A1330,""en"",""pt-br"")"),"abatimento")</f>
        <v>abatimento</v>
      </c>
      <c r="D1330" s="1" t="str">
        <f>IFERROR(__xludf.DUMMYFUNCTION("GOOGLETRANSLATE(B1330,""en"",""pt-br"")"),"negativo")</f>
        <v>negativo</v>
      </c>
    </row>
    <row r="1331" ht="15.75" customHeight="1">
      <c r="A1331" s="2" t="s">
        <v>1333</v>
      </c>
      <c r="B1331" s="2" t="s">
        <v>3</v>
      </c>
      <c r="C1331" s="1" t="str">
        <f>IFERROR(__xludf.DUMMYFUNCTION("GOOGLETRANSLATE(A1331,""en"",""pt-br"")"),"demora")</f>
        <v>demora</v>
      </c>
      <c r="D1331" s="1" t="str">
        <f>IFERROR(__xludf.DUMMYFUNCTION("GOOGLETRANSLATE(B1331,""en"",""pt-br"")"),"negativo")</f>
        <v>negativo</v>
      </c>
    </row>
    <row r="1332" ht="15.75" customHeight="1">
      <c r="A1332" s="2" t="s">
        <v>1334</v>
      </c>
      <c r="B1332" s="2" t="s">
        <v>3</v>
      </c>
      <c r="C1332" s="1" t="str">
        <f>IFERROR(__xludf.DUMMYFUNCTION("GOOGLETRANSLATE(A1332,""en"",""pt-br"")"),"atrasado")</f>
        <v>atrasado</v>
      </c>
      <c r="D1332" s="1" t="str">
        <f>IFERROR(__xludf.DUMMYFUNCTION("GOOGLETRANSLATE(B1332,""en"",""pt-br"")"),"negativo")</f>
        <v>negativo</v>
      </c>
    </row>
    <row r="1333" ht="15.75" customHeight="1">
      <c r="A1333" s="2" t="s">
        <v>1335</v>
      </c>
      <c r="B1333" s="2" t="s">
        <v>3</v>
      </c>
      <c r="C1333" s="1" t="str">
        <f>IFERROR(__xludf.DUMMYFUNCTION("GOOGLETRANSLATE(A1333,""en"",""pt-br"")"),"dilatória")</f>
        <v>dilatória</v>
      </c>
      <c r="D1333" s="1" t="str">
        <f>IFERROR(__xludf.DUMMYFUNCTION("GOOGLETRANSLATE(B1333,""en"",""pt-br"")"),"negativo")</f>
        <v>negativo</v>
      </c>
    </row>
    <row r="1334" ht="15.75" customHeight="1">
      <c r="A1334" s="2" t="s">
        <v>1336</v>
      </c>
      <c r="B1334" s="2" t="s">
        <v>3</v>
      </c>
      <c r="C1334" s="1" t="str">
        <f>IFERROR(__xludf.DUMMYFUNCTION("GOOGLETRANSLATE(A1334,""en"",""pt-br"")"),"atrasos")</f>
        <v>atrasos</v>
      </c>
      <c r="D1334" s="1" t="str">
        <f>IFERROR(__xludf.DUMMYFUNCTION("GOOGLETRANSLATE(B1334,""en"",""pt-br"")"),"negativo")</f>
        <v>negativo</v>
      </c>
    </row>
    <row r="1335" ht="15.75" customHeight="1">
      <c r="A1335" s="2" t="s">
        <v>1337</v>
      </c>
      <c r="B1335" s="2" t="s">
        <v>14</v>
      </c>
      <c r="C1335" s="1" t="str">
        <f>IFERROR(__xludf.DUMMYFUNCTION("GOOGLETRANSLATE(A1335,""en"",""pt-br"")"),"deleitável")</f>
        <v>deleitável</v>
      </c>
      <c r="D1335" s="1" t="str">
        <f>IFERROR(__xludf.DUMMYFUNCTION("GOOGLETRANSLATE(B1335,""en"",""pt-br"")"),"positivo")</f>
        <v>positivo</v>
      </c>
    </row>
    <row r="1336" ht="15.75" customHeight="1">
      <c r="A1336" s="2" t="s">
        <v>1338</v>
      </c>
      <c r="B1336" s="2" t="s">
        <v>14</v>
      </c>
      <c r="C1336" s="1" t="str">
        <f>IFERROR(__xludf.DUMMYFUNCTION("GOOGLETRANSLATE(A1336,""en"",""pt-br"")"),"delicadeza")</f>
        <v>delicadeza</v>
      </c>
      <c r="D1336" s="1" t="str">
        <f>IFERROR(__xludf.DUMMYFUNCTION("GOOGLETRANSLATE(B1336,""en"",""pt-br"")"),"positivo")</f>
        <v>positivo</v>
      </c>
    </row>
    <row r="1337" ht="15.75" customHeight="1">
      <c r="A1337" s="2" t="s">
        <v>1339</v>
      </c>
      <c r="B1337" s="2" t="s">
        <v>14</v>
      </c>
      <c r="C1337" s="1" t="str">
        <f>IFERROR(__xludf.DUMMYFUNCTION("GOOGLETRANSLATE(A1337,""en"",""pt-br"")"),"delicado")</f>
        <v>delicado</v>
      </c>
      <c r="D1337" s="1" t="str">
        <f>IFERROR(__xludf.DUMMYFUNCTION("GOOGLETRANSLATE(B1337,""en"",""pt-br"")"),"positivo")</f>
        <v>positivo</v>
      </c>
    </row>
    <row r="1338" ht="15.75" customHeight="1">
      <c r="A1338" s="2" t="s">
        <v>1340</v>
      </c>
      <c r="B1338" s="2" t="s">
        <v>14</v>
      </c>
      <c r="C1338" s="1" t="str">
        <f>IFERROR(__xludf.DUMMYFUNCTION("GOOGLETRANSLATE(A1338,""en"",""pt-br"")"),"delicioso")</f>
        <v>delicioso</v>
      </c>
      <c r="D1338" s="1" t="str">
        <f>IFERROR(__xludf.DUMMYFUNCTION("GOOGLETRANSLATE(B1338,""en"",""pt-br"")"),"positivo")</f>
        <v>positivo</v>
      </c>
    </row>
    <row r="1339" ht="15.75" customHeight="1">
      <c r="A1339" s="2" t="s">
        <v>1341</v>
      </c>
      <c r="B1339" s="2" t="s">
        <v>14</v>
      </c>
      <c r="C1339" s="1" t="str">
        <f>IFERROR(__xludf.DUMMYFUNCTION("GOOGLETRANSLATE(A1339,""en"",""pt-br"")"),"deleite")</f>
        <v>deleite</v>
      </c>
      <c r="D1339" s="1" t="str">
        <f>IFERROR(__xludf.DUMMYFUNCTION("GOOGLETRANSLATE(B1339,""en"",""pt-br"")"),"positivo")</f>
        <v>positivo</v>
      </c>
    </row>
    <row r="1340" ht="15.75" customHeight="1">
      <c r="A1340" s="2" t="s">
        <v>1342</v>
      </c>
      <c r="B1340" s="2" t="s">
        <v>14</v>
      </c>
      <c r="C1340" s="1" t="str">
        <f>IFERROR(__xludf.DUMMYFUNCTION("GOOGLETRANSLATE(A1340,""en"",""pt-br"")"),"Deleitado")</f>
        <v>Deleitado</v>
      </c>
      <c r="D1340" s="1" t="str">
        <f>IFERROR(__xludf.DUMMYFUNCTION("GOOGLETRANSLATE(B1340,""en"",""pt-br"")"),"positivo")</f>
        <v>positivo</v>
      </c>
    </row>
    <row r="1341" ht="15.75" customHeight="1">
      <c r="A1341" s="2" t="s">
        <v>1343</v>
      </c>
      <c r="B1341" s="2" t="s">
        <v>14</v>
      </c>
      <c r="C1341" s="1" t="str">
        <f>IFERROR(__xludf.DUMMYFUNCTION("GOOGLETRANSLATE(A1341,""en"",""pt-br"")"),"delicioso")</f>
        <v>delicioso</v>
      </c>
      <c r="D1341" s="1" t="str">
        <f>IFERROR(__xludf.DUMMYFUNCTION("GOOGLETRANSLATE(B1341,""en"",""pt-br"")"),"positivo")</f>
        <v>positivo</v>
      </c>
    </row>
    <row r="1342" ht="15.75" customHeight="1">
      <c r="A1342" s="2" t="s">
        <v>1344</v>
      </c>
      <c r="B1342" s="2" t="s">
        <v>14</v>
      </c>
      <c r="C1342" s="1" t="str">
        <f>IFERROR(__xludf.DUMMYFUNCTION("GOOGLETRANSLATE(A1342,""en"",""pt-br"")"),"deliciosamente")</f>
        <v>deliciosamente</v>
      </c>
      <c r="D1342" s="1" t="str">
        <f>IFERROR(__xludf.DUMMYFUNCTION("GOOGLETRANSLATE(B1342,""en"",""pt-br"")"),"positivo")</f>
        <v>positivo</v>
      </c>
    </row>
    <row r="1343" ht="15.75" customHeight="1">
      <c r="A1343" s="2" t="s">
        <v>1345</v>
      </c>
      <c r="B1343" s="2" t="s">
        <v>14</v>
      </c>
      <c r="C1343" s="1" t="str">
        <f>IFERROR(__xludf.DUMMYFUNCTION("GOOGLETRANSLATE(A1343,""en"",""pt-br"")"),"deleites")</f>
        <v>deleites</v>
      </c>
      <c r="D1343" s="1" t="str">
        <f>IFERROR(__xludf.DUMMYFUNCTION("GOOGLETRANSLATE(B1343,""en"",""pt-br"")"),"positivo")</f>
        <v>positivo</v>
      </c>
    </row>
    <row r="1344" ht="15.75" customHeight="1">
      <c r="A1344" s="2" t="s">
        <v>1346</v>
      </c>
      <c r="B1344" s="2" t="s">
        <v>3</v>
      </c>
      <c r="C1344" s="1" t="str">
        <f>IFERROR(__xludf.DUMMYFUNCTION("GOOGLETRANSLATE(A1344,""en"",""pt-br"")"),"delinquência")</f>
        <v>delinquência</v>
      </c>
      <c r="D1344" s="1" t="str">
        <f>IFERROR(__xludf.DUMMYFUNCTION("GOOGLETRANSLATE(B1344,""en"",""pt-br"")"),"negativo")</f>
        <v>negativo</v>
      </c>
    </row>
    <row r="1345" ht="15.75" customHeight="1">
      <c r="A1345" s="2" t="s">
        <v>1347</v>
      </c>
      <c r="B1345" s="2" t="s">
        <v>3</v>
      </c>
      <c r="C1345" s="1" t="str">
        <f>IFERROR(__xludf.DUMMYFUNCTION("GOOGLETRANSLATE(A1345,""en"",""pt-br"")"),"delinquente")</f>
        <v>delinquente</v>
      </c>
      <c r="D1345" s="1" t="str">
        <f>IFERROR(__xludf.DUMMYFUNCTION("GOOGLETRANSLATE(B1345,""en"",""pt-br"")"),"negativo")</f>
        <v>negativo</v>
      </c>
    </row>
    <row r="1346" ht="15.75" customHeight="1">
      <c r="A1346" s="2" t="s">
        <v>1348</v>
      </c>
      <c r="B1346" s="2" t="s">
        <v>3</v>
      </c>
      <c r="C1346" s="1" t="str">
        <f>IFERROR(__xludf.DUMMYFUNCTION("GOOGLETRANSLATE(A1346,""en"",""pt-br"")"),"delirante")</f>
        <v>delirante</v>
      </c>
      <c r="D1346" s="1" t="str">
        <f>IFERROR(__xludf.DUMMYFUNCTION("GOOGLETRANSLATE(B1346,""en"",""pt-br"")"),"negativo")</f>
        <v>negativo</v>
      </c>
    </row>
    <row r="1347" ht="15.75" customHeight="1">
      <c r="A1347" s="2" t="s">
        <v>1349</v>
      </c>
      <c r="B1347" s="2" t="s">
        <v>3</v>
      </c>
      <c r="C1347" s="1" t="str">
        <f>IFERROR(__xludf.DUMMYFUNCTION("GOOGLETRANSLATE(A1347,""en"",""pt-br"")"),"delírio")</f>
        <v>delírio</v>
      </c>
      <c r="D1347" s="1" t="str">
        <f>IFERROR(__xludf.DUMMYFUNCTION("GOOGLETRANSLATE(B1347,""en"",""pt-br"")"),"negativo")</f>
        <v>negativo</v>
      </c>
    </row>
    <row r="1348" ht="15.75" customHeight="1">
      <c r="A1348" s="2" t="s">
        <v>1350</v>
      </c>
      <c r="B1348" s="2" t="s">
        <v>3</v>
      </c>
      <c r="C1348" s="1" t="str">
        <f>IFERROR(__xludf.DUMMYFUNCTION("GOOGLETRANSLATE(A1348,""en"",""pt-br"")"),"iludir")</f>
        <v>iludir</v>
      </c>
      <c r="D1348" s="1" t="str">
        <f>IFERROR(__xludf.DUMMYFUNCTION("GOOGLETRANSLATE(B1348,""en"",""pt-br"")"),"negativo")</f>
        <v>negativo</v>
      </c>
    </row>
    <row r="1349" ht="15.75" customHeight="1">
      <c r="A1349" s="2" t="s">
        <v>1351</v>
      </c>
      <c r="B1349" s="2" t="s">
        <v>3</v>
      </c>
      <c r="C1349" s="1" t="str">
        <f>IFERROR(__xludf.DUMMYFUNCTION("GOOGLETRANSLATE(A1349,""en"",""pt-br"")"),"iludida")</f>
        <v>iludida</v>
      </c>
      <c r="D1349" s="1" t="str">
        <f>IFERROR(__xludf.DUMMYFUNCTION("GOOGLETRANSLATE(B1349,""en"",""pt-br"")"),"negativo")</f>
        <v>negativo</v>
      </c>
    </row>
    <row r="1350" ht="15.75" customHeight="1">
      <c r="A1350" s="2" t="s">
        <v>1352</v>
      </c>
      <c r="B1350" s="2" t="s">
        <v>3</v>
      </c>
      <c r="C1350" s="1" t="str">
        <f>IFERROR(__xludf.DUMMYFUNCTION("GOOGLETRANSLATE(A1350,""en"",""pt-br"")"),"dilúvio")</f>
        <v>dilúvio</v>
      </c>
      <c r="D1350" s="1" t="str">
        <f>IFERROR(__xludf.DUMMYFUNCTION("GOOGLETRANSLATE(B1350,""en"",""pt-br"")"),"negativo")</f>
        <v>negativo</v>
      </c>
    </row>
    <row r="1351" ht="15.75" customHeight="1">
      <c r="A1351" s="2" t="s">
        <v>1353</v>
      </c>
      <c r="B1351" s="2" t="s">
        <v>3</v>
      </c>
      <c r="C1351" s="1" t="str">
        <f>IFERROR(__xludf.DUMMYFUNCTION("GOOGLETRANSLATE(A1351,""en"",""pt-br"")"),"ilusão")</f>
        <v>ilusão</v>
      </c>
      <c r="D1351" s="1" t="str">
        <f>IFERROR(__xludf.DUMMYFUNCTION("GOOGLETRANSLATE(B1351,""en"",""pt-br"")"),"negativo")</f>
        <v>negativo</v>
      </c>
    </row>
    <row r="1352" ht="15.75" customHeight="1">
      <c r="A1352" s="2" t="s">
        <v>1354</v>
      </c>
      <c r="B1352" s="2" t="s">
        <v>3</v>
      </c>
      <c r="C1352" s="1" t="str">
        <f>IFERROR(__xludf.DUMMYFUNCTION("GOOGLETRANSLATE(A1352,""en"",""pt-br"")"),"delirante")</f>
        <v>delirante</v>
      </c>
      <c r="D1352" s="1" t="str">
        <f>IFERROR(__xludf.DUMMYFUNCTION("GOOGLETRANSLATE(B1352,""en"",""pt-br"")"),"negativo")</f>
        <v>negativo</v>
      </c>
    </row>
    <row r="1353" ht="15.75" customHeight="1">
      <c r="A1353" s="2" t="s">
        <v>1355</v>
      </c>
      <c r="B1353" s="2" t="s">
        <v>3</v>
      </c>
      <c r="C1353" s="1" t="str">
        <f>IFERROR(__xludf.DUMMYFUNCTION("GOOGLETRANSLATE(A1353,""en"",""pt-br"")"),"delírios")</f>
        <v>delírios</v>
      </c>
      <c r="D1353" s="1" t="str">
        <f>IFERROR(__xludf.DUMMYFUNCTION("GOOGLETRANSLATE(B1353,""en"",""pt-br"")"),"negativo")</f>
        <v>negativo</v>
      </c>
    </row>
    <row r="1354" ht="15.75" customHeight="1">
      <c r="A1354" s="2" t="s">
        <v>1356</v>
      </c>
      <c r="B1354" s="2" t="s">
        <v>3</v>
      </c>
      <c r="C1354" s="1" t="str">
        <f>IFERROR(__xludf.DUMMYFUNCTION("GOOGLETRANSLATE(A1354,""en"",""pt-br"")"),"aviltar")</f>
        <v>aviltar</v>
      </c>
      <c r="D1354" s="1" t="str">
        <f>IFERROR(__xludf.DUMMYFUNCTION("GOOGLETRANSLATE(B1354,""en"",""pt-br"")"),"negativo")</f>
        <v>negativo</v>
      </c>
    </row>
    <row r="1355" ht="15.75" customHeight="1">
      <c r="A1355" s="2" t="s">
        <v>1357</v>
      </c>
      <c r="B1355" s="2" t="s">
        <v>3</v>
      </c>
      <c r="C1355" s="1" t="str">
        <f>IFERROR(__xludf.DUMMYFUNCTION("GOOGLETRANSLATE(A1355,""en"",""pt-br"")"),"degradante")</f>
        <v>degradante</v>
      </c>
      <c r="D1355" s="1" t="str">
        <f>IFERROR(__xludf.DUMMYFUNCTION("GOOGLETRANSLATE(B1355,""en"",""pt-br"")"),"negativo")</f>
        <v>negativo</v>
      </c>
    </row>
    <row r="1356" ht="15.75" customHeight="1">
      <c r="A1356" s="2" t="s">
        <v>1358</v>
      </c>
      <c r="B1356" s="2" t="s">
        <v>3</v>
      </c>
      <c r="C1356" s="1" t="str">
        <f>IFERROR(__xludf.DUMMYFUNCTION("GOOGLETRANSLATE(A1356,""en"",""pt-br"")"),"falecimento")</f>
        <v>falecimento</v>
      </c>
      <c r="D1356" s="1" t="str">
        <f>IFERROR(__xludf.DUMMYFUNCTION("GOOGLETRANSLATE(B1356,""en"",""pt-br"")"),"negativo")</f>
        <v>negativo</v>
      </c>
    </row>
    <row r="1357" ht="15.75" customHeight="1">
      <c r="A1357" s="2" t="s">
        <v>1359</v>
      </c>
      <c r="B1357" s="2" t="s">
        <v>3</v>
      </c>
      <c r="C1357" s="1" t="str">
        <f>IFERROR(__xludf.DUMMYFUNCTION("GOOGLETRANSLATE(A1357,""en"",""pt-br"")"),"demolir")</f>
        <v>demolir</v>
      </c>
      <c r="D1357" s="1" t="str">
        <f>IFERROR(__xludf.DUMMYFUNCTION("GOOGLETRANSLATE(B1357,""en"",""pt-br"")"),"negativo")</f>
        <v>negativo</v>
      </c>
    </row>
    <row r="1358" ht="15.75" customHeight="1">
      <c r="A1358" s="2" t="s">
        <v>1360</v>
      </c>
      <c r="B1358" s="2" t="s">
        <v>3</v>
      </c>
      <c r="C1358" s="1" t="str">
        <f>IFERROR(__xludf.DUMMYFUNCTION("GOOGLETRANSLATE(A1358,""en"",""pt-br"")"),"demolidor")</f>
        <v>demolidor</v>
      </c>
      <c r="D1358" s="1" t="str">
        <f>IFERROR(__xludf.DUMMYFUNCTION("GOOGLETRANSLATE(B1358,""en"",""pt-br"")"),"negativo")</f>
        <v>negativo</v>
      </c>
    </row>
    <row r="1359" ht="15.75" customHeight="1">
      <c r="A1359" s="2" t="s">
        <v>1361</v>
      </c>
      <c r="B1359" s="2" t="s">
        <v>3</v>
      </c>
      <c r="C1359" s="1" t="str">
        <f>IFERROR(__xludf.DUMMYFUNCTION("GOOGLETRANSLATE(A1359,""en"",""pt-br"")"),"demônio")</f>
        <v>demônio</v>
      </c>
      <c r="D1359" s="1" t="str">
        <f>IFERROR(__xludf.DUMMYFUNCTION("GOOGLETRANSLATE(B1359,""en"",""pt-br"")"),"negativo")</f>
        <v>negativo</v>
      </c>
    </row>
    <row r="1360" ht="15.75" customHeight="1">
      <c r="A1360" s="2" t="s">
        <v>1362</v>
      </c>
      <c r="B1360" s="2" t="s">
        <v>3</v>
      </c>
      <c r="C1360" s="1" t="str">
        <f>IFERROR(__xludf.DUMMYFUNCTION("GOOGLETRANSLATE(A1360,""en"",""pt-br"")"),"demoníaco")</f>
        <v>demoníaco</v>
      </c>
      <c r="D1360" s="1" t="str">
        <f>IFERROR(__xludf.DUMMYFUNCTION("GOOGLETRANSLATE(B1360,""en"",""pt-br"")"),"negativo")</f>
        <v>negativo</v>
      </c>
    </row>
    <row r="1361" ht="15.75" customHeight="1">
      <c r="A1361" s="2" t="s">
        <v>1363</v>
      </c>
      <c r="B1361" s="2" t="s">
        <v>3</v>
      </c>
      <c r="C1361" s="1" t="str">
        <f>IFERROR(__xludf.DUMMYFUNCTION("GOOGLETRANSLATE(A1361,""en"",""pt-br"")"),"demonizam")</f>
        <v>demonizam</v>
      </c>
      <c r="D1361" s="1" t="str">
        <f>IFERROR(__xludf.DUMMYFUNCTION("GOOGLETRANSLATE(B1361,""en"",""pt-br"")"),"negativo")</f>
        <v>negativo</v>
      </c>
    </row>
    <row r="1362" ht="15.75" customHeight="1">
      <c r="A1362" s="2" t="s">
        <v>1364</v>
      </c>
      <c r="B1362" s="2" t="s">
        <v>3</v>
      </c>
      <c r="C1362" s="1" t="str">
        <f>IFERROR(__xludf.DUMMYFUNCTION("GOOGLETRANSLATE(A1362,""en"",""pt-br"")"),"demonizado")</f>
        <v>demonizado</v>
      </c>
      <c r="D1362" s="1" t="str">
        <f>IFERROR(__xludf.DUMMYFUNCTION("GOOGLETRANSLATE(B1362,""en"",""pt-br"")"),"negativo")</f>
        <v>negativo</v>
      </c>
    </row>
    <row r="1363" ht="15.75" customHeight="1">
      <c r="A1363" s="2" t="s">
        <v>1365</v>
      </c>
      <c r="B1363" s="2" t="s">
        <v>3</v>
      </c>
      <c r="C1363" s="1" t="str">
        <f>IFERROR(__xludf.DUMMYFUNCTION("GOOGLETRANSLATE(A1363,""en"",""pt-br"")"),"demoniza")</f>
        <v>demoniza</v>
      </c>
      <c r="D1363" s="1" t="str">
        <f>IFERROR(__xludf.DUMMYFUNCTION("GOOGLETRANSLATE(B1363,""en"",""pt-br"")"),"negativo")</f>
        <v>negativo</v>
      </c>
    </row>
    <row r="1364" ht="15.75" customHeight="1">
      <c r="A1364" s="2" t="s">
        <v>1366</v>
      </c>
      <c r="B1364" s="2" t="s">
        <v>3</v>
      </c>
      <c r="C1364" s="1" t="str">
        <f>IFERROR(__xludf.DUMMYFUNCTION("GOOGLETRANSLATE(A1364,""en"",""pt-br"")"),"demonização")</f>
        <v>demonização</v>
      </c>
      <c r="D1364" s="1" t="str">
        <f>IFERROR(__xludf.DUMMYFUNCTION("GOOGLETRANSLATE(B1364,""en"",""pt-br"")"),"negativo")</f>
        <v>negativo</v>
      </c>
    </row>
    <row r="1365" ht="15.75" customHeight="1">
      <c r="A1365" s="2" t="s">
        <v>1367</v>
      </c>
      <c r="B1365" s="2" t="s">
        <v>3</v>
      </c>
      <c r="C1365" s="1" t="str">
        <f>IFERROR(__xludf.DUMMYFUNCTION("GOOGLETRANSLATE(A1365,""en"",""pt-br"")"),"desmoralizar")</f>
        <v>desmoralizar</v>
      </c>
      <c r="D1365" s="1" t="str">
        <f>IFERROR(__xludf.DUMMYFUNCTION("GOOGLETRANSLATE(B1365,""en"",""pt-br"")"),"negativo")</f>
        <v>negativo</v>
      </c>
    </row>
    <row r="1366" ht="15.75" customHeight="1">
      <c r="A1366" s="2" t="s">
        <v>1368</v>
      </c>
      <c r="B1366" s="2" t="s">
        <v>3</v>
      </c>
      <c r="C1366" s="1" t="str">
        <f>IFERROR(__xludf.DUMMYFUNCTION("GOOGLETRANSLATE(A1366,""en"",""pt-br"")"),"desmoralizante")</f>
        <v>desmoralizante</v>
      </c>
      <c r="D1366" s="1" t="str">
        <f>IFERROR(__xludf.DUMMYFUNCTION("GOOGLETRANSLATE(B1366,""en"",""pt-br"")"),"negativo")</f>
        <v>negativo</v>
      </c>
    </row>
    <row r="1367" ht="15.75" customHeight="1">
      <c r="A1367" s="2" t="s">
        <v>1369</v>
      </c>
      <c r="B1367" s="2" t="s">
        <v>3</v>
      </c>
      <c r="C1367" s="1" t="str">
        <f>IFERROR(__xludf.DUMMYFUNCTION("GOOGLETRANSLATE(A1367,""en"",""pt-br"")"),"demoralizingly")</f>
        <v>demoralizingly</v>
      </c>
      <c r="D1367" s="1" t="str">
        <f>IFERROR(__xludf.DUMMYFUNCTION("GOOGLETRANSLATE(B1367,""en"",""pt-br"")"),"negativo")</f>
        <v>negativo</v>
      </c>
    </row>
    <row r="1368" ht="15.75" customHeight="1">
      <c r="A1368" s="2" t="s">
        <v>1370</v>
      </c>
      <c r="B1368" s="2" t="s">
        <v>3</v>
      </c>
      <c r="C1368" s="1" t="str">
        <f>IFERROR(__xludf.DUMMYFUNCTION("GOOGLETRANSLATE(A1368,""en"",""pt-br"")"),"negação")</f>
        <v>negação</v>
      </c>
      <c r="D1368" s="1" t="str">
        <f>IFERROR(__xludf.DUMMYFUNCTION("GOOGLETRANSLATE(B1368,""en"",""pt-br"")"),"negativo")</f>
        <v>negativo</v>
      </c>
    </row>
    <row r="1369" ht="15.75" customHeight="1">
      <c r="A1369" s="2" t="s">
        <v>1371</v>
      </c>
      <c r="B1369" s="2" t="s">
        <v>3</v>
      </c>
      <c r="C1369" s="1" t="str">
        <f>IFERROR(__xludf.DUMMYFUNCTION("GOOGLETRANSLATE(A1369,""en"",""pt-br"")"),"negado")</f>
        <v>negado</v>
      </c>
      <c r="D1369" s="1" t="str">
        <f>IFERROR(__xludf.DUMMYFUNCTION("GOOGLETRANSLATE(B1369,""en"",""pt-br"")"),"negativo")</f>
        <v>negativo</v>
      </c>
    </row>
    <row r="1370" ht="15.75" customHeight="1">
      <c r="A1370" s="2" t="s">
        <v>1372</v>
      </c>
      <c r="B1370" s="2" t="s">
        <v>3</v>
      </c>
      <c r="C1370" s="1" t="str">
        <f>IFERROR(__xludf.DUMMYFUNCTION("GOOGLETRANSLATE(A1370,""en"",""pt-br"")"),"nega")</f>
        <v>nega</v>
      </c>
      <c r="D1370" s="1" t="str">
        <f>IFERROR(__xludf.DUMMYFUNCTION("GOOGLETRANSLATE(B1370,""en"",""pt-br"")"),"negativo")</f>
        <v>negativo</v>
      </c>
    </row>
    <row r="1371" ht="15.75" customHeight="1">
      <c r="A1371" s="2" t="s">
        <v>1373</v>
      </c>
      <c r="B1371" s="2" t="s">
        <v>3</v>
      </c>
      <c r="C1371" s="1" t="str">
        <f>IFERROR(__xludf.DUMMYFUNCTION("GOOGLETRANSLATE(A1371,""en"",""pt-br"")"),"denegrir")</f>
        <v>denegrir</v>
      </c>
      <c r="D1371" s="1" t="str">
        <f>IFERROR(__xludf.DUMMYFUNCTION("GOOGLETRANSLATE(B1371,""en"",""pt-br"")"),"negativo")</f>
        <v>negativo</v>
      </c>
    </row>
    <row r="1372" ht="15.75" customHeight="1">
      <c r="A1372" s="2" t="s">
        <v>1374</v>
      </c>
      <c r="B1372" s="2" t="s">
        <v>3</v>
      </c>
      <c r="C1372" s="1" t="str">
        <f>IFERROR(__xludf.DUMMYFUNCTION("GOOGLETRANSLATE(A1372,""en"",""pt-br"")"),"denunciar")</f>
        <v>denunciar</v>
      </c>
      <c r="D1372" s="1" t="str">
        <f>IFERROR(__xludf.DUMMYFUNCTION("GOOGLETRANSLATE(B1372,""en"",""pt-br"")"),"negativo")</f>
        <v>negativo</v>
      </c>
    </row>
    <row r="1373" ht="15.75" customHeight="1">
      <c r="A1373" s="2" t="s">
        <v>1375</v>
      </c>
      <c r="B1373" s="2" t="s">
        <v>3</v>
      </c>
      <c r="C1373" s="1" t="str">
        <f>IFERROR(__xludf.DUMMYFUNCTION("GOOGLETRANSLATE(A1373,""en"",""pt-br"")"),"denso")</f>
        <v>denso</v>
      </c>
      <c r="D1373" s="1" t="str">
        <f>IFERROR(__xludf.DUMMYFUNCTION("GOOGLETRANSLATE(B1373,""en"",""pt-br"")"),"negativo")</f>
        <v>negativo</v>
      </c>
    </row>
    <row r="1374" ht="15.75" customHeight="1">
      <c r="A1374" s="2" t="s">
        <v>1376</v>
      </c>
      <c r="B1374" s="2" t="s">
        <v>3</v>
      </c>
      <c r="C1374" s="1" t="str">
        <f>IFERROR(__xludf.DUMMYFUNCTION("GOOGLETRANSLATE(A1374,""en"",""pt-br"")"),"dente")</f>
        <v>dente</v>
      </c>
      <c r="D1374" s="1" t="str">
        <f>IFERROR(__xludf.DUMMYFUNCTION("GOOGLETRANSLATE(B1374,""en"",""pt-br"")"),"negativo")</f>
        <v>negativo</v>
      </c>
    </row>
    <row r="1375" ht="15.75" customHeight="1">
      <c r="A1375" s="2" t="s">
        <v>1377</v>
      </c>
      <c r="B1375" s="2" t="s">
        <v>3</v>
      </c>
      <c r="C1375" s="1" t="str">
        <f>IFERROR(__xludf.DUMMYFUNCTION("GOOGLETRANSLATE(A1375,""en"",""pt-br"")"),"amolgado")</f>
        <v>amolgado</v>
      </c>
      <c r="D1375" s="1" t="str">
        <f>IFERROR(__xludf.DUMMYFUNCTION("GOOGLETRANSLATE(B1375,""en"",""pt-br"")"),"negativo")</f>
        <v>negativo</v>
      </c>
    </row>
    <row r="1376" ht="15.75" customHeight="1">
      <c r="A1376" s="2" t="s">
        <v>1378</v>
      </c>
      <c r="B1376" s="2" t="s">
        <v>3</v>
      </c>
      <c r="C1376" s="1" t="str">
        <f>IFERROR(__xludf.DUMMYFUNCTION("GOOGLETRANSLATE(A1376,""en"",""pt-br"")"),"mossas")</f>
        <v>mossas</v>
      </c>
      <c r="D1376" s="1" t="str">
        <f>IFERROR(__xludf.DUMMYFUNCTION("GOOGLETRANSLATE(B1376,""en"",""pt-br"")"),"negativo")</f>
        <v>negativo</v>
      </c>
    </row>
    <row r="1377" ht="15.75" customHeight="1">
      <c r="A1377" s="2" t="s">
        <v>1379</v>
      </c>
      <c r="B1377" s="2" t="s">
        <v>3</v>
      </c>
      <c r="C1377" s="1" t="str">
        <f>IFERROR(__xludf.DUMMYFUNCTION("GOOGLETRANSLATE(A1377,""en"",""pt-br"")"),"denunciar")</f>
        <v>denunciar</v>
      </c>
      <c r="D1377" s="1" t="str">
        <f>IFERROR(__xludf.DUMMYFUNCTION("GOOGLETRANSLATE(B1377,""en"",""pt-br"")"),"negativo")</f>
        <v>negativo</v>
      </c>
    </row>
    <row r="1378" ht="15.75" customHeight="1">
      <c r="A1378" s="2" t="s">
        <v>1380</v>
      </c>
      <c r="B1378" s="2" t="s">
        <v>3</v>
      </c>
      <c r="C1378" s="1" t="str">
        <f>IFERROR(__xludf.DUMMYFUNCTION("GOOGLETRANSLATE(A1378,""en"",""pt-br"")"),"denúncia")</f>
        <v>denúncia</v>
      </c>
      <c r="D1378" s="1" t="str">
        <f>IFERROR(__xludf.DUMMYFUNCTION("GOOGLETRANSLATE(B1378,""en"",""pt-br"")"),"negativo")</f>
        <v>negativo</v>
      </c>
    </row>
    <row r="1379" ht="15.75" customHeight="1">
      <c r="A1379" s="2" t="s">
        <v>1381</v>
      </c>
      <c r="B1379" s="2" t="s">
        <v>3</v>
      </c>
      <c r="C1379" s="1" t="str">
        <f>IFERROR(__xludf.DUMMYFUNCTION("GOOGLETRANSLATE(A1379,""en"",""pt-br"")"),"denúncias")</f>
        <v>denúncias</v>
      </c>
      <c r="D1379" s="1" t="str">
        <f>IFERROR(__xludf.DUMMYFUNCTION("GOOGLETRANSLATE(B1379,""en"",""pt-br"")"),"negativo")</f>
        <v>negativo</v>
      </c>
    </row>
    <row r="1380" ht="15.75" customHeight="1">
      <c r="A1380" s="2" t="s">
        <v>1382</v>
      </c>
      <c r="B1380" s="2" t="s">
        <v>3</v>
      </c>
      <c r="C1380" s="1" t="str">
        <f>IFERROR(__xludf.DUMMYFUNCTION("GOOGLETRANSLATE(A1380,""en"",""pt-br"")"),"negar")</f>
        <v>negar</v>
      </c>
      <c r="D1380" s="1" t="str">
        <f>IFERROR(__xludf.DUMMYFUNCTION("GOOGLETRANSLATE(B1380,""en"",""pt-br"")"),"negativo")</f>
        <v>negativo</v>
      </c>
    </row>
    <row r="1381" ht="15.75" customHeight="1">
      <c r="A1381" s="2" t="s">
        <v>1383</v>
      </c>
      <c r="B1381" s="2" t="s">
        <v>3</v>
      </c>
      <c r="C1381" s="1" t="str">
        <f>IFERROR(__xludf.DUMMYFUNCTION("GOOGLETRANSLATE(A1381,""en"",""pt-br"")"),"negando")</f>
        <v>negando</v>
      </c>
      <c r="D1381" s="1" t="str">
        <f>IFERROR(__xludf.DUMMYFUNCTION("GOOGLETRANSLATE(B1381,""en"",""pt-br"")"),"negativo")</f>
        <v>negativo</v>
      </c>
    </row>
    <row r="1382" ht="15.75" customHeight="1">
      <c r="A1382" s="2" t="s">
        <v>1384</v>
      </c>
      <c r="B1382" s="2" t="s">
        <v>14</v>
      </c>
      <c r="C1382" s="1" t="str">
        <f>IFERROR(__xludf.DUMMYFUNCTION("GOOGLETRANSLATE(A1382,""en"",""pt-br"")"),"seguro")</f>
        <v>seguro</v>
      </c>
      <c r="D1382" s="1" t="str">
        <f>IFERROR(__xludf.DUMMYFUNCTION("GOOGLETRANSLATE(B1382,""en"",""pt-br"")"),"positivo")</f>
        <v>positivo</v>
      </c>
    </row>
    <row r="1383" ht="15.75" customHeight="1">
      <c r="A1383" s="2" t="s">
        <v>1385</v>
      </c>
      <c r="B1383" s="2" t="s">
        <v>14</v>
      </c>
      <c r="C1383" s="1" t="str">
        <f>IFERROR(__xludf.DUMMYFUNCTION("GOOGLETRANSLATE(A1383,""en"",""pt-br"")"),"dependably")</f>
        <v>dependably</v>
      </c>
      <c r="D1383" s="1" t="str">
        <f>IFERROR(__xludf.DUMMYFUNCTION("GOOGLETRANSLATE(B1383,""en"",""pt-br"")"),"positivo")</f>
        <v>positivo</v>
      </c>
    </row>
    <row r="1384" ht="15.75" customHeight="1">
      <c r="A1384" s="2" t="s">
        <v>1386</v>
      </c>
      <c r="B1384" s="2" t="s">
        <v>3</v>
      </c>
      <c r="C1384" s="1" t="str">
        <f>IFERROR(__xludf.DUMMYFUNCTION("GOOGLETRANSLATE(A1384,""en"",""pt-br"")"),"esgotar")</f>
        <v>esgotar</v>
      </c>
      <c r="D1384" s="1" t="str">
        <f>IFERROR(__xludf.DUMMYFUNCTION("GOOGLETRANSLATE(B1384,""en"",""pt-br"")"),"negativo")</f>
        <v>negativo</v>
      </c>
    </row>
    <row r="1385" ht="15.75" customHeight="1">
      <c r="A1385" s="2" t="s">
        <v>1387</v>
      </c>
      <c r="B1385" s="2" t="s">
        <v>3</v>
      </c>
      <c r="C1385" s="1" t="str">
        <f>IFERROR(__xludf.DUMMYFUNCTION("GOOGLETRANSLATE(A1385,""en"",""pt-br"")"),"deplorável")</f>
        <v>deplorável</v>
      </c>
      <c r="D1385" s="1" t="str">
        <f>IFERROR(__xludf.DUMMYFUNCTION("GOOGLETRANSLATE(B1385,""en"",""pt-br"")"),"negativo")</f>
        <v>negativo</v>
      </c>
    </row>
    <row r="1386" ht="15.75" customHeight="1">
      <c r="A1386" s="2" t="s">
        <v>1388</v>
      </c>
      <c r="B1386" s="2" t="s">
        <v>3</v>
      </c>
      <c r="C1386" s="1" t="str">
        <f>IFERROR(__xludf.DUMMYFUNCTION("GOOGLETRANSLATE(A1386,""en"",""pt-br"")"),"deplorável")</f>
        <v>deplorável</v>
      </c>
      <c r="D1386" s="1" t="str">
        <f>IFERROR(__xludf.DUMMYFUNCTION("GOOGLETRANSLATE(B1386,""en"",""pt-br"")"),"negativo")</f>
        <v>negativo</v>
      </c>
    </row>
    <row r="1387" ht="15.75" customHeight="1">
      <c r="A1387" s="2" t="s">
        <v>1389</v>
      </c>
      <c r="B1387" s="2" t="s">
        <v>3</v>
      </c>
      <c r="C1387" s="1" t="str">
        <f>IFERROR(__xludf.DUMMYFUNCTION("GOOGLETRANSLATE(A1387,""en"",""pt-br"")"),"deplorar")</f>
        <v>deplorar</v>
      </c>
      <c r="D1387" s="1" t="str">
        <f>IFERROR(__xludf.DUMMYFUNCTION("GOOGLETRANSLATE(B1387,""en"",""pt-br"")"),"negativo")</f>
        <v>negativo</v>
      </c>
    </row>
    <row r="1388" ht="15.75" customHeight="1">
      <c r="A1388" s="2" t="s">
        <v>1390</v>
      </c>
      <c r="B1388" s="2" t="s">
        <v>3</v>
      </c>
      <c r="C1388" s="1" t="str">
        <f>IFERROR(__xludf.DUMMYFUNCTION("GOOGLETRANSLATE(A1388,""en"",""pt-br"")"),"deplorando")</f>
        <v>deplorando</v>
      </c>
      <c r="D1388" s="1" t="str">
        <f>IFERROR(__xludf.DUMMYFUNCTION("GOOGLETRANSLATE(B1388,""en"",""pt-br"")"),"negativo")</f>
        <v>negativo</v>
      </c>
    </row>
    <row r="1389" ht="15.75" customHeight="1">
      <c r="A1389" s="2" t="s">
        <v>1391</v>
      </c>
      <c r="B1389" s="2" t="s">
        <v>3</v>
      </c>
      <c r="C1389" s="1" t="str">
        <f>IFERROR(__xludf.DUMMYFUNCTION("GOOGLETRANSLATE(A1389,""en"",""pt-br"")"),"deploringly")</f>
        <v>deploringly</v>
      </c>
      <c r="D1389" s="1" t="str">
        <f>IFERROR(__xludf.DUMMYFUNCTION("GOOGLETRANSLATE(B1389,""en"",""pt-br"")"),"negativo")</f>
        <v>negativo</v>
      </c>
    </row>
    <row r="1390" ht="15.75" customHeight="1">
      <c r="A1390" s="2" t="s">
        <v>1392</v>
      </c>
      <c r="B1390" s="2" t="s">
        <v>3</v>
      </c>
      <c r="C1390" s="1" t="str">
        <f>IFERROR(__xludf.DUMMYFUNCTION("GOOGLETRANSLATE(A1390,""en"",""pt-br"")"),"depravar")</f>
        <v>depravar</v>
      </c>
      <c r="D1390" s="1" t="str">
        <f>IFERROR(__xludf.DUMMYFUNCTION("GOOGLETRANSLATE(B1390,""en"",""pt-br"")"),"negativo")</f>
        <v>negativo</v>
      </c>
    </row>
    <row r="1391" ht="15.75" customHeight="1">
      <c r="A1391" s="2" t="s">
        <v>1393</v>
      </c>
      <c r="B1391" s="2" t="s">
        <v>3</v>
      </c>
      <c r="C1391" s="1" t="str">
        <f>IFERROR(__xludf.DUMMYFUNCTION("GOOGLETRANSLATE(A1391,""en"",""pt-br"")"),"depravado")</f>
        <v>depravado</v>
      </c>
      <c r="D1391" s="1" t="str">
        <f>IFERROR(__xludf.DUMMYFUNCTION("GOOGLETRANSLATE(B1391,""en"",""pt-br"")"),"negativo")</f>
        <v>negativo</v>
      </c>
    </row>
    <row r="1392" ht="15.75" customHeight="1">
      <c r="A1392" s="2" t="s">
        <v>1394</v>
      </c>
      <c r="B1392" s="2" t="s">
        <v>3</v>
      </c>
      <c r="C1392" s="1" t="str">
        <f>IFERROR(__xludf.DUMMYFUNCTION("GOOGLETRANSLATE(A1392,""en"",""pt-br"")"),"depravedly")</f>
        <v>depravedly</v>
      </c>
      <c r="D1392" s="1" t="str">
        <f>IFERROR(__xludf.DUMMYFUNCTION("GOOGLETRANSLATE(B1392,""en"",""pt-br"")"),"negativo")</f>
        <v>negativo</v>
      </c>
    </row>
    <row r="1393" ht="15.75" customHeight="1">
      <c r="A1393" s="2" t="s">
        <v>1395</v>
      </c>
      <c r="B1393" s="2" t="s">
        <v>3</v>
      </c>
      <c r="C1393" s="1" t="str">
        <f>IFERROR(__xludf.DUMMYFUNCTION("GOOGLETRANSLATE(A1393,""en"",""pt-br"")"),"deprecate")</f>
        <v>deprecate</v>
      </c>
      <c r="D1393" s="1" t="str">
        <f>IFERROR(__xludf.DUMMYFUNCTION("GOOGLETRANSLATE(B1393,""en"",""pt-br"")"),"negativo")</f>
        <v>negativo</v>
      </c>
    </row>
    <row r="1394" ht="15.75" customHeight="1">
      <c r="A1394" s="2" t="s">
        <v>1396</v>
      </c>
      <c r="B1394" s="2" t="s">
        <v>3</v>
      </c>
      <c r="C1394" s="1" t="str">
        <f>IFERROR(__xludf.DUMMYFUNCTION("GOOGLETRANSLATE(A1394,""en"",""pt-br"")"),"deprimir")</f>
        <v>deprimir</v>
      </c>
      <c r="D1394" s="1" t="str">
        <f>IFERROR(__xludf.DUMMYFUNCTION("GOOGLETRANSLATE(B1394,""en"",""pt-br"")"),"negativo")</f>
        <v>negativo</v>
      </c>
    </row>
    <row r="1395" ht="15.75" customHeight="1">
      <c r="A1395" s="2" t="s">
        <v>1397</v>
      </c>
      <c r="B1395" s="2" t="s">
        <v>3</v>
      </c>
      <c r="C1395" s="1" t="str">
        <f>IFERROR(__xludf.DUMMYFUNCTION("GOOGLETRANSLATE(A1395,""en"",""pt-br"")"),"depressivo")</f>
        <v>depressivo</v>
      </c>
      <c r="D1395" s="1" t="str">
        <f>IFERROR(__xludf.DUMMYFUNCTION("GOOGLETRANSLATE(B1395,""en"",""pt-br"")"),"negativo")</f>
        <v>negativo</v>
      </c>
    </row>
    <row r="1396" ht="15.75" customHeight="1">
      <c r="A1396" s="2" t="s">
        <v>1398</v>
      </c>
      <c r="B1396" s="2" t="s">
        <v>3</v>
      </c>
      <c r="C1396" s="1" t="str">
        <f>IFERROR(__xludf.DUMMYFUNCTION("GOOGLETRANSLATE(A1396,""en"",""pt-br"")"),"deprimente")</f>
        <v>deprimente</v>
      </c>
      <c r="D1396" s="1" t="str">
        <f>IFERROR(__xludf.DUMMYFUNCTION("GOOGLETRANSLATE(B1396,""en"",""pt-br"")"),"negativo")</f>
        <v>negativo</v>
      </c>
    </row>
    <row r="1397" ht="15.75" customHeight="1">
      <c r="A1397" s="2" t="s">
        <v>1399</v>
      </c>
      <c r="B1397" s="2" t="s">
        <v>3</v>
      </c>
      <c r="C1397" s="1" t="str">
        <f>IFERROR(__xludf.DUMMYFUNCTION("GOOGLETRANSLATE(A1397,""en"",""pt-br"")"),"deprimentemente")</f>
        <v>deprimentemente</v>
      </c>
      <c r="D1397" s="1" t="str">
        <f>IFERROR(__xludf.DUMMYFUNCTION("GOOGLETRANSLATE(B1397,""en"",""pt-br"")"),"negativo")</f>
        <v>negativo</v>
      </c>
    </row>
    <row r="1398" ht="15.75" customHeight="1">
      <c r="A1398" s="2" t="s">
        <v>1400</v>
      </c>
      <c r="B1398" s="2" t="s">
        <v>3</v>
      </c>
      <c r="C1398" s="1" t="str">
        <f>IFERROR(__xludf.DUMMYFUNCTION("GOOGLETRANSLATE(A1398,""en"",""pt-br"")"),"depressão")</f>
        <v>depressão</v>
      </c>
      <c r="D1398" s="1" t="str">
        <f>IFERROR(__xludf.DUMMYFUNCTION("GOOGLETRANSLATE(B1398,""en"",""pt-br"")"),"negativo")</f>
        <v>negativo</v>
      </c>
    </row>
    <row r="1399" ht="15.75" customHeight="1">
      <c r="A1399" s="2" t="s">
        <v>1401</v>
      </c>
      <c r="B1399" s="2" t="s">
        <v>3</v>
      </c>
      <c r="C1399" s="1" t="str">
        <f>IFERROR(__xludf.DUMMYFUNCTION("GOOGLETRANSLATE(A1399,""en"",""pt-br"")"),"depressões")</f>
        <v>depressões</v>
      </c>
      <c r="D1399" s="1" t="str">
        <f>IFERROR(__xludf.DUMMYFUNCTION("GOOGLETRANSLATE(B1399,""en"",""pt-br"")"),"negativo")</f>
        <v>negativo</v>
      </c>
    </row>
    <row r="1400" ht="15.75" customHeight="1">
      <c r="A1400" s="2" t="s">
        <v>1402</v>
      </c>
      <c r="B1400" s="2" t="s">
        <v>3</v>
      </c>
      <c r="C1400" s="1" t="str">
        <f>IFERROR(__xludf.DUMMYFUNCTION("GOOGLETRANSLATE(A1400,""en"",""pt-br"")"),"privar")</f>
        <v>privar</v>
      </c>
      <c r="D1400" s="1" t="str">
        <f>IFERROR(__xludf.DUMMYFUNCTION("GOOGLETRANSLATE(B1400,""en"",""pt-br"")"),"negativo")</f>
        <v>negativo</v>
      </c>
    </row>
    <row r="1401" ht="15.75" customHeight="1">
      <c r="A1401" s="2" t="s">
        <v>1403</v>
      </c>
      <c r="B1401" s="2" t="s">
        <v>3</v>
      </c>
      <c r="C1401" s="1" t="str">
        <f>IFERROR(__xludf.DUMMYFUNCTION("GOOGLETRANSLATE(A1401,""en"",""pt-br"")"),"privado")</f>
        <v>privado</v>
      </c>
      <c r="D1401" s="1" t="str">
        <f>IFERROR(__xludf.DUMMYFUNCTION("GOOGLETRANSLATE(B1401,""en"",""pt-br"")"),"negativo")</f>
        <v>negativo</v>
      </c>
    </row>
    <row r="1402" ht="15.75" customHeight="1">
      <c r="A1402" s="2" t="s">
        <v>1404</v>
      </c>
      <c r="B1402" s="2" t="s">
        <v>3</v>
      </c>
      <c r="C1402" s="1" t="str">
        <f>IFERROR(__xludf.DUMMYFUNCTION("GOOGLETRANSLATE(A1402,""en"",""pt-br"")"),"deride")</f>
        <v>deride</v>
      </c>
      <c r="D1402" s="1" t="str">
        <f>IFERROR(__xludf.DUMMYFUNCTION("GOOGLETRANSLATE(B1402,""en"",""pt-br"")"),"negativo")</f>
        <v>negativo</v>
      </c>
    </row>
    <row r="1403" ht="15.75" customHeight="1">
      <c r="A1403" s="2" t="s">
        <v>1405</v>
      </c>
      <c r="B1403" s="2" t="s">
        <v>3</v>
      </c>
      <c r="C1403" s="1" t="str">
        <f>IFERROR(__xludf.DUMMYFUNCTION("GOOGLETRANSLATE(A1403,""en"",""pt-br"")"),"escárnio")</f>
        <v>escárnio</v>
      </c>
      <c r="D1403" s="1" t="str">
        <f>IFERROR(__xludf.DUMMYFUNCTION("GOOGLETRANSLATE(B1403,""en"",""pt-br"")"),"negativo")</f>
        <v>negativo</v>
      </c>
    </row>
    <row r="1404" ht="15.75" customHeight="1">
      <c r="A1404" s="2" t="s">
        <v>1406</v>
      </c>
      <c r="B1404" s="2" t="s">
        <v>3</v>
      </c>
      <c r="C1404" s="1" t="str">
        <f>IFERROR(__xludf.DUMMYFUNCTION("GOOGLETRANSLATE(A1404,""en"",""pt-br"")"),"irrisório")</f>
        <v>irrisório</v>
      </c>
      <c r="D1404" s="1" t="str">
        <f>IFERROR(__xludf.DUMMYFUNCTION("GOOGLETRANSLATE(B1404,""en"",""pt-br"")"),"negativo")</f>
        <v>negativo</v>
      </c>
    </row>
    <row r="1405" ht="15.75" customHeight="1">
      <c r="A1405" s="2" t="s">
        <v>1407</v>
      </c>
      <c r="B1405" s="2" t="s">
        <v>3</v>
      </c>
      <c r="C1405" s="1" t="str">
        <f>IFERROR(__xludf.DUMMYFUNCTION("GOOGLETRANSLATE(A1405,""en"",""pt-br"")"),"zombeteiramente")</f>
        <v>zombeteiramente</v>
      </c>
      <c r="D1405" s="1" t="str">
        <f>IFERROR(__xludf.DUMMYFUNCTION("GOOGLETRANSLATE(B1405,""en"",""pt-br"")"),"negativo")</f>
        <v>negativo</v>
      </c>
    </row>
    <row r="1406" ht="15.75" customHeight="1">
      <c r="A1406" s="2" t="s">
        <v>1408</v>
      </c>
      <c r="B1406" s="2" t="s">
        <v>3</v>
      </c>
      <c r="C1406" s="1" t="str">
        <f>IFERROR(__xludf.DUMMYFUNCTION("GOOGLETRANSLATE(A1406,""en"",""pt-br"")"),"derisiveness")</f>
        <v>derisiveness</v>
      </c>
      <c r="D1406" s="1" t="str">
        <f>IFERROR(__xludf.DUMMYFUNCTION("GOOGLETRANSLATE(B1406,""en"",""pt-br"")"),"negativo")</f>
        <v>negativo</v>
      </c>
    </row>
    <row r="1407" ht="15.75" customHeight="1">
      <c r="A1407" s="2" t="s">
        <v>1409</v>
      </c>
      <c r="B1407" s="2" t="s">
        <v>3</v>
      </c>
      <c r="C1407" s="1" t="str">
        <f>IFERROR(__xludf.DUMMYFUNCTION("GOOGLETRANSLATE(A1407,""en"",""pt-br"")"),"depreciativo")</f>
        <v>depreciativo</v>
      </c>
      <c r="D1407" s="1" t="str">
        <f>IFERROR(__xludf.DUMMYFUNCTION("GOOGLETRANSLATE(B1407,""en"",""pt-br"")"),"negativo")</f>
        <v>negativo</v>
      </c>
    </row>
    <row r="1408" ht="15.75" customHeight="1">
      <c r="A1408" s="2" t="s">
        <v>1410</v>
      </c>
      <c r="B1408" s="2" t="s">
        <v>3</v>
      </c>
      <c r="C1408" s="1" t="str">
        <f>IFERROR(__xludf.DUMMYFUNCTION("GOOGLETRANSLATE(A1408,""en"",""pt-br"")"),"profanar")</f>
        <v>profanar</v>
      </c>
      <c r="D1408" s="1" t="str">
        <f>IFERROR(__xludf.DUMMYFUNCTION("GOOGLETRANSLATE(B1408,""en"",""pt-br"")"),"negativo")</f>
        <v>negativo</v>
      </c>
    </row>
    <row r="1409" ht="15.75" customHeight="1">
      <c r="A1409" s="2" t="s">
        <v>1411</v>
      </c>
      <c r="B1409" s="2" t="s">
        <v>3</v>
      </c>
      <c r="C1409" s="1" t="str">
        <f>IFERROR(__xludf.DUMMYFUNCTION("GOOGLETRANSLATE(A1409,""en"",""pt-br"")"),"deserto")</f>
        <v>deserto</v>
      </c>
      <c r="D1409" s="1" t="str">
        <f>IFERROR(__xludf.DUMMYFUNCTION("GOOGLETRANSLATE(B1409,""en"",""pt-br"")"),"negativo")</f>
        <v>negativo</v>
      </c>
    </row>
    <row r="1410" ht="15.75" customHeight="1">
      <c r="A1410" s="2" t="s">
        <v>1412</v>
      </c>
      <c r="B1410" s="2" t="s">
        <v>3</v>
      </c>
      <c r="C1410" s="1" t="str">
        <f>IFERROR(__xludf.DUMMYFUNCTION("GOOGLETRANSLATE(A1410,""en"",""pt-br"")"),"deserção")</f>
        <v>deserção</v>
      </c>
      <c r="D1410" s="1" t="str">
        <f>IFERROR(__xludf.DUMMYFUNCTION("GOOGLETRANSLATE(B1410,""en"",""pt-br"")"),"negativo")</f>
        <v>negativo</v>
      </c>
    </row>
    <row r="1411" ht="15.75" customHeight="1">
      <c r="A1411" s="2" t="s">
        <v>1413</v>
      </c>
      <c r="B1411" s="2" t="s">
        <v>14</v>
      </c>
      <c r="C1411" s="1" t="str">
        <f>IFERROR(__xludf.DUMMYFUNCTION("GOOGLETRANSLATE(A1411,""en"",""pt-br"")"),"merecidamente")</f>
        <v>merecidamente</v>
      </c>
      <c r="D1411" s="1" t="str">
        <f>IFERROR(__xludf.DUMMYFUNCTION("GOOGLETRANSLATE(B1411,""en"",""pt-br"")"),"positivo")</f>
        <v>positivo</v>
      </c>
    </row>
    <row r="1412" ht="15.75" customHeight="1">
      <c r="A1412" s="2" t="s">
        <v>1414</v>
      </c>
      <c r="B1412" s="2" t="s">
        <v>14</v>
      </c>
      <c r="C1412" s="1" t="str">
        <f>IFERROR(__xludf.DUMMYFUNCTION("GOOGLETRANSLATE(A1412,""en"",""pt-br"")"),"merecimento")</f>
        <v>merecimento</v>
      </c>
      <c r="D1412" s="1" t="str">
        <f>IFERROR(__xludf.DUMMYFUNCTION("GOOGLETRANSLATE(B1412,""en"",""pt-br"")"),"positivo")</f>
        <v>positivo</v>
      </c>
    </row>
    <row r="1413" ht="15.75" customHeight="1">
      <c r="A1413" s="2" t="s">
        <v>1415</v>
      </c>
      <c r="B1413" s="2" t="s">
        <v>3</v>
      </c>
      <c r="C1413" s="1" t="str">
        <f>IFERROR(__xludf.DUMMYFUNCTION("GOOGLETRANSLATE(A1413,""en"",""pt-br"")"),"dessecar")</f>
        <v>dessecar</v>
      </c>
      <c r="D1413" s="1" t="str">
        <f>IFERROR(__xludf.DUMMYFUNCTION("GOOGLETRANSLATE(B1413,""en"",""pt-br"")"),"negativo")</f>
        <v>negativo</v>
      </c>
    </row>
    <row r="1414" ht="15.75" customHeight="1">
      <c r="A1414" s="2" t="s">
        <v>1416</v>
      </c>
      <c r="B1414" s="2" t="s">
        <v>3</v>
      </c>
      <c r="C1414" s="1" t="str">
        <f>IFERROR(__xludf.DUMMYFUNCTION("GOOGLETRANSLATE(A1414,""en"",""pt-br"")"),"dessecada")</f>
        <v>dessecada</v>
      </c>
      <c r="D1414" s="1" t="str">
        <f>IFERROR(__xludf.DUMMYFUNCTION("GOOGLETRANSLATE(B1414,""en"",""pt-br"")"),"negativo")</f>
        <v>negativo</v>
      </c>
    </row>
    <row r="1415" ht="15.75" customHeight="1">
      <c r="A1415" s="2" t="s">
        <v>1417</v>
      </c>
      <c r="B1415" s="2" t="s">
        <v>14</v>
      </c>
      <c r="C1415" s="1" t="str">
        <f>IFERROR(__xludf.DUMMYFUNCTION("GOOGLETRANSLATE(A1415,""en"",""pt-br"")"),"desejável")</f>
        <v>desejável</v>
      </c>
      <c r="D1415" s="1" t="str">
        <f>IFERROR(__xludf.DUMMYFUNCTION("GOOGLETRANSLATE(B1415,""en"",""pt-br"")"),"positivo")</f>
        <v>positivo</v>
      </c>
    </row>
    <row r="1416" ht="15.75" customHeight="1">
      <c r="A1416" s="2" t="s">
        <v>1418</v>
      </c>
      <c r="B1416" s="2" t="s">
        <v>14</v>
      </c>
      <c r="C1416" s="1" t="str">
        <f>IFERROR(__xludf.DUMMYFUNCTION("GOOGLETRANSLATE(A1416,""en"",""pt-br"")"),"desejante")</f>
        <v>desejante</v>
      </c>
      <c r="D1416" s="1" t="str">
        <f>IFERROR(__xludf.DUMMYFUNCTION("GOOGLETRANSLATE(B1416,""en"",""pt-br"")"),"positivo")</f>
        <v>positivo</v>
      </c>
    </row>
    <row r="1417" ht="15.75" customHeight="1">
      <c r="A1417" s="2" t="s">
        <v>1419</v>
      </c>
      <c r="B1417" s="2" t="s">
        <v>14</v>
      </c>
      <c r="C1417" s="1" t="str">
        <f>IFERROR(__xludf.DUMMYFUNCTION("GOOGLETRANSLATE(A1417,""en"",""pt-br"")"),"desejoso")</f>
        <v>desejoso</v>
      </c>
      <c r="D1417" s="1" t="str">
        <f>IFERROR(__xludf.DUMMYFUNCTION("GOOGLETRANSLATE(B1417,""en"",""pt-br"")"),"positivo")</f>
        <v>positivo</v>
      </c>
    </row>
    <row r="1418" ht="15.75" customHeight="1">
      <c r="A1418" s="2" t="s">
        <v>1420</v>
      </c>
      <c r="B1418" s="2" t="s">
        <v>3</v>
      </c>
      <c r="C1418" s="1" t="str">
        <f>IFERROR(__xludf.DUMMYFUNCTION("GOOGLETRANSLATE(A1418,""en"",""pt-br"")"),"desititute")</f>
        <v>desititute</v>
      </c>
      <c r="D1418" s="1" t="str">
        <f>IFERROR(__xludf.DUMMYFUNCTION("GOOGLETRANSLATE(B1418,""en"",""pt-br"")"),"negativo")</f>
        <v>negativo</v>
      </c>
    </row>
    <row r="1419" ht="15.75" customHeight="1">
      <c r="A1419" s="2" t="s">
        <v>1421</v>
      </c>
      <c r="B1419" s="2" t="s">
        <v>3</v>
      </c>
      <c r="C1419" s="1" t="str">
        <f>IFERROR(__xludf.DUMMYFUNCTION("GOOGLETRANSLATE(A1419,""en"",""pt-br"")"),"desolado")</f>
        <v>desolado</v>
      </c>
      <c r="D1419" s="1" t="str">
        <f>IFERROR(__xludf.DUMMYFUNCTION("GOOGLETRANSLATE(B1419,""en"",""pt-br"")"),"negativo")</f>
        <v>negativo</v>
      </c>
    </row>
    <row r="1420" ht="15.75" customHeight="1">
      <c r="A1420" s="2" t="s">
        <v>1422</v>
      </c>
      <c r="B1420" s="2" t="s">
        <v>3</v>
      </c>
      <c r="C1420" s="1" t="str">
        <f>IFERROR(__xludf.DUMMYFUNCTION("GOOGLETRANSLATE(A1420,""en"",""pt-br"")"),"desoladamente")</f>
        <v>desoladamente</v>
      </c>
      <c r="D1420" s="1" t="str">
        <f>IFERROR(__xludf.DUMMYFUNCTION("GOOGLETRANSLATE(B1420,""en"",""pt-br"")"),"negativo")</f>
        <v>negativo</v>
      </c>
    </row>
    <row r="1421" ht="15.75" customHeight="1">
      <c r="A1421" s="2" t="s">
        <v>1423</v>
      </c>
      <c r="B1421" s="2" t="s">
        <v>3</v>
      </c>
      <c r="C1421" s="1" t="str">
        <f>IFERROR(__xludf.DUMMYFUNCTION("GOOGLETRANSLATE(A1421,""en"",""pt-br"")"),"desolação")</f>
        <v>desolação</v>
      </c>
      <c r="D1421" s="1" t="str">
        <f>IFERROR(__xludf.DUMMYFUNCTION("GOOGLETRANSLATE(B1421,""en"",""pt-br"")"),"negativo")</f>
        <v>negativo</v>
      </c>
    </row>
    <row r="1422" ht="15.75" customHeight="1">
      <c r="A1422" s="2" t="s">
        <v>1424</v>
      </c>
      <c r="B1422" s="2" t="s">
        <v>3</v>
      </c>
      <c r="C1422" s="1" t="str">
        <f>IFERROR(__xludf.DUMMYFUNCTION("GOOGLETRANSLATE(A1422,""en"",""pt-br"")"),"desespero")</f>
        <v>desespero</v>
      </c>
      <c r="D1422" s="1" t="str">
        <f>IFERROR(__xludf.DUMMYFUNCTION("GOOGLETRANSLATE(B1422,""en"",""pt-br"")"),"negativo")</f>
        <v>negativo</v>
      </c>
    </row>
    <row r="1423" ht="15.75" customHeight="1">
      <c r="A1423" s="2" t="s">
        <v>1425</v>
      </c>
      <c r="B1423" s="2" t="s">
        <v>3</v>
      </c>
      <c r="C1423" s="1" t="str">
        <f>IFERROR(__xludf.DUMMYFUNCTION("GOOGLETRANSLATE(A1423,""en"",""pt-br"")"),"desesperada")</f>
        <v>desesperada</v>
      </c>
      <c r="D1423" s="1" t="str">
        <f>IFERROR(__xludf.DUMMYFUNCTION("GOOGLETRANSLATE(B1423,""en"",""pt-br"")"),"negativo")</f>
        <v>negativo</v>
      </c>
    </row>
    <row r="1424" ht="15.75" customHeight="1">
      <c r="A1424" s="2" t="s">
        <v>1426</v>
      </c>
      <c r="B1424" s="2" t="s">
        <v>3</v>
      </c>
      <c r="C1424" s="1" t="str">
        <f>IFERROR(__xludf.DUMMYFUNCTION("GOOGLETRANSLATE(A1424,""en"",""pt-br"")"),"desesperadamente")</f>
        <v>desesperadamente</v>
      </c>
      <c r="D1424" s="1" t="str">
        <f>IFERROR(__xludf.DUMMYFUNCTION("GOOGLETRANSLATE(B1424,""en"",""pt-br"")"),"negativo")</f>
        <v>negativo</v>
      </c>
    </row>
    <row r="1425" ht="15.75" customHeight="1">
      <c r="A1425" s="2" t="s">
        <v>1427</v>
      </c>
      <c r="B1425" s="2" t="s">
        <v>3</v>
      </c>
      <c r="C1425" s="1" t="str">
        <f>IFERROR(__xludf.DUMMYFUNCTION("GOOGLETRANSLATE(A1425,""en"",""pt-br"")"),"desesperado")</f>
        <v>desesperado</v>
      </c>
      <c r="D1425" s="1" t="str">
        <f>IFERROR(__xludf.DUMMYFUNCTION("GOOGLETRANSLATE(B1425,""en"",""pt-br"")"),"negativo")</f>
        <v>negativo</v>
      </c>
    </row>
    <row r="1426" ht="15.75" customHeight="1">
      <c r="A1426" s="2" t="s">
        <v>1428</v>
      </c>
      <c r="B1426" s="2" t="s">
        <v>3</v>
      </c>
      <c r="C1426" s="1" t="str">
        <f>IFERROR(__xludf.DUMMYFUNCTION("GOOGLETRANSLATE(A1426,""en"",""pt-br"")"),"desesperadamente")</f>
        <v>desesperadamente</v>
      </c>
      <c r="D1426" s="1" t="str">
        <f>IFERROR(__xludf.DUMMYFUNCTION("GOOGLETRANSLATE(B1426,""en"",""pt-br"")"),"negativo")</f>
        <v>negativo</v>
      </c>
    </row>
    <row r="1427" ht="15.75" customHeight="1">
      <c r="A1427" s="2" t="s">
        <v>1429</v>
      </c>
      <c r="B1427" s="2" t="s">
        <v>3</v>
      </c>
      <c r="C1427" s="1" t="str">
        <f>IFERROR(__xludf.DUMMYFUNCTION("GOOGLETRANSLATE(A1427,""en"",""pt-br"")"),"desespero")</f>
        <v>desespero</v>
      </c>
      <c r="D1427" s="1" t="str">
        <f>IFERROR(__xludf.DUMMYFUNCTION("GOOGLETRANSLATE(B1427,""en"",""pt-br"")"),"negativo")</f>
        <v>negativo</v>
      </c>
    </row>
    <row r="1428" ht="15.75" customHeight="1">
      <c r="A1428" s="2" t="s">
        <v>1430</v>
      </c>
      <c r="B1428" s="2" t="s">
        <v>3</v>
      </c>
      <c r="C1428" s="1" t="str">
        <f>IFERROR(__xludf.DUMMYFUNCTION("GOOGLETRANSLATE(A1428,""en"",""pt-br"")"),"desprezível")</f>
        <v>desprezível</v>
      </c>
      <c r="D1428" s="1" t="str">
        <f>IFERROR(__xludf.DUMMYFUNCTION("GOOGLETRANSLATE(B1428,""en"",""pt-br"")"),"negativo")</f>
        <v>negativo</v>
      </c>
    </row>
    <row r="1429" ht="15.75" customHeight="1">
      <c r="A1429" s="2" t="s">
        <v>1431</v>
      </c>
      <c r="B1429" s="2" t="s">
        <v>3</v>
      </c>
      <c r="C1429" s="1" t="str">
        <f>IFERROR(__xludf.DUMMYFUNCTION("GOOGLETRANSLATE(A1429,""en"",""pt-br"")"),"vilmente")</f>
        <v>vilmente</v>
      </c>
      <c r="D1429" s="1" t="str">
        <f>IFERROR(__xludf.DUMMYFUNCTION("GOOGLETRANSLATE(B1429,""en"",""pt-br"")"),"negativo")</f>
        <v>negativo</v>
      </c>
    </row>
    <row r="1430" ht="15.75" customHeight="1">
      <c r="A1430" s="2" t="s">
        <v>1432</v>
      </c>
      <c r="B1430" s="2" t="s">
        <v>3</v>
      </c>
      <c r="C1430" s="1" t="str">
        <f>IFERROR(__xludf.DUMMYFUNCTION("GOOGLETRANSLATE(A1430,""en"",""pt-br"")"),"desprezam")</f>
        <v>desprezam</v>
      </c>
      <c r="D1430" s="1" t="str">
        <f>IFERROR(__xludf.DUMMYFUNCTION("GOOGLETRANSLATE(B1430,""en"",""pt-br"")"),"negativo")</f>
        <v>negativo</v>
      </c>
    </row>
    <row r="1431" ht="15.75" customHeight="1">
      <c r="A1431" s="2" t="s">
        <v>1433</v>
      </c>
      <c r="B1431" s="2" t="s">
        <v>3</v>
      </c>
      <c r="C1431" s="1" t="str">
        <f>IFERROR(__xludf.DUMMYFUNCTION("GOOGLETRANSLATE(A1431,""en"",""pt-br"")"),"desprezado")</f>
        <v>desprezado</v>
      </c>
      <c r="D1431" s="1" t="str">
        <f>IFERROR(__xludf.DUMMYFUNCTION("GOOGLETRANSLATE(B1431,""en"",""pt-br"")"),"negativo")</f>
        <v>negativo</v>
      </c>
    </row>
    <row r="1432" ht="15.75" customHeight="1">
      <c r="A1432" s="2" t="s">
        <v>1434</v>
      </c>
      <c r="B1432" s="2" t="s">
        <v>3</v>
      </c>
      <c r="C1432" s="1" t="str">
        <f>IFERROR(__xludf.DUMMYFUNCTION("GOOGLETRANSLATE(A1432,""en"",""pt-br"")"),"despojar")</f>
        <v>despojar</v>
      </c>
      <c r="D1432" s="1" t="str">
        <f>IFERROR(__xludf.DUMMYFUNCTION("GOOGLETRANSLATE(B1432,""en"",""pt-br"")"),"negativo")</f>
        <v>negativo</v>
      </c>
    </row>
    <row r="1433" ht="15.75" customHeight="1">
      <c r="A1433" s="2" t="s">
        <v>1435</v>
      </c>
      <c r="B1433" s="2" t="s">
        <v>3</v>
      </c>
      <c r="C1433" s="1" t="str">
        <f>IFERROR(__xludf.DUMMYFUNCTION("GOOGLETRANSLATE(A1433,""en"",""pt-br"")"),"despoiler")</f>
        <v>despoiler</v>
      </c>
      <c r="D1433" s="1" t="str">
        <f>IFERROR(__xludf.DUMMYFUNCTION("GOOGLETRANSLATE(B1433,""en"",""pt-br"")"),"negativo")</f>
        <v>negativo</v>
      </c>
    </row>
    <row r="1434" ht="15.75" customHeight="1">
      <c r="A1434" s="2" t="s">
        <v>1436</v>
      </c>
      <c r="B1434" s="2" t="s">
        <v>3</v>
      </c>
      <c r="C1434" s="1" t="str">
        <f>IFERROR(__xludf.DUMMYFUNCTION("GOOGLETRANSLATE(A1434,""en"",""pt-br"")"),"despondence")</f>
        <v>despondence</v>
      </c>
      <c r="D1434" s="1" t="str">
        <f>IFERROR(__xludf.DUMMYFUNCTION("GOOGLETRANSLATE(B1434,""en"",""pt-br"")"),"negativo")</f>
        <v>negativo</v>
      </c>
    </row>
    <row r="1435" ht="15.75" customHeight="1">
      <c r="A1435" s="2" t="s">
        <v>1437</v>
      </c>
      <c r="B1435" s="2" t="s">
        <v>3</v>
      </c>
      <c r="C1435" s="1" t="str">
        <f>IFERROR(__xludf.DUMMYFUNCTION("GOOGLETRANSLATE(A1435,""en"",""pt-br"")"),"desânimo")</f>
        <v>desânimo</v>
      </c>
      <c r="D1435" s="1" t="str">
        <f>IFERROR(__xludf.DUMMYFUNCTION("GOOGLETRANSLATE(B1435,""en"",""pt-br"")"),"negativo")</f>
        <v>negativo</v>
      </c>
    </row>
    <row r="1436" ht="15.75" customHeight="1">
      <c r="A1436" s="2" t="s">
        <v>1438</v>
      </c>
      <c r="B1436" s="2" t="s">
        <v>3</v>
      </c>
      <c r="C1436" s="1" t="str">
        <f>IFERROR(__xludf.DUMMYFUNCTION("GOOGLETRANSLATE(A1436,""en"",""pt-br"")"),"desanimado")</f>
        <v>desanimado</v>
      </c>
      <c r="D1436" s="1" t="str">
        <f>IFERROR(__xludf.DUMMYFUNCTION("GOOGLETRANSLATE(B1436,""en"",""pt-br"")"),"negativo")</f>
        <v>negativo</v>
      </c>
    </row>
    <row r="1437" ht="15.75" customHeight="1">
      <c r="A1437" s="2" t="s">
        <v>1439</v>
      </c>
      <c r="B1437" s="2" t="s">
        <v>3</v>
      </c>
      <c r="C1437" s="1" t="str">
        <f>IFERROR(__xludf.DUMMYFUNCTION("GOOGLETRANSLATE(A1437,""en"",""pt-br"")"),"despondently")</f>
        <v>despondently</v>
      </c>
      <c r="D1437" s="1" t="str">
        <f>IFERROR(__xludf.DUMMYFUNCTION("GOOGLETRANSLATE(B1437,""en"",""pt-br"")"),"negativo")</f>
        <v>negativo</v>
      </c>
    </row>
    <row r="1438" ht="15.75" customHeight="1">
      <c r="A1438" s="2" t="s">
        <v>1440</v>
      </c>
      <c r="B1438" s="2" t="s">
        <v>3</v>
      </c>
      <c r="C1438" s="1" t="str">
        <f>IFERROR(__xludf.DUMMYFUNCTION("GOOGLETRANSLATE(A1438,""en"",""pt-br"")"),"déspota")</f>
        <v>déspota</v>
      </c>
      <c r="D1438" s="1" t="str">
        <f>IFERROR(__xludf.DUMMYFUNCTION("GOOGLETRANSLATE(B1438,""en"",""pt-br"")"),"negativo")</f>
        <v>negativo</v>
      </c>
    </row>
    <row r="1439" ht="15.75" customHeight="1">
      <c r="A1439" s="2" t="s">
        <v>1441</v>
      </c>
      <c r="B1439" s="2" t="s">
        <v>3</v>
      </c>
      <c r="C1439" s="1" t="str">
        <f>IFERROR(__xludf.DUMMYFUNCTION("GOOGLETRANSLATE(A1439,""en"",""pt-br"")"),"despótico")</f>
        <v>despótico</v>
      </c>
      <c r="D1439" s="1" t="str">
        <f>IFERROR(__xludf.DUMMYFUNCTION("GOOGLETRANSLATE(B1439,""en"",""pt-br"")"),"negativo")</f>
        <v>negativo</v>
      </c>
    </row>
    <row r="1440" ht="15.75" customHeight="1">
      <c r="A1440" s="2" t="s">
        <v>1442</v>
      </c>
      <c r="B1440" s="2" t="s">
        <v>3</v>
      </c>
      <c r="C1440" s="1" t="str">
        <f>IFERROR(__xludf.DUMMYFUNCTION("GOOGLETRANSLATE(A1440,""en"",""pt-br"")"),"despotismo")</f>
        <v>despotismo</v>
      </c>
      <c r="D1440" s="1" t="str">
        <f>IFERROR(__xludf.DUMMYFUNCTION("GOOGLETRANSLATE(B1440,""en"",""pt-br"")"),"negativo")</f>
        <v>negativo</v>
      </c>
    </row>
    <row r="1441" ht="15.75" customHeight="1">
      <c r="A1441" s="2" t="s">
        <v>1443</v>
      </c>
      <c r="B1441" s="2" t="s">
        <v>3</v>
      </c>
      <c r="C1441" s="1" t="str">
        <f>IFERROR(__xludf.DUMMYFUNCTION("GOOGLETRANSLATE(A1441,""en"",""pt-br"")"),"desestabilização")</f>
        <v>desestabilização</v>
      </c>
      <c r="D1441" s="1" t="str">
        <f>IFERROR(__xludf.DUMMYFUNCTION("GOOGLETRANSLATE(B1441,""en"",""pt-br"")"),"negativo")</f>
        <v>negativo</v>
      </c>
    </row>
    <row r="1442" ht="15.75" customHeight="1">
      <c r="A1442" s="2" t="s">
        <v>1444</v>
      </c>
      <c r="B1442" s="2" t="s">
        <v>3</v>
      </c>
      <c r="C1442" s="1" t="str">
        <f>IFERROR(__xludf.DUMMYFUNCTION("GOOGLETRANSLATE(A1442,""en"",""pt-br"")"),"destains")</f>
        <v>destains</v>
      </c>
      <c r="D1442" s="1" t="str">
        <f>IFERROR(__xludf.DUMMYFUNCTION("GOOGLETRANSLATE(B1442,""en"",""pt-br"")"),"negativo")</f>
        <v>negativo</v>
      </c>
    </row>
    <row r="1443" ht="15.75" customHeight="1">
      <c r="A1443" s="2" t="s">
        <v>1445</v>
      </c>
      <c r="B1443" s="2" t="s">
        <v>14</v>
      </c>
      <c r="C1443" s="1" t="str">
        <f>IFERROR(__xludf.DUMMYFUNCTION("GOOGLETRANSLATE(A1443,""en"",""pt-br"")"),"destino")</f>
        <v>destino</v>
      </c>
      <c r="D1443" s="1" t="str">
        <f>IFERROR(__xludf.DUMMYFUNCTION("GOOGLETRANSLATE(B1443,""en"",""pt-br"")"),"positivo")</f>
        <v>positivo</v>
      </c>
    </row>
    <row r="1444" ht="15.75" customHeight="1">
      <c r="A1444" s="2" t="s">
        <v>1446</v>
      </c>
      <c r="B1444" s="2" t="s">
        <v>3</v>
      </c>
      <c r="C1444" s="1" t="str">
        <f>IFERROR(__xludf.DUMMYFUNCTION("GOOGLETRANSLATE(A1444,""en"",""pt-br"")"),"destituído")</f>
        <v>destituído</v>
      </c>
      <c r="D1444" s="1" t="str">
        <f>IFERROR(__xludf.DUMMYFUNCTION("GOOGLETRANSLATE(B1444,""en"",""pt-br"")"),"negativo")</f>
        <v>negativo</v>
      </c>
    </row>
    <row r="1445" ht="15.75" customHeight="1">
      <c r="A1445" s="2" t="s">
        <v>1447</v>
      </c>
      <c r="B1445" s="2" t="s">
        <v>3</v>
      </c>
      <c r="C1445" s="1" t="str">
        <f>IFERROR(__xludf.DUMMYFUNCTION("GOOGLETRANSLATE(A1445,""en"",""pt-br"")"),"indigência")</f>
        <v>indigência</v>
      </c>
      <c r="D1445" s="1" t="str">
        <f>IFERROR(__xludf.DUMMYFUNCTION("GOOGLETRANSLATE(B1445,""en"",""pt-br"")"),"negativo")</f>
        <v>negativo</v>
      </c>
    </row>
    <row r="1446" ht="15.75" customHeight="1">
      <c r="A1446" s="2" t="s">
        <v>1448</v>
      </c>
      <c r="B1446" s="2" t="s">
        <v>3</v>
      </c>
      <c r="C1446" s="1" t="str">
        <f>IFERROR(__xludf.DUMMYFUNCTION("GOOGLETRANSLATE(A1446,""en"",""pt-br"")"),"destruir")</f>
        <v>destruir</v>
      </c>
      <c r="D1446" s="1" t="str">
        <f>IFERROR(__xludf.DUMMYFUNCTION("GOOGLETRANSLATE(B1446,""en"",""pt-br"")"),"negativo")</f>
        <v>negativo</v>
      </c>
    </row>
    <row r="1447" ht="15.75" customHeight="1">
      <c r="A1447" s="2" t="s">
        <v>1449</v>
      </c>
      <c r="B1447" s="2" t="s">
        <v>3</v>
      </c>
      <c r="C1447" s="1" t="str">
        <f>IFERROR(__xludf.DUMMYFUNCTION("GOOGLETRANSLATE(A1447,""en"",""pt-br"")"),"destruidor")</f>
        <v>destruidor</v>
      </c>
      <c r="D1447" s="1" t="str">
        <f>IFERROR(__xludf.DUMMYFUNCTION("GOOGLETRANSLATE(B1447,""en"",""pt-br"")"),"negativo")</f>
        <v>negativo</v>
      </c>
    </row>
    <row r="1448" ht="15.75" customHeight="1">
      <c r="A1448" s="2" t="s">
        <v>1450</v>
      </c>
      <c r="B1448" s="2" t="s">
        <v>3</v>
      </c>
      <c r="C1448" s="1" t="str">
        <f>IFERROR(__xludf.DUMMYFUNCTION("GOOGLETRANSLATE(A1448,""en"",""pt-br"")"),"destruição")</f>
        <v>destruição</v>
      </c>
      <c r="D1448" s="1" t="str">
        <f>IFERROR(__xludf.DUMMYFUNCTION("GOOGLETRANSLATE(B1448,""en"",""pt-br"")"),"negativo")</f>
        <v>negativo</v>
      </c>
    </row>
    <row r="1449" ht="15.75" customHeight="1">
      <c r="A1449" s="2" t="s">
        <v>1451</v>
      </c>
      <c r="B1449" s="2" t="s">
        <v>3</v>
      </c>
      <c r="C1449" s="1" t="str">
        <f>IFERROR(__xludf.DUMMYFUNCTION("GOOGLETRANSLATE(A1449,""en"",""pt-br"")"),"destrutivo")</f>
        <v>destrutivo</v>
      </c>
      <c r="D1449" s="1" t="str">
        <f>IFERROR(__xludf.DUMMYFUNCTION("GOOGLETRANSLATE(B1449,""en"",""pt-br"")"),"negativo")</f>
        <v>negativo</v>
      </c>
    </row>
    <row r="1450" ht="15.75" customHeight="1">
      <c r="A1450" s="2" t="s">
        <v>1452</v>
      </c>
      <c r="B1450" s="2" t="s">
        <v>3</v>
      </c>
      <c r="C1450" s="1" t="str">
        <f>IFERROR(__xludf.DUMMYFUNCTION("GOOGLETRANSLATE(A1450,""en"",""pt-br"")"),"desconexo")</f>
        <v>desconexo</v>
      </c>
      <c r="D1450" s="1" t="str">
        <f>IFERROR(__xludf.DUMMYFUNCTION("GOOGLETRANSLATE(B1450,""en"",""pt-br"")"),"negativo")</f>
        <v>negativo</v>
      </c>
    </row>
    <row r="1451" ht="15.75" customHeight="1">
      <c r="A1451" s="2" t="s">
        <v>1453</v>
      </c>
      <c r="B1451" s="2" t="s">
        <v>14</v>
      </c>
      <c r="C1451" s="1" t="str">
        <f>IFERROR(__xludf.DUMMYFUNCTION("GOOGLETRANSLATE(A1451,""en"",""pt-br"")"),"destacável")</f>
        <v>destacável</v>
      </c>
      <c r="D1451" s="1" t="str">
        <f>IFERROR(__xludf.DUMMYFUNCTION("GOOGLETRANSLATE(B1451,""en"",""pt-br"")"),"positivo")</f>
        <v>positivo</v>
      </c>
    </row>
    <row r="1452" ht="15.75" customHeight="1">
      <c r="A1452" s="2" t="s">
        <v>1454</v>
      </c>
      <c r="B1452" s="2" t="s">
        <v>3</v>
      </c>
      <c r="C1452" s="1" t="str">
        <f>IFERROR(__xludf.DUMMYFUNCTION("GOOGLETRANSLATE(A1452,""en"",""pt-br"")"),"dissuadir")</f>
        <v>dissuadir</v>
      </c>
      <c r="D1452" s="1" t="str">
        <f>IFERROR(__xludf.DUMMYFUNCTION("GOOGLETRANSLATE(B1452,""en"",""pt-br"")"),"negativo")</f>
        <v>negativo</v>
      </c>
    </row>
    <row r="1453" ht="15.75" customHeight="1">
      <c r="A1453" s="2" t="s">
        <v>1455</v>
      </c>
      <c r="B1453" s="2" t="s">
        <v>3</v>
      </c>
      <c r="C1453" s="1" t="str">
        <f>IFERROR(__xludf.DUMMYFUNCTION("GOOGLETRANSLATE(A1453,""en"",""pt-br"")"),"deteriorar")</f>
        <v>deteriorar</v>
      </c>
      <c r="D1453" s="1" t="str">
        <f>IFERROR(__xludf.DUMMYFUNCTION("GOOGLETRANSLATE(B1453,""en"",""pt-br"")"),"negativo")</f>
        <v>negativo</v>
      </c>
    </row>
    <row r="1454" ht="15.75" customHeight="1">
      <c r="A1454" s="2" t="s">
        <v>1456</v>
      </c>
      <c r="B1454" s="2" t="s">
        <v>3</v>
      </c>
      <c r="C1454" s="1" t="str">
        <f>IFERROR(__xludf.DUMMYFUNCTION("GOOGLETRANSLATE(A1454,""en"",""pt-br"")"),"deteriorando")</f>
        <v>deteriorando</v>
      </c>
      <c r="D1454" s="1" t="str">
        <f>IFERROR(__xludf.DUMMYFUNCTION("GOOGLETRANSLATE(B1454,""en"",""pt-br"")"),"negativo")</f>
        <v>negativo</v>
      </c>
    </row>
    <row r="1455" ht="15.75" customHeight="1">
      <c r="A1455" s="2" t="s">
        <v>1457</v>
      </c>
      <c r="B1455" s="2" t="s">
        <v>3</v>
      </c>
      <c r="C1455" s="1" t="str">
        <f>IFERROR(__xludf.DUMMYFUNCTION("GOOGLETRANSLATE(A1455,""en"",""pt-br"")"),"deterioração")</f>
        <v>deterioração</v>
      </c>
      <c r="D1455" s="1" t="str">
        <f>IFERROR(__xludf.DUMMYFUNCTION("GOOGLETRANSLATE(B1455,""en"",""pt-br"")"),"negativo")</f>
        <v>negativo</v>
      </c>
    </row>
    <row r="1456" ht="15.75" customHeight="1">
      <c r="A1456" s="2" t="s">
        <v>1458</v>
      </c>
      <c r="B1456" s="2" t="s">
        <v>3</v>
      </c>
      <c r="C1456" s="1" t="str">
        <f>IFERROR(__xludf.DUMMYFUNCTION("GOOGLETRANSLATE(A1456,""en"",""pt-br"")"),"impedimento")</f>
        <v>impedimento</v>
      </c>
      <c r="D1456" s="1" t="str">
        <f>IFERROR(__xludf.DUMMYFUNCTION("GOOGLETRANSLATE(B1456,""en"",""pt-br"")"),"negativo")</f>
        <v>negativo</v>
      </c>
    </row>
    <row r="1457" ht="15.75" customHeight="1">
      <c r="A1457" s="2" t="s">
        <v>1459</v>
      </c>
      <c r="B1457" s="2" t="s">
        <v>3</v>
      </c>
      <c r="C1457" s="1" t="str">
        <f>IFERROR(__xludf.DUMMYFUNCTION("GOOGLETRANSLATE(A1457,""en"",""pt-br"")"),"detestam")</f>
        <v>detestam</v>
      </c>
      <c r="D1457" s="1" t="str">
        <f>IFERROR(__xludf.DUMMYFUNCTION("GOOGLETRANSLATE(B1457,""en"",""pt-br"")"),"negativo")</f>
        <v>negativo</v>
      </c>
    </row>
    <row r="1458" ht="15.75" customHeight="1">
      <c r="A1458" s="2" t="s">
        <v>1460</v>
      </c>
      <c r="B1458" s="2" t="s">
        <v>3</v>
      </c>
      <c r="C1458" s="1" t="str">
        <f>IFERROR(__xludf.DUMMYFUNCTION("GOOGLETRANSLATE(A1458,""en"",""pt-br"")"),"detestável")</f>
        <v>detestável</v>
      </c>
      <c r="D1458" s="1" t="str">
        <f>IFERROR(__xludf.DUMMYFUNCTION("GOOGLETRANSLATE(B1458,""en"",""pt-br"")"),"negativo")</f>
        <v>negativo</v>
      </c>
    </row>
    <row r="1459" ht="15.75" customHeight="1">
      <c r="A1459" s="2" t="s">
        <v>1461</v>
      </c>
      <c r="B1459" s="2" t="s">
        <v>3</v>
      </c>
      <c r="C1459" s="1" t="str">
        <f>IFERROR(__xludf.DUMMYFUNCTION("GOOGLETRANSLATE(A1459,""en"",""pt-br"")"),"detestável")</f>
        <v>detestável</v>
      </c>
      <c r="D1459" s="1" t="str">
        <f>IFERROR(__xludf.DUMMYFUNCTION("GOOGLETRANSLATE(B1459,""en"",""pt-br"")"),"negativo")</f>
        <v>negativo</v>
      </c>
    </row>
    <row r="1460" ht="15.75" customHeight="1">
      <c r="A1460" s="2" t="s">
        <v>1462</v>
      </c>
      <c r="B1460" s="2" t="s">
        <v>3</v>
      </c>
      <c r="C1460" s="1" t="str">
        <f>IFERROR(__xludf.DUMMYFUNCTION("GOOGLETRANSLATE(A1460,""en"",""pt-br"")"),"detestada")</f>
        <v>detestada</v>
      </c>
      <c r="D1460" s="1" t="str">
        <f>IFERROR(__xludf.DUMMYFUNCTION("GOOGLETRANSLATE(B1460,""en"",""pt-br"")"),"negativo")</f>
        <v>negativo</v>
      </c>
    </row>
    <row r="1461" ht="15.75" customHeight="1">
      <c r="A1461" s="2" t="s">
        <v>1463</v>
      </c>
      <c r="B1461" s="2" t="s">
        <v>3</v>
      </c>
      <c r="C1461" s="1" t="str">
        <f>IFERROR(__xludf.DUMMYFUNCTION("GOOGLETRANSLATE(A1461,""en"",""pt-br"")"),"detestando")</f>
        <v>detestando</v>
      </c>
      <c r="D1461" s="1" t="str">
        <f>IFERROR(__xludf.DUMMYFUNCTION("GOOGLETRANSLATE(B1461,""en"",""pt-br"")"),"negativo")</f>
        <v>negativo</v>
      </c>
    </row>
    <row r="1462" ht="15.75" customHeight="1">
      <c r="A1462" s="2" t="s">
        <v>1464</v>
      </c>
      <c r="B1462" s="2" t="s">
        <v>3</v>
      </c>
      <c r="C1462" s="1" t="str">
        <f>IFERROR(__xludf.DUMMYFUNCTION("GOOGLETRANSLATE(A1462,""en"",""pt-br"")"),"detesta")</f>
        <v>detesta</v>
      </c>
      <c r="D1462" s="1" t="str">
        <f>IFERROR(__xludf.DUMMYFUNCTION("GOOGLETRANSLATE(B1462,""en"",""pt-br"")"),"negativo")</f>
        <v>negativo</v>
      </c>
    </row>
    <row r="1463" ht="15.75" customHeight="1">
      <c r="A1463" s="2" t="s">
        <v>1465</v>
      </c>
      <c r="B1463" s="2" t="s">
        <v>3</v>
      </c>
      <c r="C1463" s="1" t="str">
        <f>IFERROR(__xludf.DUMMYFUNCTION("GOOGLETRANSLATE(A1463,""en"",""pt-br"")"),"diminuí")</f>
        <v>diminuí</v>
      </c>
      <c r="D1463" s="1" t="str">
        <f>IFERROR(__xludf.DUMMYFUNCTION("GOOGLETRANSLATE(B1463,""en"",""pt-br"")"),"negativo")</f>
        <v>negativo</v>
      </c>
    </row>
    <row r="1464" ht="15.75" customHeight="1">
      <c r="A1464" s="2" t="s">
        <v>1466</v>
      </c>
      <c r="B1464" s="2" t="s">
        <v>3</v>
      </c>
      <c r="C1464" s="1" t="str">
        <f>IFERROR(__xludf.DUMMYFUNCTION("GOOGLETRANSLATE(A1464,""en"",""pt-br"")"),"prejudicou")</f>
        <v>prejudicou</v>
      </c>
      <c r="D1464" s="1" t="str">
        <f>IFERROR(__xludf.DUMMYFUNCTION("GOOGLETRANSLATE(B1464,""en"",""pt-br"")"),"negativo")</f>
        <v>negativo</v>
      </c>
    </row>
    <row r="1465" ht="15.75" customHeight="1">
      <c r="A1465" s="2" t="s">
        <v>1467</v>
      </c>
      <c r="B1465" s="2" t="s">
        <v>3</v>
      </c>
      <c r="C1465" s="1" t="str">
        <f>IFERROR(__xludf.DUMMYFUNCTION("GOOGLETRANSLATE(A1465,""en"",""pt-br"")"),"diminuir")</f>
        <v>diminuir</v>
      </c>
      <c r="D1465" s="1" t="str">
        <f>IFERROR(__xludf.DUMMYFUNCTION("GOOGLETRANSLATE(B1465,""en"",""pt-br"")"),"negativo")</f>
        <v>negativo</v>
      </c>
    </row>
    <row r="1466" ht="15.75" customHeight="1">
      <c r="A1466" s="2" t="s">
        <v>1468</v>
      </c>
      <c r="B1466" s="2" t="s">
        <v>3</v>
      </c>
      <c r="C1466" s="1" t="str">
        <f>IFERROR(__xludf.DUMMYFUNCTION("GOOGLETRANSLATE(A1466,""en"",""pt-br"")"),"detração")</f>
        <v>detração</v>
      </c>
      <c r="D1466" s="1" t="str">
        <f>IFERROR(__xludf.DUMMYFUNCTION("GOOGLETRANSLATE(B1466,""en"",""pt-br"")"),"negativo")</f>
        <v>negativo</v>
      </c>
    </row>
    <row r="1467" ht="15.75" customHeight="1">
      <c r="A1467" s="2" t="s">
        <v>1469</v>
      </c>
      <c r="B1467" s="2" t="s">
        <v>3</v>
      </c>
      <c r="C1467" s="1" t="str">
        <f>IFERROR(__xludf.DUMMYFUNCTION("GOOGLETRANSLATE(A1467,""en"",""pt-br"")"),"lhes retirar")</f>
        <v>lhes retirar</v>
      </c>
      <c r="D1467" s="1" t="str">
        <f>IFERROR(__xludf.DUMMYFUNCTION("GOOGLETRANSLATE(B1467,""en"",""pt-br"")"),"negativo")</f>
        <v>negativo</v>
      </c>
    </row>
    <row r="1468" ht="15.75" customHeight="1">
      <c r="A1468" s="2" t="s">
        <v>1470</v>
      </c>
      <c r="B1468" s="2" t="s">
        <v>3</v>
      </c>
      <c r="C1468" s="1" t="str">
        <f>IFERROR(__xludf.DUMMYFUNCTION("GOOGLETRANSLATE(A1468,""en"",""pt-br"")"),"detrimento")</f>
        <v>detrimento</v>
      </c>
      <c r="D1468" s="1" t="str">
        <f>IFERROR(__xludf.DUMMYFUNCTION("GOOGLETRANSLATE(B1468,""en"",""pt-br"")"),"negativo")</f>
        <v>negativo</v>
      </c>
    </row>
    <row r="1469" ht="15.75" customHeight="1">
      <c r="A1469" s="2" t="s">
        <v>1471</v>
      </c>
      <c r="B1469" s="2" t="s">
        <v>3</v>
      </c>
      <c r="C1469" s="1" t="str">
        <f>IFERROR(__xludf.DUMMYFUNCTION("GOOGLETRANSLATE(A1469,""en"",""pt-br"")"),"prejudicial")</f>
        <v>prejudicial</v>
      </c>
      <c r="D1469" s="1" t="str">
        <f>IFERROR(__xludf.DUMMYFUNCTION("GOOGLETRANSLATE(B1469,""en"",""pt-br"")"),"negativo")</f>
        <v>negativo</v>
      </c>
    </row>
    <row r="1470" ht="15.75" customHeight="1">
      <c r="A1470" s="2" t="s">
        <v>1472</v>
      </c>
      <c r="B1470" s="2" t="s">
        <v>3</v>
      </c>
      <c r="C1470" s="1" t="str">
        <f>IFERROR(__xludf.DUMMYFUNCTION("GOOGLETRANSLATE(A1470,""en"",""pt-br"")"),"devastar")</f>
        <v>devastar</v>
      </c>
      <c r="D1470" s="1" t="str">
        <f>IFERROR(__xludf.DUMMYFUNCTION("GOOGLETRANSLATE(B1470,""en"",""pt-br"")"),"negativo")</f>
        <v>negativo</v>
      </c>
    </row>
    <row r="1471" ht="15.75" customHeight="1">
      <c r="A1471" s="2" t="s">
        <v>1473</v>
      </c>
      <c r="B1471" s="2" t="s">
        <v>3</v>
      </c>
      <c r="C1471" s="1" t="str">
        <f>IFERROR(__xludf.DUMMYFUNCTION("GOOGLETRANSLATE(A1471,""en"",""pt-br"")"),"devastado")</f>
        <v>devastado</v>
      </c>
      <c r="D1471" s="1" t="str">
        <f>IFERROR(__xludf.DUMMYFUNCTION("GOOGLETRANSLATE(B1471,""en"",""pt-br"")"),"negativo")</f>
        <v>negativo</v>
      </c>
    </row>
    <row r="1472" ht="15.75" customHeight="1">
      <c r="A1472" s="2" t="s">
        <v>1474</v>
      </c>
      <c r="B1472" s="2" t="s">
        <v>3</v>
      </c>
      <c r="C1472" s="1" t="str">
        <f>IFERROR(__xludf.DUMMYFUNCTION("GOOGLETRANSLATE(A1472,""en"",""pt-br"")"),"devasta")</f>
        <v>devasta</v>
      </c>
      <c r="D1472" s="1" t="str">
        <f>IFERROR(__xludf.DUMMYFUNCTION("GOOGLETRANSLATE(B1472,""en"",""pt-br"")"),"negativo")</f>
        <v>negativo</v>
      </c>
    </row>
    <row r="1473" ht="15.75" customHeight="1">
      <c r="A1473" s="2" t="s">
        <v>1475</v>
      </c>
      <c r="B1473" s="2" t="s">
        <v>3</v>
      </c>
      <c r="C1473" s="1" t="str">
        <f>IFERROR(__xludf.DUMMYFUNCTION("GOOGLETRANSLATE(A1473,""en"",""pt-br"")"),"devastador")</f>
        <v>devastador</v>
      </c>
      <c r="D1473" s="1" t="str">
        <f>IFERROR(__xludf.DUMMYFUNCTION("GOOGLETRANSLATE(B1473,""en"",""pt-br"")"),"negativo")</f>
        <v>negativo</v>
      </c>
    </row>
    <row r="1474" ht="15.75" customHeight="1">
      <c r="A1474" s="2" t="s">
        <v>1476</v>
      </c>
      <c r="B1474" s="2" t="s">
        <v>3</v>
      </c>
      <c r="C1474" s="1" t="str">
        <f>IFERROR(__xludf.DUMMYFUNCTION("GOOGLETRANSLATE(A1474,""en"",""pt-br"")"),"devastadoramente")</f>
        <v>devastadoramente</v>
      </c>
      <c r="D1474" s="1" t="str">
        <f>IFERROR(__xludf.DUMMYFUNCTION("GOOGLETRANSLATE(B1474,""en"",""pt-br"")"),"negativo")</f>
        <v>negativo</v>
      </c>
    </row>
    <row r="1475" ht="15.75" customHeight="1">
      <c r="A1475" s="2" t="s">
        <v>1477</v>
      </c>
      <c r="B1475" s="2" t="s">
        <v>3</v>
      </c>
      <c r="C1475" s="1" t="str">
        <f>IFERROR(__xludf.DUMMYFUNCTION("GOOGLETRANSLATE(A1475,""en"",""pt-br"")"),"devastação")</f>
        <v>devastação</v>
      </c>
      <c r="D1475" s="1" t="str">
        <f>IFERROR(__xludf.DUMMYFUNCTION("GOOGLETRANSLATE(B1475,""en"",""pt-br"")"),"negativo")</f>
        <v>negativo</v>
      </c>
    </row>
    <row r="1476" ht="15.75" customHeight="1">
      <c r="A1476" s="2" t="s">
        <v>1478</v>
      </c>
      <c r="B1476" s="2" t="s">
        <v>3</v>
      </c>
      <c r="C1476" s="1" t="str">
        <f>IFERROR(__xludf.DUMMYFUNCTION("GOOGLETRANSLATE(A1476,""en"",""pt-br"")"),"desviam")</f>
        <v>desviam</v>
      </c>
      <c r="D1476" s="1" t="str">
        <f>IFERROR(__xludf.DUMMYFUNCTION("GOOGLETRANSLATE(B1476,""en"",""pt-br"")"),"negativo")</f>
        <v>negativo</v>
      </c>
    </row>
    <row r="1477" ht="15.75" customHeight="1">
      <c r="A1477" s="2" t="s">
        <v>1479</v>
      </c>
      <c r="B1477" s="2" t="s">
        <v>3</v>
      </c>
      <c r="C1477" s="1" t="str">
        <f>IFERROR(__xludf.DUMMYFUNCTION("GOOGLETRANSLATE(A1477,""en"",""pt-br"")"),"desvio")</f>
        <v>desvio</v>
      </c>
      <c r="D1477" s="1" t="str">
        <f>IFERROR(__xludf.DUMMYFUNCTION("GOOGLETRANSLATE(B1477,""en"",""pt-br"")"),"negativo")</f>
        <v>negativo</v>
      </c>
    </row>
    <row r="1478" ht="15.75" customHeight="1">
      <c r="A1478" s="2" t="s">
        <v>1480</v>
      </c>
      <c r="B1478" s="2" t="s">
        <v>3</v>
      </c>
      <c r="C1478" s="1" t="str">
        <f>IFERROR(__xludf.DUMMYFUNCTION("GOOGLETRANSLATE(A1478,""en"",""pt-br"")"),"diabo")</f>
        <v>diabo</v>
      </c>
      <c r="D1478" s="1" t="str">
        <f>IFERROR(__xludf.DUMMYFUNCTION("GOOGLETRANSLATE(B1478,""en"",""pt-br"")"),"negativo")</f>
        <v>negativo</v>
      </c>
    </row>
    <row r="1479" ht="15.75" customHeight="1">
      <c r="A1479" s="2" t="s">
        <v>1481</v>
      </c>
      <c r="B1479" s="2" t="s">
        <v>3</v>
      </c>
      <c r="C1479" s="1" t="str">
        <f>IFERROR(__xludf.DUMMYFUNCTION("GOOGLETRANSLATE(A1479,""en"",""pt-br"")"),"diabólico")</f>
        <v>diabólico</v>
      </c>
      <c r="D1479" s="1" t="str">
        <f>IFERROR(__xludf.DUMMYFUNCTION("GOOGLETRANSLATE(B1479,""en"",""pt-br"")"),"negativo")</f>
        <v>negativo</v>
      </c>
    </row>
    <row r="1480" ht="15.75" customHeight="1">
      <c r="A1480" s="2" t="s">
        <v>1482</v>
      </c>
      <c r="B1480" s="2" t="s">
        <v>3</v>
      </c>
      <c r="C1480" s="1" t="str">
        <f>IFERROR(__xludf.DUMMYFUNCTION("GOOGLETRANSLATE(A1480,""en"",""pt-br"")"),"diabolicamente")</f>
        <v>diabolicamente</v>
      </c>
      <c r="D1480" s="1" t="str">
        <f>IFERROR(__xludf.DUMMYFUNCTION("GOOGLETRANSLATE(B1480,""en"",""pt-br"")"),"negativo")</f>
        <v>negativo</v>
      </c>
    </row>
    <row r="1481" ht="15.75" customHeight="1">
      <c r="A1481" s="2" t="s">
        <v>1483</v>
      </c>
      <c r="B1481" s="2" t="s">
        <v>3</v>
      </c>
      <c r="C1481" s="1" t="str">
        <f>IFERROR(__xludf.DUMMYFUNCTION("GOOGLETRANSLATE(A1481,""en"",""pt-br"")"),"coisa diabólica")</f>
        <v>coisa diabólica</v>
      </c>
      <c r="D1481" s="1" t="str">
        <f>IFERROR(__xludf.DUMMYFUNCTION("GOOGLETRANSLATE(B1481,""en"",""pt-br"")"),"negativo")</f>
        <v>negativo</v>
      </c>
    </row>
    <row r="1482" ht="15.75" customHeight="1">
      <c r="A1482" s="2" t="s">
        <v>1484</v>
      </c>
      <c r="B1482" s="2" t="s">
        <v>3</v>
      </c>
      <c r="C1482" s="1" t="str">
        <f>IFERROR(__xludf.DUMMYFUNCTION("GOOGLETRANSLATE(A1482,""en"",""pt-br"")"),"diabrura")</f>
        <v>diabrura</v>
      </c>
      <c r="D1482" s="1" t="str">
        <f>IFERROR(__xludf.DUMMYFUNCTION("GOOGLETRANSLATE(B1482,""en"",""pt-br"")"),"negativo")</f>
        <v>negativo</v>
      </c>
    </row>
    <row r="1483" ht="15.75" customHeight="1">
      <c r="A1483" s="2" t="s">
        <v>1485</v>
      </c>
      <c r="B1483" s="2" t="s">
        <v>3</v>
      </c>
      <c r="C1483" s="1" t="str">
        <f>IFERROR(__xludf.DUMMYFUNCTION("GOOGLETRANSLATE(A1483,""en"",""pt-br"")"),"desonesto")</f>
        <v>desonesto</v>
      </c>
      <c r="D1483" s="1" t="str">
        <f>IFERROR(__xludf.DUMMYFUNCTION("GOOGLETRANSLATE(B1483,""en"",""pt-br"")"),"negativo")</f>
        <v>negativo</v>
      </c>
    </row>
    <row r="1484" ht="15.75" customHeight="1">
      <c r="A1484" s="2" t="s">
        <v>1486</v>
      </c>
      <c r="B1484" s="2" t="s">
        <v>3</v>
      </c>
      <c r="C1484" s="1" t="str">
        <f>IFERROR(__xludf.DUMMYFUNCTION("GOOGLETRANSLATE(A1484,""en"",""pt-br"")"),"deviously")</f>
        <v>deviously</v>
      </c>
      <c r="D1484" s="1" t="str">
        <f>IFERROR(__xludf.DUMMYFUNCTION("GOOGLETRANSLATE(B1484,""en"",""pt-br"")"),"negativo")</f>
        <v>negativo</v>
      </c>
    </row>
    <row r="1485" ht="15.75" customHeight="1">
      <c r="A1485" s="2" t="s">
        <v>1487</v>
      </c>
      <c r="B1485" s="2" t="s">
        <v>3</v>
      </c>
      <c r="C1485" s="1" t="str">
        <f>IFERROR(__xludf.DUMMYFUNCTION("GOOGLETRANSLATE(A1485,""en"",""pt-br"")"),"desvio")</f>
        <v>desvio</v>
      </c>
      <c r="D1485" s="1" t="str">
        <f>IFERROR(__xludf.DUMMYFUNCTION("GOOGLETRANSLATE(B1485,""en"",""pt-br"")"),"negativo")</f>
        <v>negativo</v>
      </c>
    </row>
    <row r="1486" ht="15.75" customHeight="1">
      <c r="A1486" s="2" t="s">
        <v>1488</v>
      </c>
      <c r="B1486" s="2" t="s">
        <v>3</v>
      </c>
      <c r="C1486" s="1" t="str">
        <f>IFERROR(__xludf.DUMMYFUNCTION("GOOGLETRANSLATE(A1486,""en"",""pt-br"")"),"desprovido")</f>
        <v>desprovido</v>
      </c>
      <c r="D1486" s="1" t="str">
        <f>IFERROR(__xludf.DUMMYFUNCTION("GOOGLETRANSLATE(B1486,""en"",""pt-br"")"),"negativo")</f>
        <v>negativo</v>
      </c>
    </row>
    <row r="1487" ht="15.75" customHeight="1">
      <c r="A1487" s="2" t="s">
        <v>1489</v>
      </c>
      <c r="B1487" s="2" t="s">
        <v>14</v>
      </c>
      <c r="C1487" s="1" t="str">
        <f>IFERROR(__xludf.DUMMYFUNCTION("GOOGLETRANSLATE(A1487,""en"",""pt-br"")"),"devoto")</f>
        <v>devoto</v>
      </c>
      <c r="D1487" s="1" t="str">
        <f>IFERROR(__xludf.DUMMYFUNCTION("GOOGLETRANSLATE(B1487,""en"",""pt-br"")"),"positivo")</f>
        <v>positivo</v>
      </c>
    </row>
    <row r="1488" ht="15.75" customHeight="1">
      <c r="A1488" s="2" t="s">
        <v>1490</v>
      </c>
      <c r="B1488" s="2" t="s">
        <v>14</v>
      </c>
      <c r="C1488" s="1" t="str">
        <f>IFERROR(__xludf.DUMMYFUNCTION("GOOGLETRANSLATE(A1488,""en"",""pt-br"")"),"destro")</f>
        <v>destro</v>
      </c>
      <c r="D1488" s="1" t="str">
        <f>IFERROR(__xludf.DUMMYFUNCTION("GOOGLETRANSLATE(B1488,""en"",""pt-br"")"),"positivo")</f>
        <v>positivo</v>
      </c>
    </row>
    <row r="1489" ht="15.75" customHeight="1">
      <c r="A1489" s="2" t="s">
        <v>1491</v>
      </c>
      <c r="B1489" s="2" t="s">
        <v>14</v>
      </c>
      <c r="C1489" s="1" t="str">
        <f>IFERROR(__xludf.DUMMYFUNCTION("GOOGLETRANSLATE(A1489,""en"",""pt-br"")"),"dexterously")</f>
        <v>dexterously</v>
      </c>
      <c r="D1489" s="1" t="str">
        <f>IFERROR(__xludf.DUMMYFUNCTION("GOOGLETRANSLATE(B1489,""en"",""pt-br"")"),"positivo")</f>
        <v>positivo</v>
      </c>
    </row>
    <row r="1490" ht="15.75" customHeight="1">
      <c r="A1490" s="2" t="s">
        <v>1492</v>
      </c>
      <c r="B1490" s="2" t="s">
        <v>14</v>
      </c>
      <c r="C1490" s="1" t="str">
        <f>IFERROR(__xludf.DUMMYFUNCTION("GOOGLETRANSLATE(A1490,""en"",""pt-br"")"),"destro")</f>
        <v>destro</v>
      </c>
      <c r="D1490" s="1" t="str">
        <f>IFERROR(__xludf.DUMMYFUNCTION("GOOGLETRANSLATE(B1490,""en"",""pt-br"")"),"positivo")</f>
        <v>positivo</v>
      </c>
    </row>
    <row r="1491" ht="15.75" customHeight="1">
      <c r="A1491" s="2" t="s">
        <v>1493</v>
      </c>
      <c r="B1491" s="2" t="s">
        <v>3</v>
      </c>
      <c r="C1491" s="1" t="str">
        <f>IFERROR(__xludf.DUMMYFUNCTION("GOOGLETRANSLATE(A1491,""en"",""pt-br"")"),"diabólico")</f>
        <v>diabólico</v>
      </c>
      <c r="D1491" s="1" t="str">
        <f>IFERROR(__xludf.DUMMYFUNCTION("GOOGLETRANSLATE(B1491,""en"",""pt-br"")"),"negativo")</f>
        <v>negativo</v>
      </c>
    </row>
    <row r="1492" ht="15.75" customHeight="1">
      <c r="A1492" s="2" t="s">
        <v>1494</v>
      </c>
      <c r="B1492" s="2" t="s">
        <v>3</v>
      </c>
      <c r="C1492" s="1" t="str">
        <f>IFERROR(__xludf.DUMMYFUNCTION("GOOGLETRANSLATE(A1492,""en"",""pt-br"")"),"diabólico")</f>
        <v>diabólico</v>
      </c>
      <c r="D1492" s="1" t="str">
        <f>IFERROR(__xludf.DUMMYFUNCTION("GOOGLETRANSLATE(B1492,""en"",""pt-br"")"),"negativo")</f>
        <v>negativo</v>
      </c>
    </row>
    <row r="1493" ht="15.75" customHeight="1">
      <c r="A1493" s="2" t="s">
        <v>1495</v>
      </c>
      <c r="B1493" s="2" t="s">
        <v>3</v>
      </c>
      <c r="C1493" s="1" t="str">
        <f>IFERROR(__xludf.DUMMYFUNCTION("GOOGLETRANSLATE(A1493,""en"",""pt-br"")"),"diabolicamente")</f>
        <v>diabolicamente</v>
      </c>
      <c r="D1493" s="1" t="str">
        <f>IFERROR(__xludf.DUMMYFUNCTION("GOOGLETRANSLATE(B1493,""en"",""pt-br"")"),"negativo")</f>
        <v>negativo</v>
      </c>
    </row>
    <row r="1494" ht="15.75" customHeight="1">
      <c r="A1494" s="2" t="s">
        <v>1496</v>
      </c>
      <c r="B1494" s="2" t="s">
        <v>3</v>
      </c>
      <c r="C1494" s="1" t="str">
        <f>IFERROR(__xludf.DUMMYFUNCTION("GOOGLETRANSLATE(A1494,""en"",""pt-br"")"),"diametralmente")</f>
        <v>diametralmente</v>
      </c>
      <c r="D1494" s="1" t="str">
        <f>IFERROR(__xludf.DUMMYFUNCTION("GOOGLETRANSLATE(B1494,""en"",""pt-br"")"),"negativo")</f>
        <v>negativo</v>
      </c>
    </row>
    <row r="1495" ht="15.75" customHeight="1">
      <c r="A1495" s="2" t="s">
        <v>1497</v>
      </c>
      <c r="B1495" s="2" t="s">
        <v>3</v>
      </c>
      <c r="C1495" s="1" t="str">
        <f>IFERROR(__xludf.DUMMYFUNCTION("GOOGLETRANSLATE(A1495,""en"",""pt-br"")"),"diappointed")</f>
        <v>diappointed</v>
      </c>
      <c r="D1495" s="1" t="str">
        <f>IFERROR(__xludf.DUMMYFUNCTION("GOOGLETRANSLATE(B1495,""en"",""pt-br"")"),"negativo")</f>
        <v>negativo</v>
      </c>
    </row>
    <row r="1496" ht="15.75" customHeight="1">
      <c r="A1496" s="2" t="s">
        <v>1498</v>
      </c>
      <c r="B1496" s="2" t="s">
        <v>3</v>
      </c>
      <c r="C1496" s="1" t="str">
        <f>IFERROR(__xludf.DUMMYFUNCTION("GOOGLETRANSLATE(A1496,""en"",""pt-br"")"),"diatribe")</f>
        <v>diatribe</v>
      </c>
      <c r="D1496" s="1" t="str">
        <f>IFERROR(__xludf.DUMMYFUNCTION("GOOGLETRANSLATE(B1496,""en"",""pt-br"")"),"negativo")</f>
        <v>negativo</v>
      </c>
    </row>
    <row r="1497" ht="15.75" customHeight="1">
      <c r="A1497" s="2" t="s">
        <v>1499</v>
      </c>
      <c r="B1497" s="2" t="s">
        <v>3</v>
      </c>
      <c r="C1497" s="1" t="str">
        <f>IFERROR(__xludf.DUMMYFUNCTION("GOOGLETRANSLATE(A1497,""en"",""pt-br"")"),"ataques")</f>
        <v>ataques</v>
      </c>
      <c r="D1497" s="1" t="str">
        <f>IFERROR(__xludf.DUMMYFUNCTION("GOOGLETRANSLATE(B1497,""en"",""pt-br"")"),"negativo")</f>
        <v>negativo</v>
      </c>
    </row>
    <row r="1498" ht="15.75" customHeight="1">
      <c r="A1498" s="2" t="s">
        <v>1500</v>
      </c>
      <c r="B1498" s="2" t="s">
        <v>3</v>
      </c>
      <c r="C1498" s="1" t="str">
        <f>IFERROR(__xludf.DUMMYFUNCTION("GOOGLETRANSLATE(A1498,""en"",""pt-br"")"),"pênis")</f>
        <v>pênis</v>
      </c>
      <c r="D1498" s="1" t="str">
        <f>IFERROR(__xludf.DUMMYFUNCTION("GOOGLETRANSLATE(B1498,""en"",""pt-br"")"),"negativo")</f>
        <v>negativo</v>
      </c>
    </row>
    <row r="1499" ht="15.75" customHeight="1">
      <c r="A1499" s="2" t="s">
        <v>1501</v>
      </c>
      <c r="B1499" s="2" t="s">
        <v>3</v>
      </c>
      <c r="C1499" s="1" t="str">
        <f>IFERROR(__xludf.DUMMYFUNCTION("GOOGLETRANSLATE(A1499,""en"",""pt-br"")"),"ditador")</f>
        <v>ditador</v>
      </c>
      <c r="D1499" s="1" t="str">
        <f>IFERROR(__xludf.DUMMYFUNCTION("GOOGLETRANSLATE(B1499,""en"",""pt-br"")"),"negativo")</f>
        <v>negativo</v>
      </c>
    </row>
    <row r="1500" ht="15.75" customHeight="1">
      <c r="A1500" s="2" t="s">
        <v>1502</v>
      </c>
      <c r="B1500" s="2" t="s">
        <v>3</v>
      </c>
      <c r="C1500" s="1" t="str">
        <f>IFERROR(__xludf.DUMMYFUNCTION("GOOGLETRANSLATE(A1500,""en"",""pt-br"")"),"ditatorial")</f>
        <v>ditatorial</v>
      </c>
      <c r="D1500" s="1" t="str">
        <f>IFERROR(__xludf.DUMMYFUNCTION("GOOGLETRANSLATE(B1500,""en"",""pt-br"")"),"negativo")</f>
        <v>negativo</v>
      </c>
    </row>
    <row r="1501" ht="15.75" customHeight="1">
      <c r="A1501" s="2" t="s">
        <v>1503</v>
      </c>
      <c r="B1501" s="2" t="s">
        <v>3</v>
      </c>
      <c r="C1501" s="1" t="str">
        <f>IFERROR(__xludf.DUMMYFUNCTION("GOOGLETRANSLATE(A1501,""en"",""pt-br"")"),"morrer")</f>
        <v>morrer</v>
      </c>
      <c r="D1501" s="1" t="str">
        <f>IFERROR(__xludf.DUMMYFUNCTION("GOOGLETRANSLATE(B1501,""en"",""pt-br"")"),"negativo")</f>
        <v>negativo</v>
      </c>
    </row>
    <row r="1502" ht="15.75" customHeight="1">
      <c r="A1502" s="2" t="s">
        <v>1504</v>
      </c>
      <c r="B1502" s="2" t="s">
        <v>3</v>
      </c>
      <c r="C1502" s="1" t="str">
        <f>IFERROR(__xludf.DUMMYFUNCTION("GOOGLETRANSLATE(A1502,""en"",""pt-br"")"),"duro de Matar")</f>
        <v>duro de Matar</v>
      </c>
      <c r="D1502" s="1" t="str">
        <f>IFERROR(__xludf.DUMMYFUNCTION("GOOGLETRANSLATE(B1502,""en"",""pt-br"")"),"negativo")</f>
        <v>negativo</v>
      </c>
    </row>
    <row r="1503" ht="15.75" customHeight="1">
      <c r="A1503" s="2" t="s">
        <v>1505</v>
      </c>
      <c r="B1503" s="2" t="s">
        <v>3</v>
      </c>
      <c r="C1503" s="1" t="str">
        <f>IFERROR(__xludf.DUMMYFUNCTION("GOOGLETRANSLATE(A1503,""en"",""pt-br"")"),"morreu")</f>
        <v>morreu</v>
      </c>
      <c r="D1503" s="1" t="str">
        <f>IFERROR(__xludf.DUMMYFUNCTION("GOOGLETRANSLATE(B1503,""en"",""pt-br"")"),"negativo")</f>
        <v>negativo</v>
      </c>
    </row>
    <row r="1504" ht="15.75" customHeight="1">
      <c r="A1504" s="2" t="s">
        <v>1506</v>
      </c>
      <c r="B1504" s="2" t="s">
        <v>3</v>
      </c>
      <c r="C1504" s="1" t="str">
        <f>IFERROR(__xludf.DUMMYFUNCTION("GOOGLETRANSLATE(A1504,""en"",""pt-br"")"),"morre")</f>
        <v>morre</v>
      </c>
      <c r="D1504" s="1" t="str">
        <f>IFERROR(__xludf.DUMMYFUNCTION("GOOGLETRANSLATE(B1504,""en"",""pt-br"")"),"negativo")</f>
        <v>negativo</v>
      </c>
    </row>
    <row r="1505" ht="15.75" customHeight="1">
      <c r="A1505" s="2" t="s">
        <v>1507</v>
      </c>
      <c r="B1505" s="2" t="s">
        <v>3</v>
      </c>
      <c r="C1505" s="1" t="str">
        <f>IFERROR(__xludf.DUMMYFUNCTION("GOOGLETRANSLATE(A1505,""en"",""pt-br"")"),"difícil")</f>
        <v>difícil</v>
      </c>
      <c r="D1505" s="1" t="str">
        <f>IFERROR(__xludf.DUMMYFUNCTION("GOOGLETRANSLATE(B1505,""en"",""pt-br"")"),"negativo")</f>
        <v>negativo</v>
      </c>
    </row>
    <row r="1506" ht="15.75" customHeight="1">
      <c r="A1506" s="2" t="s">
        <v>1508</v>
      </c>
      <c r="B1506" s="2" t="s">
        <v>3</v>
      </c>
      <c r="C1506" s="1" t="str">
        <f>IFERROR(__xludf.DUMMYFUNCTION("GOOGLETRANSLATE(A1506,""en"",""pt-br"")"),"dificuldades")</f>
        <v>dificuldades</v>
      </c>
      <c r="D1506" s="1" t="str">
        <f>IFERROR(__xludf.DUMMYFUNCTION("GOOGLETRANSLATE(B1506,""en"",""pt-br"")"),"negativo")</f>
        <v>negativo</v>
      </c>
    </row>
    <row r="1507" ht="15.75" customHeight="1">
      <c r="A1507" s="2" t="s">
        <v>1509</v>
      </c>
      <c r="B1507" s="2" t="s">
        <v>3</v>
      </c>
      <c r="C1507" s="1" t="str">
        <f>IFERROR(__xludf.DUMMYFUNCTION("GOOGLETRANSLATE(A1507,""en"",""pt-br"")"),"dificuldade")</f>
        <v>dificuldade</v>
      </c>
      <c r="D1507" s="1" t="str">
        <f>IFERROR(__xludf.DUMMYFUNCTION("GOOGLETRANSLATE(B1507,""en"",""pt-br"")"),"negativo")</f>
        <v>negativo</v>
      </c>
    </row>
    <row r="1508" ht="15.75" customHeight="1">
      <c r="A1508" s="2" t="s">
        <v>1510</v>
      </c>
      <c r="B1508" s="2" t="s">
        <v>3</v>
      </c>
      <c r="C1508" s="1" t="str">
        <f>IFERROR(__xludf.DUMMYFUNCTION("GOOGLETRANSLATE(A1508,""en"",""pt-br"")"),"desconfiança")</f>
        <v>desconfiança</v>
      </c>
      <c r="D1508" s="1" t="str">
        <f>IFERROR(__xludf.DUMMYFUNCTION("GOOGLETRANSLATE(B1508,""en"",""pt-br"")"),"negativo")</f>
        <v>negativo</v>
      </c>
    </row>
    <row r="1509" ht="15.75" customHeight="1">
      <c r="A1509" s="2" t="s">
        <v>1511</v>
      </c>
      <c r="B1509" s="2" t="s">
        <v>14</v>
      </c>
      <c r="C1509" s="1" t="str">
        <f>IFERROR(__xludf.DUMMYFUNCTION("GOOGLETRANSLATE(A1509,""en"",""pt-br"")"),"digno")</f>
        <v>digno</v>
      </c>
      <c r="D1509" s="1" t="str">
        <f>IFERROR(__xludf.DUMMYFUNCTION("GOOGLETRANSLATE(B1509,""en"",""pt-br"")"),"positivo")</f>
        <v>positivo</v>
      </c>
    </row>
    <row r="1510" ht="15.75" customHeight="1">
      <c r="A1510" s="2" t="s">
        <v>1512</v>
      </c>
      <c r="B1510" s="2" t="s">
        <v>14</v>
      </c>
      <c r="C1510" s="1" t="str">
        <f>IFERROR(__xludf.DUMMYFUNCTION("GOOGLETRANSLATE(A1510,""en"",""pt-br"")"),"dignificar")</f>
        <v>dignificar</v>
      </c>
      <c r="D1510" s="1" t="str">
        <f>IFERROR(__xludf.DUMMYFUNCTION("GOOGLETRANSLATE(B1510,""en"",""pt-br"")"),"positivo")</f>
        <v>positivo</v>
      </c>
    </row>
    <row r="1511" ht="15.75" customHeight="1">
      <c r="A1511" s="2" t="s">
        <v>1513</v>
      </c>
      <c r="B1511" s="2" t="s">
        <v>14</v>
      </c>
      <c r="C1511" s="1" t="str">
        <f>IFERROR(__xludf.DUMMYFUNCTION("GOOGLETRANSLATE(A1511,""en"",""pt-br"")"),"dignidade")</f>
        <v>dignidade</v>
      </c>
      <c r="D1511" s="1" t="str">
        <f>IFERROR(__xludf.DUMMYFUNCTION("GOOGLETRANSLATE(B1511,""en"",""pt-br"")"),"positivo")</f>
        <v>positivo</v>
      </c>
    </row>
    <row r="1512" ht="15.75" customHeight="1">
      <c r="A1512" s="2" t="s">
        <v>1514</v>
      </c>
      <c r="B1512" s="2" t="s">
        <v>3</v>
      </c>
      <c r="C1512" s="1" t="str">
        <f>IFERROR(__xludf.DUMMYFUNCTION("GOOGLETRANSLATE(A1512,""en"",""pt-br"")"),"dilapidado")</f>
        <v>dilapidado</v>
      </c>
      <c r="D1512" s="1" t="str">
        <f>IFERROR(__xludf.DUMMYFUNCTION("GOOGLETRANSLATE(B1512,""en"",""pt-br"")"),"negativo")</f>
        <v>negativo</v>
      </c>
    </row>
    <row r="1513" ht="15.75" customHeight="1">
      <c r="A1513" s="2" t="s">
        <v>1515</v>
      </c>
      <c r="B1513" s="2" t="s">
        <v>3</v>
      </c>
      <c r="C1513" s="1" t="str">
        <f>IFERROR(__xludf.DUMMYFUNCTION("GOOGLETRANSLATE(A1513,""en"",""pt-br"")"),"dilema")</f>
        <v>dilema</v>
      </c>
      <c r="D1513" s="1" t="str">
        <f>IFERROR(__xludf.DUMMYFUNCTION("GOOGLETRANSLATE(B1513,""en"",""pt-br"")"),"negativo")</f>
        <v>negativo</v>
      </c>
    </row>
    <row r="1514" ht="15.75" customHeight="1">
      <c r="A1514" s="2" t="s">
        <v>1516</v>
      </c>
      <c r="B1514" s="2" t="s">
        <v>14</v>
      </c>
      <c r="C1514" s="1" t="str">
        <f>IFERROR(__xludf.DUMMYFUNCTION("GOOGLETRANSLATE(A1514,""en"",""pt-br"")"),"diligência")</f>
        <v>diligência</v>
      </c>
      <c r="D1514" s="1" t="str">
        <f>IFERROR(__xludf.DUMMYFUNCTION("GOOGLETRANSLATE(B1514,""en"",""pt-br"")"),"positivo")</f>
        <v>positivo</v>
      </c>
    </row>
    <row r="1515" ht="15.75" customHeight="1">
      <c r="A1515" s="2" t="s">
        <v>1517</v>
      </c>
      <c r="B1515" s="2" t="s">
        <v>14</v>
      </c>
      <c r="C1515" s="1" t="str">
        <f>IFERROR(__xludf.DUMMYFUNCTION("GOOGLETRANSLATE(A1515,""en"",""pt-br"")"),"diligente")</f>
        <v>diligente</v>
      </c>
      <c r="D1515" s="1" t="str">
        <f>IFERROR(__xludf.DUMMYFUNCTION("GOOGLETRANSLATE(B1515,""en"",""pt-br"")"),"positivo")</f>
        <v>positivo</v>
      </c>
    </row>
    <row r="1516" ht="15.75" customHeight="1">
      <c r="A1516" s="2" t="s">
        <v>1518</v>
      </c>
      <c r="B1516" s="2" t="s">
        <v>14</v>
      </c>
      <c r="C1516" s="1" t="str">
        <f>IFERROR(__xludf.DUMMYFUNCTION("GOOGLETRANSLATE(A1516,""en"",""pt-br"")"),"diligentemente")</f>
        <v>diligentemente</v>
      </c>
      <c r="D1516" s="1" t="str">
        <f>IFERROR(__xludf.DUMMYFUNCTION("GOOGLETRANSLATE(B1516,""en"",""pt-br"")"),"positivo")</f>
        <v>positivo</v>
      </c>
    </row>
    <row r="1517" ht="15.75" customHeight="1">
      <c r="A1517" s="2" t="s">
        <v>1519</v>
      </c>
      <c r="B1517" s="2" t="s">
        <v>3</v>
      </c>
      <c r="C1517" s="1" t="str">
        <f>IFERROR(__xludf.DUMMYFUNCTION("GOOGLETRANSLATE(A1517,""en"",""pt-br"")"),"vadiar")</f>
        <v>vadiar</v>
      </c>
      <c r="D1517" s="1" t="str">
        <f>IFERROR(__xludf.DUMMYFUNCTION("GOOGLETRANSLATE(B1517,""en"",""pt-br"")"),"negativo")</f>
        <v>negativo</v>
      </c>
    </row>
    <row r="1518" ht="15.75" customHeight="1">
      <c r="A1518" s="2" t="s">
        <v>1520</v>
      </c>
      <c r="B1518" s="2" t="s">
        <v>3</v>
      </c>
      <c r="C1518" s="1" t="str">
        <f>IFERROR(__xludf.DUMMYFUNCTION("GOOGLETRANSLATE(A1518,""en"",""pt-br"")"),"escurecer")</f>
        <v>escurecer</v>
      </c>
      <c r="D1518" s="1" t="str">
        <f>IFERROR(__xludf.DUMMYFUNCTION("GOOGLETRANSLATE(B1518,""en"",""pt-br"")"),"negativo")</f>
        <v>negativo</v>
      </c>
    </row>
    <row r="1519" ht="15.75" customHeight="1">
      <c r="A1519" s="2" t="s">
        <v>1521</v>
      </c>
      <c r="B1519" s="2" t="s">
        <v>3</v>
      </c>
      <c r="C1519" s="1" t="str">
        <f>IFERROR(__xludf.DUMMYFUNCTION("GOOGLETRANSLATE(A1519,""en"",""pt-br"")"),"obscuro")</f>
        <v>obscuro</v>
      </c>
      <c r="D1519" s="1" t="str">
        <f>IFERROR(__xludf.DUMMYFUNCTION("GOOGLETRANSLATE(B1519,""en"",""pt-br"")"),"negativo")</f>
        <v>negativo</v>
      </c>
    </row>
    <row r="1520" ht="15.75" customHeight="1">
      <c r="A1520" s="2" t="s">
        <v>1522</v>
      </c>
      <c r="B1520" s="2" t="s">
        <v>3</v>
      </c>
      <c r="C1520" s="1" t="str">
        <f>IFERROR(__xludf.DUMMYFUNCTION("GOOGLETRANSLATE(A1520,""en"",""pt-br"")"),"barulho")</f>
        <v>barulho</v>
      </c>
      <c r="D1520" s="1" t="str">
        <f>IFERROR(__xludf.DUMMYFUNCTION("GOOGLETRANSLATE(B1520,""en"",""pt-br"")"),"negativo")</f>
        <v>negativo</v>
      </c>
    </row>
    <row r="1521" ht="15.75" customHeight="1">
      <c r="A1521" s="2" t="s">
        <v>1523</v>
      </c>
      <c r="B1521" s="2" t="s">
        <v>3</v>
      </c>
      <c r="C1521" s="1" t="str">
        <f>IFERROR(__xludf.DUMMYFUNCTION("GOOGLETRANSLATE(A1521,""en"",""pt-br"")"),"ding")</f>
        <v>ding</v>
      </c>
      <c r="D1521" s="1" t="str">
        <f>IFERROR(__xludf.DUMMYFUNCTION("GOOGLETRANSLATE(B1521,""en"",""pt-br"")"),"negativo")</f>
        <v>negativo</v>
      </c>
    </row>
    <row r="1522" ht="15.75" customHeight="1">
      <c r="A1522" s="2" t="s">
        <v>1524</v>
      </c>
      <c r="B1522" s="2" t="s">
        <v>3</v>
      </c>
      <c r="C1522" s="1" t="str">
        <f>IFERROR(__xludf.DUMMYFUNCTION("GOOGLETRANSLATE(A1522,""en"",""pt-br"")"),"dings")</f>
        <v>dings</v>
      </c>
      <c r="D1522" s="1" t="str">
        <f>IFERROR(__xludf.DUMMYFUNCTION("GOOGLETRANSLATE(B1522,""en"",""pt-br"")"),"negativo")</f>
        <v>negativo</v>
      </c>
    </row>
    <row r="1523" ht="15.75" customHeight="1">
      <c r="A1523" s="2" t="s">
        <v>1525</v>
      </c>
      <c r="B1523" s="2" t="s">
        <v>3</v>
      </c>
      <c r="C1523" s="1" t="str">
        <f>IFERROR(__xludf.DUMMYFUNCTION("GOOGLETRANSLATE(A1523,""en"",""pt-br"")"),"gentil")</f>
        <v>gentil</v>
      </c>
      <c r="D1523" s="1" t="str">
        <f>IFERROR(__xludf.DUMMYFUNCTION("GOOGLETRANSLATE(B1523,""en"",""pt-br"")"),"negativo")</f>
        <v>negativo</v>
      </c>
    </row>
    <row r="1524" ht="15.75" customHeight="1">
      <c r="A1524" s="2" t="s">
        <v>1526</v>
      </c>
      <c r="B1524" s="2" t="s">
        <v>14</v>
      </c>
      <c r="C1524" s="1" t="str">
        <f>IFERROR(__xludf.DUMMYFUNCTION("GOOGLETRANSLATE(A1524,""en"",""pt-br"")"),"diplomático")</f>
        <v>diplomático</v>
      </c>
      <c r="D1524" s="1" t="str">
        <f>IFERROR(__xludf.DUMMYFUNCTION("GOOGLETRANSLATE(B1524,""en"",""pt-br"")"),"positivo")</f>
        <v>positivo</v>
      </c>
    </row>
    <row r="1525" ht="15.75" customHeight="1">
      <c r="A1525" s="2" t="s">
        <v>1527</v>
      </c>
      <c r="B1525" s="2" t="s">
        <v>3</v>
      </c>
      <c r="C1525" s="1" t="str">
        <f>IFERROR(__xludf.DUMMYFUNCTION("GOOGLETRANSLATE(A1525,""en"",""pt-br"")"),"terrível")</f>
        <v>terrível</v>
      </c>
      <c r="D1525" s="1" t="str">
        <f>IFERROR(__xludf.DUMMYFUNCTION("GOOGLETRANSLATE(B1525,""en"",""pt-br"")"),"negativo")</f>
        <v>negativo</v>
      </c>
    </row>
    <row r="1526" ht="15.75" customHeight="1">
      <c r="A1526" s="2" t="s">
        <v>1528</v>
      </c>
      <c r="B1526" s="2" t="s">
        <v>3</v>
      </c>
      <c r="C1526" s="1" t="str">
        <f>IFERROR(__xludf.DUMMYFUNCTION("GOOGLETRANSLATE(A1526,""en"",""pt-br"")"),"direly")</f>
        <v>direly</v>
      </c>
      <c r="D1526" s="1" t="str">
        <f>IFERROR(__xludf.DUMMYFUNCTION("GOOGLETRANSLATE(B1526,""en"",""pt-br"")"),"negativo")</f>
        <v>negativo</v>
      </c>
    </row>
    <row r="1527" ht="15.75" customHeight="1">
      <c r="A1527" s="2" t="s">
        <v>1529</v>
      </c>
      <c r="B1527" s="2" t="s">
        <v>3</v>
      </c>
      <c r="C1527" s="1" t="str">
        <f>IFERROR(__xludf.DUMMYFUNCTION("GOOGLETRANSLATE(A1527,""en"",""pt-br"")"),"direness")</f>
        <v>direness</v>
      </c>
      <c r="D1527" s="1" t="str">
        <f>IFERROR(__xludf.DUMMYFUNCTION("GOOGLETRANSLATE(B1527,""en"",""pt-br"")"),"negativo")</f>
        <v>negativo</v>
      </c>
    </row>
    <row r="1528" ht="15.75" customHeight="1">
      <c r="A1528" s="2" t="s">
        <v>1530</v>
      </c>
      <c r="B1528" s="2" t="s">
        <v>3</v>
      </c>
      <c r="C1528" s="1" t="str">
        <f>IFERROR(__xludf.DUMMYFUNCTION("GOOGLETRANSLATE(A1528,""en"",""pt-br"")"),"sujeira")</f>
        <v>sujeira</v>
      </c>
      <c r="D1528" s="1" t="str">
        <f>IFERROR(__xludf.DUMMYFUNCTION("GOOGLETRANSLATE(B1528,""en"",""pt-br"")"),"negativo")</f>
        <v>negativo</v>
      </c>
    </row>
    <row r="1529" ht="15.75" customHeight="1">
      <c r="A1529" s="2" t="s">
        <v>1531</v>
      </c>
      <c r="B1529" s="2" t="s">
        <v>14</v>
      </c>
      <c r="C1529" s="1" t="str">
        <f>IFERROR(__xludf.DUMMYFUNCTION("GOOGLETRANSLATE(A1529,""en"",""pt-br"")"),"muito barato")</f>
        <v>muito barato</v>
      </c>
      <c r="D1529" s="1" t="str">
        <f>IFERROR(__xludf.DUMMYFUNCTION("GOOGLETRANSLATE(B1529,""en"",""pt-br"")"),"positivo")</f>
        <v>positivo</v>
      </c>
    </row>
    <row r="1530" ht="15.75" customHeight="1">
      <c r="A1530" s="2" t="s">
        <v>1532</v>
      </c>
      <c r="B1530" s="2" t="s">
        <v>3</v>
      </c>
      <c r="C1530" s="1" t="str">
        <f>IFERROR(__xludf.DUMMYFUNCTION("GOOGLETRANSLATE(A1530,""en"",""pt-br"")"),"canalha")</f>
        <v>canalha</v>
      </c>
      <c r="D1530" s="1" t="str">
        <f>IFERROR(__xludf.DUMMYFUNCTION("GOOGLETRANSLATE(B1530,""en"",""pt-br"")"),"negativo")</f>
        <v>negativo</v>
      </c>
    </row>
    <row r="1531" ht="15.75" customHeight="1">
      <c r="A1531" s="2" t="s">
        <v>1533</v>
      </c>
      <c r="B1531" s="2" t="s">
        <v>3</v>
      </c>
      <c r="C1531" s="1" t="str">
        <f>IFERROR(__xludf.DUMMYFUNCTION("GOOGLETRANSLATE(A1531,""en"",""pt-br"")"),"dirtbags")</f>
        <v>dirtbags</v>
      </c>
      <c r="D1531" s="1" t="str">
        <f>IFERROR(__xludf.DUMMYFUNCTION("GOOGLETRANSLATE(B1531,""en"",""pt-br"")"),"negativo")</f>
        <v>negativo</v>
      </c>
    </row>
    <row r="1532" ht="15.75" customHeight="1">
      <c r="A1532" s="2" t="s">
        <v>1534</v>
      </c>
      <c r="B1532" s="2" t="s">
        <v>3</v>
      </c>
      <c r="C1532" s="1" t="str">
        <f>IFERROR(__xludf.DUMMYFUNCTION("GOOGLETRANSLATE(A1532,""en"",""pt-br"")"),"dirts")</f>
        <v>dirts</v>
      </c>
      <c r="D1532" s="1" t="str">
        <f>IFERROR(__xludf.DUMMYFUNCTION("GOOGLETRANSLATE(B1532,""en"",""pt-br"")"),"negativo")</f>
        <v>negativo</v>
      </c>
    </row>
    <row r="1533" ht="15.75" customHeight="1">
      <c r="A1533" s="2" t="s">
        <v>1535</v>
      </c>
      <c r="B1533" s="2" t="s">
        <v>3</v>
      </c>
      <c r="C1533" s="1" t="str">
        <f>IFERROR(__xludf.DUMMYFUNCTION("GOOGLETRANSLATE(A1533,""en"",""pt-br"")"),"sujo")</f>
        <v>sujo</v>
      </c>
      <c r="D1533" s="1" t="str">
        <f>IFERROR(__xludf.DUMMYFUNCTION("GOOGLETRANSLATE(B1533,""en"",""pt-br"")"),"negativo")</f>
        <v>negativo</v>
      </c>
    </row>
    <row r="1534" ht="15.75" customHeight="1">
      <c r="A1534" s="2" t="s">
        <v>1536</v>
      </c>
      <c r="B1534" s="2" t="s">
        <v>3</v>
      </c>
      <c r="C1534" s="1" t="str">
        <f>IFERROR(__xludf.DUMMYFUNCTION("GOOGLETRANSLATE(A1534,""en"",""pt-br"")"),"disable")</f>
        <v>disable</v>
      </c>
      <c r="D1534" s="1" t="str">
        <f>IFERROR(__xludf.DUMMYFUNCTION("GOOGLETRANSLATE(B1534,""en"",""pt-br"")"),"negativo")</f>
        <v>negativo</v>
      </c>
    </row>
    <row r="1535" ht="15.75" customHeight="1">
      <c r="A1535" s="2" t="s">
        <v>1537</v>
      </c>
      <c r="B1535" s="2" t="s">
        <v>3</v>
      </c>
      <c r="C1535" s="1" t="str">
        <f>IFERROR(__xludf.DUMMYFUNCTION("GOOGLETRANSLATE(A1535,""en"",""pt-br"")"),"Desativado")</f>
        <v>Desativado</v>
      </c>
      <c r="D1535" s="1" t="str">
        <f>IFERROR(__xludf.DUMMYFUNCTION("GOOGLETRANSLATE(B1535,""en"",""pt-br"")"),"negativo")</f>
        <v>negativo</v>
      </c>
    </row>
    <row r="1536" ht="15.75" customHeight="1">
      <c r="A1536" s="2" t="s">
        <v>1538</v>
      </c>
      <c r="B1536" s="2" t="s">
        <v>3</v>
      </c>
      <c r="C1536" s="1" t="str">
        <f>IFERROR(__xludf.DUMMYFUNCTION("GOOGLETRANSLATE(A1536,""en"",""pt-br"")"),"desacordo")</f>
        <v>desacordo</v>
      </c>
      <c r="D1536" s="1" t="str">
        <f>IFERROR(__xludf.DUMMYFUNCTION("GOOGLETRANSLATE(B1536,""en"",""pt-br"")"),"negativo")</f>
        <v>negativo</v>
      </c>
    </row>
    <row r="1537" ht="15.75" customHeight="1">
      <c r="A1537" s="2" t="s">
        <v>1539</v>
      </c>
      <c r="B1537" s="2" t="s">
        <v>3</v>
      </c>
      <c r="C1537" s="1" t="str">
        <f>IFERROR(__xludf.DUMMYFUNCTION("GOOGLETRANSLATE(A1537,""en"",""pt-br"")"),"desvantagem")</f>
        <v>desvantagem</v>
      </c>
      <c r="D1537" s="1" t="str">
        <f>IFERROR(__xludf.DUMMYFUNCTION("GOOGLETRANSLATE(B1537,""en"",""pt-br"")"),"negativo")</f>
        <v>negativo</v>
      </c>
    </row>
    <row r="1538" ht="15.75" customHeight="1">
      <c r="A1538" s="2" t="s">
        <v>1540</v>
      </c>
      <c r="B1538" s="2" t="s">
        <v>3</v>
      </c>
      <c r="C1538" s="1" t="str">
        <f>IFERROR(__xludf.DUMMYFUNCTION("GOOGLETRANSLATE(A1538,""en"",""pt-br"")"),"desfavorecidos")</f>
        <v>desfavorecidos</v>
      </c>
      <c r="D1538" s="1" t="str">
        <f>IFERROR(__xludf.DUMMYFUNCTION("GOOGLETRANSLATE(B1538,""en"",""pt-br"")"),"negativo")</f>
        <v>negativo</v>
      </c>
    </row>
    <row r="1539" ht="15.75" customHeight="1">
      <c r="A1539" s="2" t="s">
        <v>1541</v>
      </c>
      <c r="B1539" s="2" t="s">
        <v>3</v>
      </c>
      <c r="C1539" s="1" t="str">
        <f>IFERROR(__xludf.DUMMYFUNCTION("GOOGLETRANSLATE(A1539,""en"",""pt-br"")"),"desvantajoso")</f>
        <v>desvantajoso</v>
      </c>
      <c r="D1539" s="1" t="str">
        <f>IFERROR(__xludf.DUMMYFUNCTION("GOOGLETRANSLATE(B1539,""en"",""pt-br"")"),"negativo")</f>
        <v>negativo</v>
      </c>
    </row>
    <row r="1540" ht="15.75" customHeight="1">
      <c r="A1540" s="2" t="s">
        <v>1542</v>
      </c>
      <c r="B1540" s="2" t="s">
        <v>3</v>
      </c>
      <c r="C1540" s="1" t="str">
        <f>IFERROR(__xludf.DUMMYFUNCTION("GOOGLETRANSLATE(A1540,""en"",""pt-br"")"),"desvantagens")</f>
        <v>desvantagens</v>
      </c>
      <c r="D1540" s="1" t="str">
        <f>IFERROR(__xludf.DUMMYFUNCTION("GOOGLETRANSLATE(B1540,""en"",""pt-br"")"),"negativo")</f>
        <v>negativo</v>
      </c>
    </row>
    <row r="1541" ht="15.75" customHeight="1">
      <c r="A1541" s="2" t="s">
        <v>1543</v>
      </c>
      <c r="B1541" s="2" t="s">
        <v>3</v>
      </c>
      <c r="C1541" s="1" t="str">
        <f>IFERROR(__xludf.DUMMYFUNCTION("GOOGLETRANSLATE(A1541,""en"",""pt-br"")"),"desafeiçoar")</f>
        <v>desafeiçoar</v>
      </c>
      <c r="D1541" s="1" t="str">
        <f>IFERROR(__xludf.DUMMYFUNCTION("GOOGLETRANSLATE(B1541,""en"",""pt-br"")"),"negativo")</f>
        <v>negativo</v>
      </c>
    </row>
    <row r="1542" ht="15.75" customHeight="1">
      <c r="A1542" s="2" t="s">
        <v>1544</v>
      </c>
      <c r="B1542" s="2" t="s">
        <v>3</v>
      </c>
      <c r="C1542" s="1" t="str">
        <f>IFERROR(__xludf.DUMMYFUNCTION("GOOGLETRANSLATE(A1542,""en"",""pt-br"")"),"desafeto")</f>
        <v>desafeto</v>
      </c>
      <c r="D1542" s="1" t="str">
        <f>IFERROR(__xludf.DUMMYFUNCTION("GOOGLETRANSLATE(B1542,""en"",""pt-br"")"),"negativo")</f>
        <v>negativo</v>
      </c>
    </row>
    <row r="1543" ht="15.75" customHeight="1">
      <c r="A1543" s="2" t="s">
        <v>1545</v>
      </c>
      <c r="B1543" s="2" t="s">
        <v>3</v>
      </c>
      <c r="C1543" s="1" t="str">
        <f>IFERROR(__xludf.DUMMYFUNCTION("GOOGLETRANSLATE(A1543,""en"",""pt-br"")"),"contradizer")</f>
        <v>contradizer</v>
      </c>
      <c r="D1543" s="1" t="str">
        <f>IFERROR(__xludf.DUMMYFUNCTION("GOOGLETRANSLATE(B1543,""en"",""pt-br"")"),"negativo")</f>
        <v>negativo</v>
      </c>
    </row>
    <row r="1544" ht="15.75" customHeight="1">
      <c r="A1544" s="2" t="s">
        <v>1546</v>
      </c>
      <c r="B1544" s="2" t="s">
        <v>3</v>
      </c>
      <c r="C1544" s="1" t="str">
        <f>IFERROR(__xludf.DUMMYFUNCTION("GOOGLETRANSLATE(A1544,""en"",""pt-br"")"),"discordar")</f>
        <v>discordar</v>
      </c>
      <c r="D1544" s="1" t="str">
        <f>IFERROR(__xludf.DUMMYFUNCTION("GOOGLETRANSLATE(B1544,""en"",""pt-br"")"),"negativo")</f>
        <v>negativo</v>
      </c>
    </row>
    <row r="1545" ht="15.75" customHeight="1">
      <c r="A1545" s="2" t="s">
        <v>1547</v>
      </c>
      <c r="B1545" s="2" t="s">
        <v>3</v>
      </c>
      <c r="C1545" s="1" t="str">
        <f>IFERROR(__xludf.DUMMYFUNCTION("GOOGLETRANSLATE(A1545,""en"",""pt-br"")"),"desagradável")</f>
        <v>desagradável</v>
      </c>
      <c r="D1545" s="1" t="str">
        <f>IFERROR(__xludf.DUMMYFUNCTION("GOOGLETRANSLATE(B1545,""en"",""pt-br"")"),"negativo")</f>
        <v>negativo</v>
      </c>
    </row>
    <row r="1546" ht="15.75" customHeight="1">
      <c r="A1546" s="2" t="s">
        <v>1548</v>
      </c>
      <c r="B1546" s="2" t="s">
        <v>3</v>
      </c>
      <c r="C1546" s="1" t="str">
        <f>IFERROR(__xludf.DUMMYFUNCTION("GOOGLETRANSLATE(A1546,""en"",""pt-br"")"),"desagradavelmente")</f>
        <v>desagradavelmente</v>
      </c>
      <c r="D1546" s="1" t="str">
        <f>IFERROR(__xludf.DUMMYFUNCTION("GOOGLETRANSLATE(B1546,""en"",""pt-br"")"),"negativo")</f>
        <v>negativo</v>
      </c>
    </row>
    <row r="1547" ht="15.75" customHeight="1">
      <c r="A1547" s="2" t="s">
        <v>1549</v>
      </c>
      <c r="B1547" s="2" t="s">
        <v>3</v>
      </c>
      <c r="C1547" s="1" t="str">
        <f>IFERROR(__xludf.DUMMYFUNCTION("GOOGLETRANSLATE(A1547,""en"",""pt-br"")"),"discordaram")</f>
        <v>discordaram</v>
      </c>
      <c r="D1547" s="1" t="str">
        <f>IFERROR(__xludf.DUMMYFUNCTION("GOOGLETRANSLATE(B1547,""en"",""pt-br"")"),"negativo")</f>
        <v>negativo</v>
      </c>
    </row>
    <row r="1548" ht="15.75" customHeight="1">
      <c r="A1548" s="2" t="s">
        <v>1550</v>
      </c>
      <c r="B1548" s="2" t="s">
        <v>3</v>
      </c>
      <c r="C1548" s="1" t="str">
        <f>IFERROR(__xludf.DUMMYFUNCTION("GOOGLETRANSLATE(A1548,""en"",""pt-br"")"),"discordando")</f>
        <v>discordando</v>
      </c>
      <c r="D1548" s="1" t="str">
        <f>IFERROR(__xludf.DUMMYFUNCTION("GOOGLETRANSLATE(B1548,""en"",""pt-br"")"),"negativo")</f>
        <v>negativo</v>
      </c>
    </row>
    <row r="1549" ht="15.75" customHeight="1">
      <c r="A1549" s="2" t="s">
        <v>1551</v>
      </c>
      <c r="B1549" s="2" t="s">
        <v>3</v>
      </c>
      <c r="C1549" s="1" t="str">
        <f>IFERROR(__xludf.DUMMYFUNCTION("GOOGLETRANSLATE(A1549,""en"",""pt-br"")"),"desacordo")</f>
        <v>desacordo</v>
      </c>
      <c r="D1549" s="1" t="str">
        <f>IFERROR(__xludf.DUMMYFUNCTION("GOOGLETRANSLATE(B1549,""en"",""pt-br"")"),"negativo")</f>
        <v>negativo</v>
      </c>
    </row>
    <row r="1550" ht="15.75" customHeight="1">
      <c r="A1550" s="2" t="s">
        <v>1552</v>
      </c>
      <c r="B1550" s="2" t="s">
        <v>3</v>
      </c>
      <c r="C1550" s="1" t="str">
        <f>IFERROR(__xludf.DUMMYFUNCTION("GOOGLETRANSLATE(A1550,""en"",""pt-br"")"),"discorda")</f>
        <v>discorda</v>
      </c>
      <c r="D1550" s="1" t="str">
        <f>IFERROR(__xludf.DUMMYFUNCTION("GOOGLETRANSLATE(B1550,""en"",""pt-br"")"),"negativo")</f>
        <v>negativo</v>
      </c>
    </row>
    <row r="1551" ht="15.75" customHeight="1">
      <c r="A1551" s="2" t="s">
        <v>1553</v>
      </c>
      <c r="B1551" s="2" t="s">
        <v>3</v>
      </c>
      <c r="C1551" s="1" t="str">
        <f>IFERROR(__xludf.DUMMYFUNCTION("GOOGLETRANSLATE(A1551,""en"",""pt-br"")"),"disallow")</f>
        <v>disallow</v>
      </c>
      <c r="D1551" s="1" t="str">
        <f>IFERROR(__xludf.DUMMYFUNCTION("GOOGLETRANSLATE(B1551,""en"",""pt-br"")"),"negativo")</f>
        <v>negativo</v>
      </c>
    </row>
    <row r="1552" ht="15.75" customHeight="1">
      <c r="A1552" s="2" t="s">
        <v>1554</v>
      </c>
      <c r="B1552" s="2" t="s">
        <v>3</v>
      </c>
      <c r="C1552" s="1" t="str">
        <f>IFERROR(__xludf.DUMMYFUNCTION("GOOGLETRANSLATE(A1552,""en"",""pt-br"")"),"decepcionamos")</f>
        <v>decepcionamos</v>
      </c>
      <c r="D1552" s="1" t="str">
        <f>IFERROR(__xludf.DUMMYFUNCTION("GOOGLETRANSLATE(B1552,""en"",""pt-br"")"),"negativo")</f>
        <v>negativo</v>
      </c>
    </row>
    <row r="1553" ht="15.75" customHeight="1">
      <c r="A1553" s="2" t="s">
        <v>1555</v>
      </c>
      <c r="B1553" s="2" t="s">
        <v>3</v>
      </c>
      <c r="C1553" s="1" t="str">
        <f>IFERROR(__xludf.DUMMYFUNCTION("GOOGLETRANSLATE(A1553,""en"",""pt-br"")"),"disapointing")</f>
        <v>disapointing</v>
      </c>
      <c r="D1553" s="1" t="str">
        <f>IFERROR(__xludf.DUMMYFUNCTION("GOOGLETRANSLATE(B1553,""en"",""pt-br"")"),"negativo")</f>
        <v>negativo</v>
      </c>
    </row>
    <row r="1554" ht="15.75" customHeight="1">
      <c r="A1554" s="2" t="s">
        <v>1556</v>
      </c>
      <c r="B1554" s="2" t="s">
        <v>3</v>
      </c>
      <c r="C1554" s="1" t="str">
        <f>IFERROR(__xludf.DUMMYFUNCTION("GOOGLETRANSLATE(A1554,""en"",""pt-br"")"),"disapointment")</f>
        <v>disapointment</v>
      </c>
      <c r="D1554" s="1" t="str">
        <f>IFERROR(__xludf.DUMMYFUNCTION("GOOGLETRANSLATE(B1554,""en"",""pt-br"")"),"negativo")</f>
        <v>negativo</v>
      </c>
    </row>
    <row r="1555" ht="15.75" customHeight="1">
      <c r="A1555" s="2" t="s">
        <v>1557</v>
      </c>
      <c r="B1555" s="2" t="s">
        <v>3</v>
      </c>
      <c r="C1555" s="1" t="str">
        <f>IFERROR(__xludf.DUMMYFUNCTION("GOOGLETRANSLATE(A1555,""en"",""pt-br"")"),"decepcionar")</f>
        <v>decepcionar</v>
      </c>
      <c r="D1555" s="1" t="str">
        <f>IFERROR(__xludf.DUMMYFUNCTION("GOOGLETRANSLATE(B1555,""en"",""pt-br"")"),"negativo")</f>
        <v>negativo</v>
      </c>
    </row>
    <row r="1556" ht="15.75" customHeight="1">
      <c r="A1556" s="2" t="s">
        <v>1558</v>
      </c>
      <c r="B1556" s="2" t="s">
        <v>3</v>
      </c>
      <c r="C1556" s="1" t="str">
        <f>IFERROR(__xludf.DUMMYFUNCTION("GOOGLETRANSLATE(A1556,""en"",""pt-br"")"),"desapontado")</f>
        <v>desapontado</v>
      </c>
      <c r="D1556" s="1" t="str">
        <f>IFERROR(__xludf.DUMMYFUNCTION("GOOGLETRANSLATE(B1556,""en"",""pt-br"")"),"negativo")</f>
        <v>negativo</v>
      </c>
    </row>
    <row r="1557" ht="15.75" customHeight="1">
      <c r="A1557" s="2" t="s">
        <v>1559</v>
      </c>
      <c r="B1557" s="2" t="s">
        <v>3</v>
      </c>
      <c r="C1557" s="1" t="str">
        <f>IFERROR(__xludf.DUMMYFUNCTION("GOOGLETRANSLATE(A1557,""en"",""pt-br"")"),"decepcionante")</f>
        <v>decepcionante</v>
      </c>
      <c r="D1557" s="1" t="str">
        <f>IFERROR(__xludf.DUMMYFUNCTION("GOOGLETRANSLATE(B1557,""en"",""pt-br"")"),"negativo")</f>
        <v>negativo</v>
      </c>
    </row>
    <row r="1558" ht="15.75" customHeight="1">
      <c r="A1558" s="2" t="s">
        <v>1560</v>
      </c>
      <c r="B1558" s="2" t="s">
        <v>3</v>
      </c>
      <c r="C1558" s="1" t="str">
        <f>IFERROR(__xludf.DUMMYFUNCTION("GOOGLETRANSLATE(A1558,""en"",""pt-br"")"),"decepcionantemente")</f>
        <v>decepcionantemente</v>
      </c>
      <c r="D1558" s="1" t="str">
        <f>IFERROR(__xludf.DUMMYFUNCTION("GOOGLETRANSLATE(B1558,""en"",""pt-br"")"),"negativo")</f>
        <v>negativo</v>
      </c>
    </row>
    <row r="1559" ht="15.75" customHeight="1">
      <c r="A1559" s="2" t="s">
        <v>1561</v>
      </c>
      <c r="B1559" s="2" t="s">
        <v>3</v>
      </c>
      <c r="C1559" s="1" t="str">
        <f>IFERROR(__xludf.DUMMYFUNCTION("GOOGLETRANSLATE(A1559,""en"",""pt-br"")"),"desapontamento")</f>
        <v>desapontamento</v>
      </c>
      <c r="D1559" s="1" t="str">
        <f>IFERROR(__xludf.DUMMYFUNCTION("GOOGLETRANSLATE(B1559,""en"",""pt-br"")"),"negativo")</f>
        <v>negativo</v>
      </c>
    </row>
    <row r="1560" ht="15.75" customHeight="1">
      <c r="A1560" s="2" t="s">
        <v>1562</v>
      </c>
      <c r="B1560" s="2" t="s">
        <v>3</v>
      </c>
      <c r="C1560" s="1" t="str">
        <f>IFERROR(__xludf.DUMMYFUNCTION("GOOGLETRANSLATE(A1560,""en"",""pt-br"")"),"decepções")</f>
        <v>decepções</v>
      </c>
      <c r="D1560" s="1" t="str">
        <f>IFERROR(__xludf.DUMMYFUNCTION("GOOGLETRANSLATE(B1560,""en"",""pt-br"")"),"negativo")</f>
        <v>negativo</v>
      </c>
    </row>
    <row r="1561" ht="15.75" customHeight="1">
      <c r="A1561" s="2" t="s">
        <v>1563</v>
      </c>
      <c r="B1561" s="2" t="s">
        <v>3</v>
      </c>
      <c r="C1561" s="1" t="str">
        <f>IFERROR(__xludf.DUMMYFUNCTION("GOOGLETRANSLATE(A1561,""en"",""pt-br"")"),"decepciona")</f>
        <v>decepciona</v>
      </c>
      <c r="D1561" s="1" t="str">
        <f>IFERROR(__xludf.DUMMYFUNCTION("GOOGLETRANSLATE(B1561,""en"",""pt-br"")"),"negativo")</f>
        <v>negativo</v>
      </c>
    </row>
    <row r="1562" ht="15.75" customHeight="1">
      <c r="A1562" s="2" t="s">
        <v>1564</v>
      </c>
      <c r="B1562" s="2" t="s">
        <v>3</v>
      </c>
      <c r="C1562" s="1" t="str">
        <f>IFERROR(__xludf.DUMMYFUNCTION("GOOGLETRANSLATE(A1562,""en"",""pt-br"")"),"desaprovação")</f>
        <v>desaprovação</v>
      </c>
      <c r="D1562" s="1" t="str">
        <f>IFERROR(__xludf.DUMMYFUNCTION("GOOGLETRANSLATE(B1562,""en"",""pt-br"")"),"negativo")</f>
        <v>negativo</v>
      </c>
    </row>
    <row r="1563" ht="15.75" customHeight="1">
      <c r="A1563" s="2" t="s">
        <v>1565</v>
      </c>
      <c r="B1563" s="2" t="s">
        <v>3</v>
      </c>
      <c r="C1563" s="1" t="str">
        <f>IFERROR(__xludf.DUMMYFUNCTION("GOOGLETRANSLATE(A1563,""en"",""pt-br"")"),"desaprovação")</f>
        <v>desaprovação</v>
      </c>
      <c r="D1563" s="1" t="str">
        <f>IFERROR(__xludf.DUMMYFUNCTION("GOOGLETRANSLATE(B1563,""en"",""pt-br"")"),"negativo")</f>
        <v>negativo</v>
      </c>
    </row>
    <row r="1564" ht="15.75" customHeight="1">
      <c r="A1564" s="2" t="s">
        <v>1566</v>
      </c>
      <c r="B1564" s="2" t="s">
        <v>3</v>
      </c>
      <c r="C1564" s="1" t="str">
        <f>IFERROR(__xludf.DUMMYFUNCTION("GOOGLETRANSLATE(A1564,""en"",""pt-br"")"),"desaprovam")</f>
        <v>desaprovam</v>
      </c>
      <c r="D1564" s="1" t="str">
        <f>IFERROR(__xludf.DUMMYFUNCTION("GOOGLETRANSLATE(B1564,""en"",""pt-br"")"),"negativo")</f>
        <v>negativo</v>
      </c>
    </row>
    <row r="1565" ht="15.75" customHeight="1">
      <c r="A1565" s="2" t="s">
        <v>1567</v>
      </c>
      <c r="B1565" s="2" t="s">
        <v>3</v>
      </c>
      <c r="C1565" s="1" t="str">
        <f>IFERROR(__xludf.DUMMYFUNCTION("GOOGLETRANSLATE(A1565,""en"",""pt-br"")"),"desaprovação")</f>
        <v>desaprovação</v>
      </c>
      <c r="D1565" s="1" t="str">
        <f>IFERROR(__xludf.DUMMYFUNCTION("GOOGLETRANSLATE(B1565,""en"",""pt-br"")"),"negativo")</f>
        <v>negativo</v>
      </c>
    </row>
    <row r="1566" ht="15.75" customHeight="1">
      <c r="A1566" s="2" t="s">
        <v>1568</v>
      </c>
      <c r="B1566" s="2" t="s">
        <v>3</v>
      </c>
      <c r="C1566" s="1" t="str">
        <f>IFERROR(__xludf.DUMMYFUNCTION("GOOGLETRANSLATE(A1566,""en"",""pt-br"")"),"desarmar")</f>
        <v>desarmar</v>
      </c>
      <c r="D1566" s="1" t="str">
        <f>IFERROR(__xludf.DUMMYFUNCTION("GOOGLETRANSLATE(B1566,""en"",""pt-br"")"),"negativo")</f>
        <v>negativo</v>
      </c>
    </row>
    <row r="1567" ht="15.75" customHeight="1">
      <c r="A1567" s="2" t="s">
        <v>1569</v>
      </c>
      <c r="B1567" s="2" t="s">
        <v>3</v>
      </c>
      <c r="C1567" s="1" t="str">
        <f>IFERROR(__xludf.DUMMYFUNCTION("GOOGLETRANSLATE(A1567,""en"",""pt-br"")"),"desordem")</f>
        <v>desordem</v>
      </c>
      <c r="D1567" s="1" t="str">
        <f>IFERROR(__xludf.DUMMYFUNCTION("GOOGLETRANSLATE(B1567,""en"",""pt-br"")"),"negativo")</f>
        <v>negativo</v>
      </c>
    </row>
    <row r="1568" ht="15.75" customHeight="1">
      <c r="A1568" s="2" t="s">
        <v>1570</v>
      </c>
      <c r="B1568" s="2" t="s">
        <v>3</v>
      </c>
      <c r="C1568" s="1" t="str">
        <f>IFERROR(__xludf.DUMMYFUNCTION("GOOGLETRANSLATE(A1568,""en"",""pt-br"")"),"desastre")</f>
        <v>desastre</v>
      </c>
      <c r="D1568" s="1" t="str">
        <f>IFERROR(__xludf.DUMMYFUNCTION("GOOGLETRANSLATE(B1568,""en"",""pt-br"")"),"negativo")</f>
        <v>negativo</v>
      </c>
    </row>
    <row r="1569" ht="15.75" customHeight="1">
      <c r="A1569" s="2" t="s">
        <v>1571</v>
      </c>
      <c r="B1569" s="2" t="s">
        <v>3</v>
      </c>
      <c r="C1569" s="1" t="str">
        <f>IFERROR(__xludf.DUMMYFUNCTION("GOOGLETRANSLATE(A1569,""en"",""pt-br"")"),"desastroso")</f>
        <v>desastroso</v>
      </c>
      <c r="D1569" s="1" t="str">
        <f>IFERROR(__xludf.DUMMYFUNCTION("GOOGLETRANSLATE(B1569,""en"",""pt-br"")"),"negativo")</f>
        <v>negativo</v>
      </c>
    </row>
    <row r="1570" ht="15.75" customHeight="1">
      <c r="A1570" s="2" t="s">
        <v>1572</v>
      </c>
      <c r="B1570" s="2" t="s">
        <v>3</v>
      </c>
      <c r="C1570" s="1" t="str">
        <f>IFERROR(__xludf.DUMMYFUNCTION("GOOGLETRANSLATE(A1570,""en"",""pt-br"")"),"desastroso")</f>
        <v>desastroso</v>
      </c>
      <c r="D1570" s="1" t="str">
        <f>IFERROR(__xludf.DUMMYFUNCTION("GOOGLETRANSLATE(B1570,""en"",""pt-br"")"),"negativo")</f>
        <v>negativo</v>
      </c>
    </row>
    <row r="1571" ht="15.75" customHeight="1">
      <c r="A1571" s="2" t="s">
        <v>1573</v>
      </c>
      <c r="B1571" s="2" t="s">
        <v>3</v>
      </c>
      <c r="C1571" s="1" t="str">
        <f>IFERROR(__xludf.DUMMYFUNCTION("GOOGLETRANSLATE(A1571,""en"",""pt-br"")"),"desastrosamente")</f>
        <v>desastrosamente</v>
      </c>
      <c r="D1571" s="1" t="str">
        <f>IFERROR(__xludf.DUMMYFUNCTION("GOOGLETRANSLATE(B1571,""en"",""pt-br"")"),"negativo")</f>
        <v>negativo</v>
      </c>
    </row>
    <row r="1572" ht="15.75" customHeight="1">
      <c r="A1572" s="2" t="s">
        <v>1574</v>
      </c>
      <c r="B1572" s="2" t="s">
        <v>3</v>
      </c>
      <c r="C1572" s="1" t="str">
        <f>IFERROR(__xludf.DUMMYFUNCTION("GOOGLETRANSLATE(A1572,""en"",""pt-br"")"),"de rejeição")</f>
        <v>de rejeição</v>
      </c>
      <c r="D1572" s="1" t="str">
        <f>IFERROR(__xludf.DUMMYFUNCTION("GOOGLETRANSLATE(B1572,""en"",""pt-br"")"),"negativo")</f>
        <v>negativo</v>
      </c>
    </row>
    <row r="1573" ht="15.75" customHeight="1">
      <c r="A1573" s="2" t="s">
        <v>1575</v>
      </c>
      <c r="B1573" s="2" t="s">
        <v>3</v>
      </c>
      <c r="C1573" s="1" t="str">
        <f>IFERROR(__xludf.DUMMYFUNCTION("GOOGLETRANSLATE(A1573,""en"",""pt-br"")"),"repúdio")</f>
        <v>repúdio</v>
      </c>
      <c r="D1573" s="1" t="str">
        <f>IFERROR(__xludf.DUMMYFUNCTION("GOOGLETRANSLATE(B1573,""en"",""pt-br"")"),"negativo")</f>
        <v>negativo</v>
      </c>
    </row>
    <row r="1574" ht="15.75" customHeight="1">
      <c r="A1574" s="2" t="s">
        <v>1576</v>
      </c>
      <c r="B1574" s="2" t="s">
        <v>3</v>
      </c>
      <c r="C1574" s="1" t="str">
        <f>IFERROR(__xludf.DUMMYFUNCTION("GOOGLETRANSLATE(A1574,""en"",""pt-br"")"),"descrença")</f>
        <v>descrença</v>
      </c>
      <c r="D1574" s="1" t="str">
        <f>IFERROR(__xludf.DUMMYFUNCTION("GOOGLETRANSLATE(B1574,""en"",""pt-br"")"),"negativo")</f>
        <v>negativo</v>
      </c>
    </row>
    <row r="1575" ht="15.75" customHeight="1">
      <c r="A1575" s="2" t="s">
        <v>1577</v>
      </c>
      <c r="B1575" s="2" t="s">
        <v>3</v>
      </c>
      <c r="C1575" s="1" t="str">
        <f>IFERROR(__xludf.DUMMYFUNCTION("GOOGLETRANSLATE(A1575,""en"",""pt-br"")"),"descrer")</f>
        <v>descrer</v>
      </c>
      <c r="D1575" s="1" t="str">
        <f>IFERROR(__xludf.DUMMYFUNCTION("GOOGLETRANSLATE(B1575,""en"",""pt-br"")"),"negativo")</f>
        <v>negativo</v>
      </c>
    </row>
    <row r="1576" ht="15.75" customHeight="1">
      <c r="A1576" s="2" t="s">
        <v>1578</v>
      </c>
      <c r="B1576" s="2" t="s">
        <v>3</v>
      </c>
      <c r="C1576" s="1" t="str">
        <f>IFERROR(__xludf.DUMMYFUNCTION("GOOGLETRANSLATE(A1576,""en"",""pt-br"")"),"descrente")</f>
        <v>descrente</v>
      </c>
      <c r="D1576" s="1" t="str">
        <f>IFERROR(__xludf.DUMMYFUNCTION("GOOGLETRANSLATE(B1576,""en"",""pt-br"")"),"negativo")</f>
        <v>negativo</v>
      </c>
    </row>
    <row r="1577" ht="15.75" customHeight="1">
      <c r="A1577" s="2" t="s">
        <v>1579</v>
      </c>
      <c r="B1577" s="2" t="s">
        <v>3</v>
      </c>
      <c r="C1577" s="1" t="str">
        <f>IFERROR(__xludf.DUMMYFUNCTION("GOOGLETRANSLATE(A1577,""en"",""pt-br"")"),"REJEITAM")</f>
        <v>REJEITAM</v>
      </c>
      <c r="D1577" s="1" t="str">
        <f>IFERROR(__xludf.DUMMYFUNCTION("GOOGLETRANSLATE(B1577,""en"",""pt-br"")"),"negativo")</f>
        <v>negativo</v>
      </c>
    </row>
    <row r="1578" ht="15.75" customHeight="1">
      <c r="A1578" s="2" t="s">
        <v>1580</v>
      </c>
      <c r="B1578" s="2" t="s">
        <v>3</v>
      </c>
      <c r="C1578" s="1" t="str">
        <f>IFERROR(__xludf.DUMMYFUNCTION("GOOGLETRANSLATE(A1578,""en"",""pt-br"")"),"discombobulate")</f>
        <v>discombobulate</v>
      </c>
      <c r="D1578" s="1" t="str">
        <f>IFERROR(__xludf.DUMMYFUNCTION("GOOGLETRANSLATE(B1578,""en"",""pt-br"")"),"negativo")</f>
        <v>negativo</v>
      </c>
    </row>
    <row r="1579" ht="15.75" customHeight="1">
      <c r="A1579" s="2" t="s">
        <v>1581</v>
      </c>
      <c r="B1579" s="2" t="s">
        <v>3</v>
      </c>
      <c r="C1579" s="1" t="str">
        <f>IFERROR(__xludf.DUMMYFUNCTION("GOOGLETRANSLATE(A1579,""en"",""pt-br"")"),"discomfit")</f>
        <v>discomfit</v>
      </c>
      <c r="D1579" s="1" t="str">
        <f>IFERROR(__xludf.DUMMYFUNCTION("GOOGLETRANSLATE(B1579,""en"",""pt-br"")"),"negativo")</f>
        <v>negativo</v>
      </c>
    </row>
    <row r="1580" ht="15.75" customHeight="1">
      <c r="A1580" s="2" t="s">
        <v>1582</v>
      </c>
      <c r="B1580" s="2" t="s">
        <v>3</v>
      </c>
      <c r="C1580" s="1" t="str">
        <f>IFERROR(__xludf.DUMMYFUNCTION("GOOGLETRANSLATE(A1580,""en"",""pt-br"")"),"discomfititure")</f>
        <v>discomfititure</v>
      </c>
      <c r="D1580" s="1" t="str">
        <f>IFERROR(__xludf.DUMMYFUNCTION("GOOGLETRANSLATE(B1580,""en"",""pt-br"")"),"negativo")</f>
        <v>negativo</v>
      </c>
    </row>
    <row r="1581" ht="15.75" customHeight="1">
      <c r="A1581" s="2" t="s">
        <v>1583</v>
      </c>
      <c r="B1581" s="2" t="s">
        <v>3</v>
      </c>
      <c r="C1581" s="1" t="str">
        <f>IFERROR(__xludf.DUMMYFUNCTION("GOOGLETRANSLATE(A1581,""en"",""pt-br"")"),"desconforto")</f>
        <v>desconforto</v>
      </c>
      <c r="D1581" s="1" t="str">
        <f>IFERROR(__xludf.DUMMYFUNCTION("GOOGLETRANSLATE(B1581,""en"",""pt-br"")"),"negativo")</f>
        <v>negativo</v>
      </c>
    </row>
    <row r="1582" ht="15.75" customHeight="1">
      <c r="A1582" s="2" t="s">
        <v>1584</v>
      </c>
      <c r="B1582" s="2" t="s">
        <v>3</v>
      </c>
      <c r="C1582" s="1" t="str">
        <f>IFERROR(__xludf.DUMMYFUNCTION("GOOGLETRANSLATE(A1582,""en"",""pt-br"")"),"descompor")</f>
        <v>descompor</v>
      </c>
      <c r="D1582" s="1" t="str">
        <f>IFERROR(__xludf.DUMMYFUNCTION("GOOGLETRANSLATE(B1582,""en"",""pt-br"")"),"negativo")</f>
        <v>negativo</v>
      </c>
    </row>
    <row r="1583" ht="15.75" customHeight="1">
      <c r="A1583" s="2" t="s">
        <v>1585</v>
      </c>
      <c r="B1583" s="2" t="s">
        <v>3</v>
      </c>
      <c r="C1583" s="1" t="str">
        <f>IFERROR(__xludf.DUMMYFUNCTION("GOOGLETRANSLATE(A1583,""en"",""pt-br"")"),"desconcertar")</f>
        <v>desconcertar</v>
      </c>
      <c r="D1583" s="1" t="str">
        <f>IFERROR(__xludf.DUMMYFUNCTION("GOOGLETRANSLATE(B1583,""en"",""pt-br"")"),"negativo")</f>
        <v>negativo</v>
      </c>
    </row>
    <row r="1584" ht="15.75" customHeight="1">
      <c r="A1584" s="2" t="s">
        <v>1586</v>
      </c>
      <c r="B1584" s="2" t="s">
        <v>3</v>
      </c>
      <c r="C1584" s="1" t="str">
        <f>IFERROR(__xludf.DUMMYFUNCTION("GOOGLETRANSLATE(A1584,""en"",""pt-br"")"),"desconcertado")</f>
        <v>desconcertado</v>
      </c>
      <c r="D1584" s="1" t="str">
        <f>IFERROR(__xludf.DUMMYFUNCTION("GOOGLETRANSLATE(B1584,""en"",""pt-br"")"),"negativo")</f>
        <v>negativo</v>
      </c>
    </row>
    <row r="1585" ht="15.75" customHeight="1">
      <c r="A1585" s="2" t="s">
        <v>1587</v>
      </c>
      <c r="B1585" s="2" t="s">
        <v>3</v>
      </c>
      <c r="C1585" s="1" t="str">
        <f>IFERROR(__xludf.DUMMYFUNCTION("GOOGLETRANSLATE(A1585,""en"",""pt-br"")"),"desconcertante")</f>
        <v>desconcertante</v>
      </c>
      <c r="D1585" s="1" t="str">
        <f>IFERROR(__xludf.DUMMYFUNCTION("GOOGLETRANSLATE(B1585,""en"",""pt-br"")"),"negativo")</f>
        <v>negativo</v>
      </c>
    </row>
    <row r="1586" ht="15.75" customHeight="1">
      <c r="A1586" s="2" t="s">
        <v>1588</v>
      </c>
      <c r="B1586" s="2" t="s">
        <v>3</v>
      </c>
      <c r="C1586" s="1" t="str">
        <f>IFERROR(__xludf.DUMMYFUNCTION("GOOGLETRANSLATE(A1586,""en"",""pt-br"")"),"desconcertantemente")</f>
        <v>desconcertantemente</v>
      </c>
      <c r="D1586" s="1" t="str">
        <f>IFERROR(__xludf.DUMMYFUNCTION("GOOGLETRANSLATE(B1586,""en"",""pt-br"")"),"negativo")</f>
        <v>negativo</v>
      </c>
    </row>
    <row r="1587" ht="15.75" customHeight="1">
      <c r="A1587" s="2" t="s">
        <v>1589</v>
      </c>
      <c r="B1587" s="2" t="s">
        <v>3</v>
      </c>
      <c r="C1587" s="1" t="str">
        <f>IFERROR(__xludf.DUMMYFUNCTION("GOOGLETRANSLATE(A1587,""en"",""pt-br"")"),"desconsolado")</f>
        <v>desconsolado</v>
      </c>
      <c r="D1587" s="1" t="str">
        <f>IFERROR(__xludf.DUMMYFUNCTION("GOOGLETRANSLATE(B1587,""en"",""pt-br"")"),"negativo")</f>
        <v>negativo</v>
      </c>
    </row>
    <row r="1588" ht="15.75" customHeight="1">
      <c r="A1588" s="2" t="s">
        <v>1590</v>
      </c>
      <c r="B1588" s="2" t="s">
        <v>3</v>
      </c>
      <c r="C1588" s="1" t="str">
        <f>IFERROR(__xludf.DUMMYFUNCTION("GOOGLETRANSLATE(A1588,""en"",""pt-br"")"),"desconsoladamente")</f>
        <v>desconsoladamente</v>
      </c>
      <c r="D1588" s="1" t="str">
        <f>IFERROR(__xludf.DUMMYFUNCTION("GOOGLETRANSLATE(B1588,""en"",""pt-br"")"),"negativo")</f>
        <v>negativo</v>
      </c>
    </row>
    <row r="1589" ht="15.75" customHeight="1">
      <c r="A1589" s="2" t="s">
        <v>1591</v>
      </c>
      <c r="B1589" s="2" t="s">
        <v>3</v>
      </c>
      <c r="C1589" s="1" t="str">
        <f>IFERROR(__xludf.DUMMYFUNCTION("GOOGLETRANSLATE(A1589,""en"",""pt-br"")"),"desconsolo")</f>
        <v>desconsolo</v>
      </c>
      <c r="D1589" s="1" t="str">
        <f>IFERROR(__xludf.DUMMYFUNCTION("GOOGLETRANSLATE(B1589,""en"",""pt-br"")"),"negativo")</f>
        <v>negativo</v>
      </c>
    </row>
    <row r="1590" ht="15.75" customHeight="1">
      <c r="A1590" s="2" t="s">
        <v>1592</v>
      </c>
      <c r="B1590" s="2" t="s">
        <v>3</v>
      </c>
      <c r="C1590" s="1" t="str">
        <f>IFERROR(__xludf.DUMMYFUNCTION("GOOGLETRANSLATE(A1590,""en"",""pt-br"")"),"descontentamento")</f>
        <v>descontentamento</v>
      </c>
      <c r="D1590" s="1" t="str">
        <f>IFERROR(__xludf.DUMMYFUNCTION("GOOGLETRANSLATE(B1590,""en"",""pt-br"")"),"negativo")</f>
        <v>negativo</v>
      </c>
    </row>
    <row r="1591" ht="15.75" customHeight="1">
      <c r="A1591" s="2" t="s">
        <v>1593</v>
      </c>
      <c r="B1591" s="2" t="s">
        <v>3</v>
      </c>
      <c r="C1591" s="1" t="str">
        <f>IFERROR(__xludf.DUMMYFUNCTION("GOOGLETRANSLATE(A1591,""en"",""pt-br"")"),"descontente")</f>
        <v>descontente</v>
      </c>
      <c r="D1591" s="1" t="str">
        <f>IFERROR(__xludf.DUMMYFUNCTION("GOOGLETRANSLATE(B1591,""en"",""pt-br"")"),"negativo")</f>
        <v>negativo</v>
      </c>
    </row>
    <row r="1592" ht="15.75" customHeight="1">
      <c r="A1592" s="2" t="s">
        <v>1594</v>
      </c>
      <c r="B1592" s="2" t="s">
        <v>3</v>
      </c>
      <c r="C1592" s="1" t="str">
        <f>IFERROR(__xludf.DUMMYFUNCTION("GOOGLETRANSLATE(A1592,""en"",""pt-br"")"),"insatisfeita")</f>
        <v>insatisfeita</v>
      </c>
      <c r="D1592" s="1" t="str">
        <f>IFERROR(__xludf.DUMMYFUNCTION("GOOGLETRANSLATE(B1592,""en"",""pt-br"")"),"negativo")</f>
        <v>negativo</v>
      </c>
    </row>
    <row r="1593" ht="15.75" customHeight="1">
      <c r="A1593" s="2" t="s">
        <v>1595</v>
      </c>
      <c r="B1593" s="2" t="s">
        <v>3</v>
      </c>
      <c r="C1593" s="1" t="str">
        <f>IFERROR(__xludf.DUMMYFUNCTION("GOOGLETRANSLATE(A1593,""en"",""pt-br"")"),"interrompido")</f>
        <v>interrompido</v>
      </c>
      <c r="D1593" s="1" t="str">
        <f>IFERROR(__xludf.DUMMYFUNCTION("GOOGLETRANSLATE(B1593,""en"",""pt-br"")"),"negativo")</f>
        <v>negativo</v>
      </c>
    </row>
    <row r="1594" ht="15.75" customHeight="1">
      <c r="A1594" s="2" t="s">
        <v>1596</v>
      </c>
      <c r="B1594" s="2" t="s">
        <v>3</v>
      </c>
      <c r="C1594" s="1" t="str">
        <f>IFERROR(__xludf.DUMMYFUNCTION("GOOGLETRANSLATE(A1594,""en"",""pt-br"")"),"descontinuidade")</f>
        <v>descontinuidade</v>
      </c>
      <c r="D1594" s="1" t="str">
        <f>IFERROR(__xludf.DUMMYFUNCTION("GOOGLETRANSLATE(B1594,""en"",""pt-br"")"),"negativo")</f>
        <v>negativo</v>
      </c>
    </row>
    <row r="1595" ht="15.75" customHeight="1">
      <c r="A1595" s="2" t="s">
        <v>1597</v>
      </c>
      <c r="B1595" s="2" t="s">
        <v>3</v>
      </c>
      <c r="C1595" s="1" t="str">
        <f>IFERROR(__xludf.DUMMYFUNCTION("GOOGLETRANSLATE(A1595,""en"",""pt-br"")"),"descontínuo")</f>
        <v>descontínuo</v>
      </c>
      <c r="D1595" s="1" t="str">
        <f>IFERROR(__xludf.DUMMYFUNCTION("GOOGLETRANSLATE(B1595,""en"",""pt-br"")"),"negativo")</f>
        <v>negativo</v>
      </c>
    </row>
    <row r="1596" ht="15.75" customHeight="1">
      <c r="A1596" s="2" t="s">
        <v>1598</v>
      </c>
      <c r="B1596" s="2" t="s">
        <v>3</v>
      </c>
      <c r="C1596" s="1" t="str">
        <f>IFERROR(__xludf.DUMMYFUNCTION("GOOGLETRANSLATE(A1596,""en"",""pt-br"")"),"discórdia")</f>
        <v>discórdia</v>
      </c>
      <c r="D1596" s="1" t="str">
        <f>IFERROR(__xludf.DUMMYFUNCTION("GOOGLETRANSLATE(B1596,""en"",""pt-br"")"),"negativo")</f>
        <v>negativo</v>
      </c>
    </row>
    <row r="1597" ht="15.75" customHeight="1">
      <c r="A1597" s="2" t="s">
        <v>1599</v>
      </c>
      <c r="B1597" s="2" t="s">
        <v>3</v>
      </c>
      <c r="C1597" s="1" t="str">
        <f>IFERROR(__xludf.DUMMYFUNCTION("GOOGLETRANSLATE(A1597,""en"",""pt-br"")"),"discordância")</f>
        <v>discordância</v>
      </c>
      <c r="D1597" s="1" t="str">
        <f>IFERROR(__xludf.DUMMYFUNCTION("GOOGLETRANSLATE(B1597,""en"",""pt-br"")"),"negativo")</f>
        <v>negativo</v>
      </c>
    </row>
    <row r="1598" ht="15.75" customHeight="1">
      <c r="A1598" s="2" t="s">
        <v>1600</v>
      </c>
      <c r="B1598" s="2" t="s">
        <v>3</v>
      </c>
      <c r="C1598" s="1" t="str">
        <f>IFERROR(__xludf.DUMMYFUNCTION("GOOGLETRANSLATE(A1598,""en"",""pt-br"")"),"discordante")</f>
        <v>discordante</v>
      </c>
      <c r="D1598" s="1" t="str">
        <f>IFERROR(__xludf.DUMMYFUNCTION("GOOGLETRANSLATE(B1598,""en"",""pt-br"")"),"negativo")</f>
        <v>negativo</v>
      </c>
    </row>
    <row r="1599" ht="15.75" customHeight="1">
      <c r="A1599" s="2" t="s">
        <v>1601</v>
      </c>
      <c r="B1599" s="2" t="s">
        <v>3</v>
      </c>
      <c r="C1599" s="1" t="str">
        <f>IFERROR(__xludf.DUMMYFUNCTION("GOOGLETRANSLATE(A1599,""en"",""pt-br"")"),"desaprovar")</f>
        <v>desaprovar</v>
      </c>
      <c r="D1599" s="1" t="str">
        <f>IFERROR(__xludf.DUMMYFUNCTION("GOOGLETRANSLATE(B1599,""en"",""pt-br"")"),"negativo")</f>
        <v>negativo</v>
      </c>
    </row>
    <row r="1600" ht="15.75" customHeight="1">
      <c r="A1600" s="2" t="s">
        <v>1602</v>
      </c>
      <c r="B1600" s="2" t="s">
        <v>3</v>
      </c>
      <c r="C1600" s="1" t="str">
        <f>IFERROR(__xludf.DUMMYFUNCTION("GOOGLETRANSLATE(A1600,""en"",""pt-br"")"),"desencorajar")</f>
        <v>desencorajar</v>
      </c>
      <c r="D1600" s="1" t="str">
        <f>IFERROR(__xludf.DUMMYFUNCTION("GOOGLETRANSLATE(B1600,""en"",""pt-br"")"),"negativo")</f>
        <v>negativo</v>
      </c>
    </row>
    <row r="1601" ht="15.75" customHeight="1">
      <c r="A1601" s="2" t="s">
        <v>1603</v>
      </c>
      <c r="B1601" s="2" t="s">
        <v>3</v>
      </c>
      <c r="C1601" s="1" t="str">
        <f>IFERROR(__xludf.DUMMYFUNCTION("GOOGLETRANSLATE(A1601,""en"",""pt-br"")"),"desânimo")</f>
        <v>desânimo</v>
      </c>
      <c r="D1601" s="1" t="str">
        <f>IFERROR(__xludf.DUMMYFUNCTION("GOOGLETRANSLATE(B1601,""en"",""pt-br"")"),"negativo")</f>
        <v>negativo</v>
      </c>
    </row>
    <row r="1602" ht="15.75" customHeight="1">
      <c r="A1602" s="2" t="s">
        <v>1604</v>
      </c>
      <c r="B1602" s="2" t="s">
        <v>3</v>
      </c>
      <c r="C1602" s="1" t="str">
        <f>IFERROR(__xludf.DUMMYFUNCTION("GOOGLETRANSLATE(A1602,""en"",""pt-br"")"),"desencorajando")</f>
        <v>desencorajando</v>
      </c>
      <c r="D1602" s="1" t="str">
        <f>IFERROR(__xludf.DUMMYFUNCTION("GOOGLETRANSLATE(B1602,""en"",""pt-br"")"),"negativo")</f>
        <v>negativo</v>
      </c>
    </row>
    <row r="1603" ht="15.75" customHeight="1">
      <c r="A1603" s="2" t="s">
        <v>1605</v>
      </c>
      <c r="B1603" s="2" t="s">
        <v>3</v>
      </c>
      <c r="C1603" s="1" t="str">
        <f>IFERROR(__xludf.DUMMYFUNCTION("GOOGLETRANSLATE(A1603,""en"",""pt-br"")"),"desencorajadoramente")</f>
        <v>desencorajadoramente</v>
      </c>
      <c r="D1603" s="1" t="str">
        <f>IFERROR(__xludf.DUMMYFUNCTION("GOOGLETRANSLATE(B1603,""en"",""pt-br"")"),"negativo")</f>
        <v>negativo</v>
      </c>
    </row>
    <row r="1604" ht="15.75" customHeight="1">
      <c r="A1604" s="2" t="s">
        <v>1606</v>
      </c>
      <c r="B1604" s="2" t="s">
        <v>3</v>
      </c>
      <c r="C1604" s="1" t="str">
        <f>IFERROR(__xludf.DUMMYFUNCTION("GOOGLETRANSLATE(A1604,""en"",""pt-br"")"),"descortês")</f>
        <v>descortês</v>
      </c>
      <c r="D1604" s="1" t="str">
        <f>IFERROR(__xludf.DUMMYFUNCTION("GOOGLETRANSLATE(B1604,""en"",""pt-br"")"),"negativo")</f>
        <v>negativo</v>
      </c>
    </row>
    <row r="1605" ht="15.75" customHeight="1">
      <c r="A1605" s="2" t="s">
        <v>1607</v>
      </c>
      <c r="B1605" s="2" t="s">
        <v>3</v>
      </c>
      <c r="C1605" s="1" t="str">
        <f>IFERROR(__xludf.DUMMYFUNCTION("GOOGLETRANSLATE(A1605,""en"",""pt-br"")"),"discourteously")</f>
        <v>discourteously</v>
      </c>
      <c r="D1605" s="1" t="str">
        <f>IFERROR(__xludf.DUMMYFUNCTION("GOOGLETRANSLATE(B1605,""en"",""pt-br"")"),"negativo")</f>
        <v>negativo</v>
      </c>
    </row>
    <row r="1606" ht="15.75" customHeight="1">
      <c r="A1606" s="2" t="s">
        <v>1608</v>
      </c>
      <c r="B1606" s="2" t="s">
        <v>3</v>
      </c>
      <c r="C1606" s="1" t="str">
        <f>IFERROR(__xludf.DUMMYFUNCTION("GOOGLETRANSLATE(A1606,""en"",""pt-br"")"),"discoutinous")</f>
        <v>discoutinous</v>
      </c>
      <c r="D1606" s="1" t="str">
        <f>IFERROR(__xludf.DUMMYFUNCTION("GOOGLETRANSLATE(B1606,""en"",""pt-br"")"),"negativo")</f>
        <v>negativo</v>
      </c>
    </row>
    <row r="1607" ht="15.75" customHeight="1">
      <c r="A1607" s="2" t="s">
        <v>1609</v>
      </c>
      <c r="B1607" s="2" t="s">
        <v>3</v>
      </c>
      <c r="C1607" s="1" t="str">
        <f>IFERROR(__xludf.DUMMYFUNCTION("GOOGLETRANSLATE(A1607,""en"",""pt-br"")"),"desacreditar")</f>
        <v>desacreditar</v>
      </c>
      <c r="D1607" s="1" t="str">
        <f>IFERROR(__xludf.DUMMYFUNCTION("GOOGLETRANSLATE(B1607,""en"",""pt-br"")"),"negativo")</f>
        <v>negativo</v>
      </c>
    </row>
    <row r="1608" ht="15.75" customHeight="1">
      <c r="A1608" s="2" t="s">
        <v>1610</v>
      </c>
      <c r="B1608" s="2" t="s">
        <v>3</v>
      </c>
      <c r="C1608" s="1" t="str">
        <f>IFERROR(__xludf.DUMMYFUNCTION("GOOGLETRANSLATE(A1608,""en"",""pt-br"")"),"discrepante")</f>
        <v>discrepante</v>
      </c>
      <c r="D1608" s="1" t="str">
        <f>IFERROR(__xludf.DUMMYFUNCTION("GOOGLETRANSLATE(B1608,""en"",""pt-br"")"),"negativo")</f>
        <v>negativo</v>
      </c>
    </row>
    <row r="1609" ht="15.75" customHeight="1">
      <c r="A1609" s="2" t="s">
        <v>1611</v>
      </c>
      <c r="B1609" s="2" t="s">
        <v>3</v>
      </c>
      <c r="C1609" s="1" t="str">
        <f>IFERROR(__xludf.DUMMYFUNCTION("GOOGLETRANSLATE(A1609,""en"",""pt-br"")"),"discriminar")</f>
        <v>discriminar</v>
      </c>
      <c r="D1609" s="1" t="str">
        <f>IFERROR(__xludf.DUMMYFUNCTION("GOOGLETRANSLATE(B1609,""en"",""pt-br"")"),"negativo")</f>
        <v>negativo</v>
      </c>
    </row>
    <row r="1610" ht="15.75" customHeight="1">
      <c r="A1610" s="2" t="s">
        <v>1612</v>
      </c>
      <c r="B1610" s="2" t="s">
        <v>3</v>
      </c>
      <c r="C1610" s="1" t="str">
        <f>IFERROR(__xludf.DUMMYFUNCTION("GOOGLETRANSLATE(A1610,""en"",""pt-br"")"),"discriminação")</f>
        <v>discriminação</v>
      </c>
      <c r="D1610" s="1" t="str">
        <f>IFERROR(__xludf.DUMMYFUNCTION("GOOGLETRANSLATE(B1610,""en"",""pt-br"")"),"negativo")</f>
        <v>negativo</v>
      </c>
    </row>
    <row r="1611" ht="15.75" customHeight="1">
      <c r="A1611" s="2" t="s">
        <v>1613</v>
      </c>
      <c r="B1611" s="2" t="s">
        <v>3</v>
      </c>
      <c r="C1611" s="1" t="str">
        <f>IFERROR(__xludf.DUMMYFUNCTION("GOOGLETRANSLATE(A1611,""en"",""pt-br"")"),"discriminatória")</f>
        <v>discriminatória</v>
      </c>
      <c r="D1611" s="1" t="str">
        <f>IFERROR(__xludf.DUMMYFUNCTION("GOOGLETRANSLATE(B1611,""en"",""pt-br"")"),"negativo")</f>
        <v>negativo</v>
      </c>
    </row>
    <row r="1612" ht="15.75" customHeight="1">
      <c r="A1612" s="2" t="s">
        <v>1614</v>
      </c>
      <c r="B1612" s="2" t="s">
        <v>3</v>
      </c>
      <c r="C1612" s="1" t="str">
        <f>IFERROR(__xludf.DUMMYFUNCTION("GOOGLETRANSLATE(A1612,""en"",""pt-br"")"),"desdém")</f>
        <v>desdém</v>
      </c>
      <c r="D1612" s="1" t="str">
        <f>IFERROR(__xludf.DUMMYFUNCTION("GOOGLETRANSLATE(B1612,""en"",""pt-br"")"),"negativo")</f>
        <v>negativo</v>
      </c>
    </row>
    <row r="1613" ht="15.75" customHeight="1">
      <c r="A1613" s="2" t="s">
        <v>1615</v>
      </c>
      <c r="B1613" s="2" t="s">
        <v>3</v>
      </c>
      <c r="C1613" s="1" t="str">
        <f>IFERROR(__xludf.DUMMYFUNCTION("GOOGLETRANSLATE(A1613,""en"",""pt-br"")"),"desdenhado")</f>
        <v>desdenhado</v>
      </c>
      <c r="D1613" s="1" t="str">
        <f>IFERROR(__xludf.DUMMYFUNCTION("GOOGLETRANSLATE(B1613,""en"",""pt-br"")"),"negativo")</f>
        <v>negativo</v>
      </c>
    </row>
    <row r="1614" ht="15.75" customHeight="1">
      <c r="A1614" s="2" t="s">
        <v>1616</v>
      </c>
      <c r="B1614" s="2" t="s">
        <v>3</v>
      </c>
      <c r="C1614" s="1" t="str">
        <f>IFERROR(__xludf.DUMMYFUNCTION("GOOGLETRANSLATE(A1614,""en"",""pt-br"")"),"desdenhoso")</f>
        <v>desdenhoso</v>
      </c>
      <c r="D1614" s="1" t="str">
        <f>IFERROR(__xludf.DUMMYFUNCTION("GOOGLETRANSLATE(B1614,""en"",""pt-br"")"),"negativo")</f>
        <v>negativo</v>
      </c>
    </row>
    <row r="1615" ht="15.75" customHeight="1">
      <c r="A1615" s="2" t="s">
        <v>1617</v>
      </c>
      <c r="B1615" s="2" t="s">
        <v>3</v>
      </c>
      <c r="C1615" s="1" t="str">
        <f>IFERROR(__xludf.DUMMYFUNCTION("GOOGLETRANSLATE(A1615,""en"",""pt-br"")"),"desdenhosamente")</f>
        <v>desdenhosamente</v>
      </c>
      <c r="D1615" s="1" t="str">
        <f>IFERROR(__xludf.DUMMYFUNCTION("GOOGLETRANSLATE(B1615,""en"",""pt-br"")"),"negativo")</f>
        <v>negativo</v>
      </c>
    </row>
    <row r="1616" ht="15.75" customHeight="1">
      <c r="A1616" s="2" t="s">
        <v>1618</v>
      </c>
      <c r="B1616" s="2" t="s">
        <v>3</v>
      </c>
      <c r="C1616" s="1" t="str">
        <f>IFERROR(__xludf.DUMMYFUNCTION("GOOGLETRANSLATE(A1616,""en"",""pt-br"")"),"desfavor")</f>
        <v>desfavor</v>
      </c>
      <c r="D1616" s="1" t="str">
        <f>IFERROR(__xludf.DUMMYFUNCTION("GOOGLETRANSLATE(B1616,""en"",""pt-br"")"),"negativo")</f>
        <v>negativo</v>
      </c>
    </row>
    <row r="1617" ht="15.75" customHeight="1">
      <c r="A1617" s="2" t="s">
        <v>1619</v>
      </c>
      <c r="B1617" s="2" t="s">
        <v>3</v>
      </c>
      <c r="C1617" s="1" t="str">
        <f>IFERROR(__xludf.DUMMYFUNCTION("GOOGLETRANSLATE(A1617,""en"",""pt-br"")"),"desgraça")</f>
        <v>desgraça</v>
      </c>
      <c r="D1617" s="1" t="str">
        <f>IFERROR(__xludf.DUMMYFUNCTION("GOOGLETRANSLATE(B1617,""en"",""pt-br"")"),"negativo")</f>
        <v>negativo</v>
      </c>
    </row>
    <row r="1618" ht="15.75" customHeight="1">
      <c r="A1618" s="2" t="s">
        <v>1620</v>
      </c>
      <c r="B1618" s="2" t="s">
        <v>3</v>
      </c>
      <c r="C1618" s="1" t="str">
        <f>IFERROR(__xludf.DUMMYFUNCTION("GOOGLETRANSLATE(A1618,""en"",""pt-br"")"),"desonrado")</f>
        <v>desonrado</v>
      </c>
      <c r="D1618" s="1" t="str">
        <f>IFERROR(__xludf.DUMMYFUNCTION("GOOGLETRANSLATE(B1618,""en"",""pt-br"")"),"negativo")</f>
        <v>negativo</v>
      </c>
    </row>
    <row r="1619" ht="15.75" customHeight="1">
      <c r="A1619" s="2" t="s">
        <v>1621</v>
      </c>
      <c r="B1619" s="2" t="s">
        <v>3</v>
      </c>
      <c r="C1619" s="1" t="str">
        <f>IFERROR(__xludf.DUMMYFUNCTION("GOOGLETRANSLATE(A1619,""en"",""pt-br"")"),"vergonhoso")</f>
        <v>vergonhoso</v>
      </c>
      <c r="D1619" s="1" t="str">
        <f>IFERROR(__xludf.DUMMYFUNCTION("GOOGLETRANSLATE(B1619,""en"",""pt-br"")"),"negativo")</f>
        <v>negativo</v>
      </c>
    </row>
    <row r="1620" ht="15.75" customHeight="1">
      <c r="A1620" s="2" t="s">
        <v>1622</v>
      </c>
      <c r="B1620" s="2" t="s">
        <v>3</v>
      </c>
      <c r="C1620" s="1" t="str">
        <f>IFERROR(__xludf.DUMMYFUNCTION("GOOGLETRANSLATE(A1620,""en"",""pt-br"")"),"desgraçadamente")</f>
        <v>desgraçadamente</v>
      </c>
      <c r="D1620" s="1" t="str">
        <f>IFERROR(__xludf.DUMMYFUNCTION("GOOGLETRANSLATE(B1620,""en"",""pt-br"")"),"negativo")</f>
        <v>negativo</v>
      </c>
    </row>
    <row r="1621" ht="15.75" customHeight="1">
      <c r="A1621" s="2" t="s">
        <v>1623</v>
      </c>
      <c r="B1621" s="2" t="s">
        <v>3</v>
      </c>
      <c r="C1621" s="1" t="str">
        <f>IFERROR(__xludf.DUMMYFUNCTION("GOOGLETRANSLATE(A1621,""en"",""pt-br"")"),"enfadar")</f>
        <v>enfadar</v>
      </c>
      <c r="D1621" s="1" t="str">
        <f>IFERROR(__xludf.DUMMYFUNCTION("GOOGLETRANSLATE(B1621,""en"",""pt-br"")"),"negativo")</f>
        <v>negativo</v>
      </c>
    </row>
    <row r="1622" ht="15.75" customHeight="1">
      <c r="A1622" s="2" t="s">
        <v>1624</v>
      </c>
      <c r="B1622" s="2" t="s">
        <v>3</v>
      </c>
      <c r="C1622" s="1" t="str">
        <f>IFERROR(__xludf.DUMMYFUNCTION("GOOGLETRANSLATE(A1622,""en"",""pt-br"")"),"desapontado")</f>
        <v>desapontado</v>
      </c>
      <c r="D1622" s="1" t="str">
        <f>IFERROR(__xludf.DUMMYFUNCTION("GOOGLETRANSLATE(B1622,""en"",""pt-br"")"),"negativo")</f>
        <v>negativo</v>
      </c>
    </row>
    <row r="1623" ht="15.75" customHeight="1">
      <c r="A1623" s="2" t="s">
        <v>1625</v>
      </c>
      <c r="B1623" s="2" t="s">
        <v>3</v>
      </c>
      <c r="C1623" s="1" t="str">
        <f>IFERROR(__xludf.DUMMYFUNCTION("GOOGLETRANSLATE(A1623,""en"",""pt-br"")"),"desgosto")</f>
        <v>desgosto</v>
      </c>
      <c r="D1623" s="1" t="str">
        <f>IFERROR(__xludf.DUMMYFUNCTION("GOOGLETRANSLATE(B1623,""en"",""pt-br"")"),"negativo")</f>
        <v>negativo</v>
      </c>
    </row>
    <row r="1624" ht="15.75" customHeight="1">
      <c r="A1624" s="2" t="s">
        <v>1626</v>
      </c>
      <c r="B1624" s="2" t="s">
        <v>3</v>
      </c>
      <c r="C1624" s="1" t="str">
        <f>IFERROR(__xludf.DUMMYFUNCTION("GOOGLETRANSLATE(A1624,""en"",""pt-br"")"),"com nojo")</f>
        <v>com nojo</v>
      </c>
      <c r="D1624" s="1" t="str">
        <f>IFERROR(__xludf.DUMMYFUNCTION("GOOGLETRANSLATE(B1624,""en"",""pt-br"")"),"negativo")</f>
        <v>negativo</v>
      </c>
    </row>
    <row r="1625" ht="15.75" customHeight="1">
      <c r="A1625" s="2" t="s">
        <v>1627</v>
      </c>
      <c r="B1625" s="2" t="s">
        <v>3</v>
      </c>
      <c r="C1625" s="1" t="str">
        <f>IFERROR(__xludf.DUMMYFUNCTION("GOOGLETRANSLATE(A1625,""en"",""pt-br"")"),"desgostoso")</f>
        <v>desgostoso</v>
      </c>
      <c r="D1625" s="1" t="str">
        <f>IFERROR(__xludf.DUMMYFUNCTION("GOOGLETRANSLATE(B1625,""en"",""pt-br"")"),"negativo")</f>
        <v>negativo</v>
      </c>
    </row>
    <row r="1626" ht="15.75" customHeight="1">
      <c r="A1626" s="2" t="s">
        <v>1628</v>
      </c>
      <c r="B1626" s="2" t="s">
        <v>3</v>
      </c>
      <c r="C1626" s="1" t="str">
        <f>IFERROR(__xludf.DUMMYFUNCTION("GOOGLETRANSLATE(A1626,""en"",""pt-br"")"),"desgostoso")</f>
        <v>desgostoso</v>
      </c>
      <c r="D1626" s="1" t="str">
        <f>IFERROR(__xludf.DUMMYFUNCTION("GOOGLETRANSLATE(B1626,""en"",""pt-br"")"),"negativo")</f>
        <v>negativo</v>
      </c>
    </row>
    <row r="1627" ht="15.75" customHeight="1">
      <c r="A1627" s="2" t="s">
        <v>1629</v>
      </c>
      <c r="B1627" s="2" t="s">
        <v>3</v>
      </c>
      <c r="C1627" s="1" t="str">
        <f>IFERROR(__xludf.DUMMYFUNCTION("GOOGLETRANSLATE(A1627,""en"",""pt-br"")"),"disgustfully")</f>
        <v>disgustfully</v>
      </c>
      <c r="D1627" s="1" t="str">
        <f>IFERROR(__xludf.DUMMYFUNCTION("GOOGLETRANSLATE(B1627,""en"",""pt-br"")"),"negativo")</f>
        <v>negativo</v>
      </c>
    </row>
    <row r="1628" ht="15.75" customHeight="1">
      <c r="A1628" s="2" t="s">
        <v>1630</v>
      </c>
      <c r="B1628" s="2" t="s">
        <v>3</v>
      </c>
      <c r="C1628" s="1" t="str">
        <f>IFERROR(__xludf.DUMMYFUNCTION("GOOGLETRANSLATE(A1628,""en"",""pt-br"")"),"repugnante")</f>
        <v>repugnante</v>
      </c>
      <c r="D1628" s="1" t="str">
        <f>IFERROR(__xludf.DUMMYFUNCTION("GOOGLETRANSLATE(B1628,""en"",""pt-br"")"),"negativo")</f>
        <v>negativo</v>
      </c>
    </row>
    <row r="1629" ht="15.75" customHeight="1">
      <c r="A1629" s="2" t="s">
        <v>1631</v>
      </c>
      <c r="B1629" s="2" t="s">
        <v>3</v>
      </c>
      <c r="C1629" s="1" t="str">
        <f>IFERROR(__xludf.DUMMYFUNCTION("GOOGLETRANSLATE(A1629,""en"",""pt-br"")"),"repugnantemente")</f>
        <v>repugnantemente</v>
      </c>
      <c r="D1629" s="1" t="str">
        <f>IFERROR(__xludf.DUMMYFUNCTION("GOOGLETRANSLATE(B1629,""en"",""pt-br"")"),"negativo")</f>
        <v>negativo</v>
      </c>
    </row>
    <row r="1630" ht="15.75" customHeight="1">
      <c r="A1630" s="2" t="s">
        <v>1632</v>
      </c>
      <c r="B1630" s="2" t="s">
        <v>3</v>
      </c>
      <c r="C1630" s="1" t="str">
        <f>IFERROR(__xludf.DUMMYFUNCTION("GOOGLETRANSLATE(A1630,""en"",""pt-br"")"),"desanimador")</f>
        <v>desanimador</v>
      </c>
      <c r="D1630" s="1" t="str">
        <f>IFERROR(__xludf.DUMMYFUNCTION("GOOGLETRANSLATE(B1630,""en"",""pt-br"")"),"negativo")</f>
        <v>negativo</v>
      </c>
    </row>
    <row r="1631" ht="15.75" customHeight="1">
      <c r="A1631" s="2" t="s">
        <v>1633</v>
      </c>
      <c r="B1631" s="2" t="s">
        <v>3</v>
      </c>
      <c r="C1631" s="1" t="str">
        <f>IFERROR(__xludf.DUMMYFUNCTION("GOOGLETRANSLATE(A1631,""en"",""pt-br"")"),"desanimador")</f>
        <v>desanimador</v>
      </c>
      <c r="D1631" s="1" t="str">
        <f>IFERROR(__xludf.DUMMYFUNCTION("GOOGLETRANSLATE(B1631,""en"",""pt-br"")"),"negativo")</f>
        <v>negativo</v>
      </c>
    </row>
    <row r="1632" ht="15.75" customHeight="1">
      <c r="A1632" s="2" t="s">
        <v>1634</v>
      </c>
      <c r="B1632" s="2" t="s">
        <v>3</v>
      </c>
      <c r="C1632" s="1" t="str">
        <f>IFERROR(__xludf.DUMMYFUNCTION("GOOGLETRANSLATE(A1632,""en"",""pt-br"")"),"dishearteningly")</f>
        <v>dishearteningly</v>
      </c>
      <c r="D1632" s="1" t="str">
        <f>IFERROR(__xludf.DUMMYFUNCTION("GOOGLETRANSLATE(B1632,""en"",""pt-br"")"),"negativo")</f>
        <v>negativo</v>
      </c>
    </row>
    <row r="1633" ht="15.75" customHeight="1">
      <c r="A1633" s="2" t="s">
        <v>1635</v>
      </c>
      <c r="B1633" s="2" t="s">
        <v>3</v>
      </c>
      <c r="C1633" s="1" t="str">
        <f>IFERROR(__xludf.DUMMYFUNCTION("GOOGLETRANSLATE(A1633,""en"",""pt-br"")"),"desonesto")</f>
        <v>desonesto</v>
      </c>
      <c r="D1633" s="1" t="str">
        <f>IFERROR(__xludf.DUMMYFUNCTION("GOOGLETRANSLATE(B1633,""en"",""pt-br"")"),"negativo")</f>
        <v>negativo</v>
      </c>
    </row>
    <row r="1634" ht="15.75" customHeight="1">
      <c r="A1634" s="2" t="s">
        <v>1636</v>
      </c>
      <c r="B1634" s="2" t="s">
        <v>3</v>
      </c>
      <c r="C1634" s="1" t="str">
        <f>IFERROR(__xludf.DUMMYFUNCTION("GOOGLETRANSLATE(A1634,""en"",""pt-br"")"),"desonestamente")</f>
        <v>desonestamente</v>
      </c>
      <c r="D1634" s="1" t="str">
        <f>IFERROR(__xludf.DUMMYFUNCTION("GOOGLETRANSLATE(B1634,""en"",""pt-br"")"),"negativo")</f>
        <v>negativo</v>
      </c>
    </row>
    <row r="1635" ht="15.75" customHeight="1">
      <c r="A1635" s="2" t="s">
        <v>1637</v>
      </c>
      <c r="B1635" s="2" t="s">
        <v>3</v>
      </c>
      <c r="C1635" s="1" t="str">
        <f>IFERROR(__xludf.DUMMYFUNCTION("GOOGLETRANSLATE(A1635,""en"",""pt-br"")"),"desonestidade")</f>
        <v>desonestidade</v>
      </c>
      <c r="D1635" s="1" t="str">
        <f>IFERROR(__xludf.DUMMYFUNCTION("GOOGLETRANSLATE(B1635,""en"",""pt-br"")"),"negativo")</f>
        <v>negativo</v>
      </c>
    </row>
    <row r="1636" ht="15.75" customHeight="1">
      <c r="A1636" s="2" t="s">
        <v>1638</v>
      </c>
      <c r="B1636" s="2" t="s">
        <v>3</v>
      </c>
      <c r="C1636" s="1" t="str">
        <f>IFERROR(__xludf.DUMMYFUNCTION("GOOGLETRANSLATE(A1636,""en"",""pt-br"")"),"desonra")</f>
        <v>desonra</v>
      </c>
      <c r="D1636" s="1" t="str">
        <f>IFERROR(__xludf.DUMMYFUNCTION("GOOGLETRANSLATE(B1636,""en"",""pt-br"")"),"negativo")</f>
        <v>negativo</v>
      </c>
    </row>
    <row r="1637" ht="15.75" customHeight="1">
      <c r="A1637" s="2" t="s">
        <v>1639</v>
      </c>
      <c r="B1637" s="2" t="s">
        <v>3</v>
      </c>
      <c r="C1637" s="1" t="str">
        <f>IFERROR(__xludf.DUMMYFUNCTION("GOOGLETRANSLATE(A1637,""en"",""pt-br"")"),"desonroso")</f>
        <v>desonroso</v>
      </c>
      <c r="D1637" s="1" t="str">
        <f>IFERROR(__xludf.DUMMYFUNCTION("GOOGLETRANSLATE(B1637,""en"",""pt-br"")"),"negativo")</f>
        <v>negativo</v>
      </c>
    </row>
    <row r="1638" ht="15.75" customHeight="1">
      <c r="A1638" s="2" t="s">
        <v>1640</v>
      </c>
      <c r="B1638" s="2" t="s">
        <v>3</v>
      </c>
      <c r="C1638" s="1" t="str">
        <f>IFERROR(__xludf.DUMMYFUNCTION("GOOGLETRANSLATE(A1638,""en"",""pt-br"")"),"dishonorablely")</f>
        <v>dishonorablely</v>
      </c>
      <c r="D1638" s="1" t="str">
        <f>IFERROR(__xludf.DUMMYFUNCTION("GOOGLETRANSLATE(B1638,""en"",""pt-br"")"),"negativo")</f>
        <v>negativo</v>
      </c>
    </row>
    <row r="1639" ht="15.75" customHeight="1">
      <c r="A1639" s="2" t="s">
        <v>1641</v>
      </c>
      <c r="B1639" s="2" t="s">
        <v>3</v>
      </c>
      <c r="C1639" s="1" t="str">
        <f>IFERROR(__xludf.DUMMYFUNCTION("GOOGLETRANSLATE(A1639,""en"",""pt-br"")"),"desilusão")</f>
        <v>desilusão</v>
      </c>
      <c r="D1639" s="1" t="str">
        <f>IFERROR(__xludf.DUMMYFUNCTION("GOOGLETRANSLATE(B1639,""en"",""pt-br"")"),"negativo")</f>
        <v>negativo</v>
      </c>
    </row>
    <row r="1640" ht="15.75" customHeight="1">
      <c r="A1640" s="2" t="s">
        <v>1642</v>
      </c>
      <c r="B1640" s="2" t="s">
        <v>3</v>
      </c>
      <c r="C1640" s="1" t="str">
        <f>IFERROR(__xludf.DUMMYFUNCTION("GOOGLETRANSLATE(A1640,""en"",""pt-br"")"),"desiludidos")</f>
        <v>desiludidos</v>
      </c>
      <c r="D1640" s="1" t="str">
        <f>IFERROR(__xludf.DUMMYFUNCTION("GOOGLETRANSLATE(B1640,""en"",""pt-br"")"),"negativo")</f>
        <v>negativo</v>
      </c>
    </row>
    <row r="1641" ht="15.75" customHeight="1">
      <c r="A1641" s="2" t="s">
        <v>1643</v>
      </c>
      <c r="B1641" s="2" t="s">
        <v>3</v>
      </c>
      <c r="C1641" s="1" t="str">
        <f>IFERROR(__xludf.DUMMYFUNCTION("GOOGLETRANSLATE(A1641,""en"",""pt-br"")"),"desilusão")</f>
        <v>desilusão</v>
      </c>
      <c r="D1641" s="1" t="str">
        <f>IFERROR(__xludf.DUMMYFUNCTION("GOOGLETRANSLATE(B1641,""en"",""pt-br"")"),"negativo")</f>
        <v>negativo</v>
      </c>
    </row>
    <row r="1642" ht="15.75" customHeight="1">
      <c r="A1642" s="2" t="s">
        <v>1644</v>
      </c>
      <c r="B1642" s="2" t="s">
        <v>3</v>
      </c>
      <c r="C1642" s="1" t="str">
        <f>IFERROR(__xludf.DUMMYFUNCTION("GOOGLETRANSLATE(A1642,""en"",""pt-br"")"),"desilusões")</f>
        <v>desilusões</v>
      </c>
      <c r="D1642" s="1" t="str">
        <f>IFERROR(__xludf.DUMMYFUNCTION("GOOGLETRANSLATE(B1642,""en"",""pt-br"")"),"negativo")</f>
        <v>negativo</v>
      </c>
    </row>
    <row r="1643" ht="15.75" customHeight="1">
      <c r="A1643" s="2" t="s">
        <v>1645</v>
      </c>
      <c r="B1643" s="2" t="s">
        <v>3</v>
      </c>
      <c r="C1643" s="1" t="str">
        <f>IFERROR(__xludf.DUMMYFUNCTION("GOOGLETRANSLATE(A1643,""en"",""pt-br"")"),"aversão")</f>
        <v>aversão</v>
      </c>
      <c r="D1643" s="1" t="str">
        <f>IFERROR(__xludf.DUMMYFUNCTION("GOOGLETRANSLATE(B1643,""en"",""pt-br"")"),"negativo")</f>
        <v>negativo</v>
      </c>
    </row>
    <row r="1644" ht="15.75" customHeight="1">
      <c r="A1644" s="2" t="s">
        <v>1646</v>
      </c>
      <c r="B1644" s="2" t="s">
        <v>3</v>
      </c>
      <c r="C1644" s="1" t="str">
        <f>IFERROR(__xludf.DUMMYFUNCTION("GOOGLETRANSLATE(A1644,""en"",""pt-br"")"),"inclinado")</f>
        <v>inclinado</v>
      </c>
      <c r="D1644" s="1" t="str">
        <f>IFERROR(__xludf.DUMMYFUNCTION("GOOGLETRANSLATE(B1644,""en"",""pt-br"")"),"negativo")</f>
        <v>negativo</v>
      </c>
    </row>
    <row r="1645" ht="15.75" customHeight="1">
      <c r="A1645" s="2" t="s">
        <v>1647</v>
      </c>
      <c r="B1645" s="2" t="s">
        <v>3</v>
      </c>
      <c r="C1645" s="1" t="str">
        <f>IFERROR(__xludf.DUMMYFUNCTION("GOOGLETRANSLATE(A1645,""en"",""pt-br"")"),"dissimulado")</f>
        <v>dissimulado</v>
      </c>
      <c r="D1645" s="1" t="str">
        <f>IFERROR(__xludf.DUMMYFUNCTION("GOOGLETRANSLATE(B1645,""en"",""pt-br"")"),"negativo")</f>
        <v>negativo</v>
      </c>
    </row>
    <row r="1646" ht="15.75" customHeight="1">
      <c r="A1646" s="2" t="s">
        <v>1648</v>
      </c>
      <c r="B1646" s="2" t="s">
        <v>3</v>
      </c>
      <c r="C1646" s="1" t="str">
        <f>IFERROR(__xludf.DUMMYFUNCTION("GOOGLETRANSLATE(A1646,""en"",""pt-br"")"),"disingenuously")</f>
        <v>disingenuously</v>
      </c>
      <c r="D1646" s="1" t="str">
        <f>IFERROR(__xludf.DUMMYFUNCTION("GOOGLETRANSLATE(B1646,""en"",""pt-br"")"),"negativo")</f>
        <v>negativo</v>
      </c>
    </row>
    <row r="1647" ht="15.75" customHeight="1">
      <c r="A1647" s="2" t="s">
        <v>1649</v>
      </c>
      <c r="B1647" s="2" t="s">
        <v>3</v>
      </c>
      <c r="C1647" s="1" t="str">
        <f>IFERROR(__xludf.DUMMYFUNCTION("GOOGLETRANSLATE(A1647,""en"",""pt-br"")"),"desintegrar")</f>
        <v>desintegrar</v>
      </c>
      <c r="D1647" s="1" t="str">
        <f>IFERROR(__xludf.DUMMYFUNCTION("GOOGLETRANSLATE(B1647,""en"",""pt-br"")"),"negativo")</f>
        <v>negativo</v>
      </c>
    </row>
    <row r="1648" ht="15.75" customHeight="1">
      <c r="A1648" s="2" t="s">
        <v>1650</v>
      </c>
      <c r="B1648" s="2" t="s">
        <v>3</v>
      </c>
      <c r="C1648" s="1" t="str">
        <f>IFERROR(__xludf.DUMMYFUNCTION("GOOGLETRANSLATE(A1648,""en"",""pt-br"")"),"desintegrado")</f>
        <v>desintegrado</v>
      </c>
      <c r="D1648" s="1" t="str">
        <f>IFERROR(__xludf.DUMMYFUNCTION("GOOGLETRANSLATE(B1648,""en"",""pt-br"")"),"negativo")</f>
        <v>negativo</v>
      </c>
    </row>
    <row r="1649" ht="15.75" customHeight="1">
      <c r="A1649" s="2" t="s">
        <v>1651</v>
      </c>
      <c r="B1649" s="2" t="s">
        <v>3</v>
      </c>
      <c r="C1649" s="1" t="str">
        <f>IFERROR(__xludf.DUMMYFUNCTION("GOOGLETRANSLATE(A1649,""en"",""pt-br"")"),"desintegra")</f>
        <v>desintegra</v>
      </c>
      <c r="D1649" s="1" t="str">
        <f>IFERROR(__xludf.DUMMYFUNCTION("GOOGLETRANSLATE(B1649,""en"",""pt-br"")"),"negativo")</f>
        <v>negativo</v>
      </c>
    </row>
    <row r="1650" ht="15.75" customHeight="1">
      <c r="A1650" s="2" t="s">
        <v>1652</v>
      </c>
      <c r="B1650" s="2" t="s">
        <v>3</v>
      </c>
      <c r="C1650" s="1" t="str">
        <f>IFERROR(__xludf.DUMMYFUNCTION("GOOGLETRANSLATE(A1650,""en"",""pt-br"")"),"desintegração")</f>
        <v>desintegração</v>
      </c>
      <c r="D1650" s="1" t="str">
        <f>IFERROR(__xludf.DUMMYFUNCTION("GOOGLETRANSLATE(B1650,""en"",""pt-br"")"),"negativo")</f>
        <v>negativo</v>
      </c>
    </row>
    <row r="1651" ht="15.75" customHeight="1">
      <c r="A1651" s="2" t="s">
        <v>1653</v>
      </c>
      <c r="B1651" s="2" t="s">
        <v>3</v>
      </c>
      <c r="C1651" s="1" t="str">
        <f>IFERROR(__xludf.DUMMYFUNCTION("GOOGLETRANSLATE(A1651,""en"",""pt-br"")"),"desinteresse")</f>
        <v>desinteresse</v>
      </c>
      <c r="D1651" s="1" t="str">
        <f>IFERROR(__xludf.DUMMYFUNCTION("GOOGLETRANSLATE(B1651,""en"",""pt-br"")"),"negativo")</f>
        <v>negativo</v>
      </c>
    </row>
    <row r="1652" ht="15.75" customHeight="1">
      <c r="A1652" s="2" t="s">
        <v>1654</v>
      </c>
      <c r="B1652" s="2" t="s">
        <v>3</v>
      </c>
      <c r="C1652" s="1" t="str">
        <f>IFERROR(__xludf.DUMMYFUNCTION("GOOGLETRANSLATE(A1652,""en"",""pt-br"")"),"desinteressado")</f>
        <v>desinteressado</v>
      </c>
      <c r="D1652" s="1" t="str">
        <f>IFERROR(__xludf.DUMMYFUNCTION("GOOGLETRANSLATE(B1652,""en"",""pt-br"")"),"negativo")</f>
        <v>negativo</v>
      </c>
    </row>
    <row r="1653" ht="15.75" customHeight="1">
      <c r="A1653" s="2" t="s">
        <v>1655</v>
      </c>
      <c r="B1653" s="2" t="s">
        <v>3</v>
      </c>
      <c r="C1653" s="1" t="str">
        <f>IFERROR(__xludf.DUMMYFUNCTION("GOOGLETRANSLATE(A1653,""en"",""pt-br"")"),"antipatia")</f>
        <v>antipatia</v>
      </c>
      <c r="D1653" s="1" t="str">
        <f>IFERROR(__xludf.DUMMYFUNCTION("GOOGLETRANSLATE(B1653,""en"",""pt-br"")"),"negativo")</f>
        <v>negativo</v>
      </c>
    </row>
    <row r="1654" ht="15.75" customHeight="1">
      <c r="A1654" s="2" t="s">
        <v>1656</v>
      </c>
      <c r="B1654" s="2" t="s">
        <v>3</v>
      </c>
      <c r="C1654" s="1" t="str">
        <f>IFERROR(__xludf.DUMMYFUNCTION("GOOGLETRANSLATE(A1654,""en"",""pt-br"")"),"não gostei")</f>
        <v>não gostei</v>
      </c>
      <c r="D1654" s="1" t="str">
        <f>IFERROR(__xludf.DUMMYFUNCTION("GOOGLETRANSLATE(B1654,""en"",""pt-br"")"),"negativo")</f>
        <v>negativo</v>
      </c>
    </row>
    <row r="1655" ht="15.75" customHeight="1">
      <c r="A1655" s="2" t="s">
        <v>1657</v>
      </c>
      <c r="B1655" s="2" t="s">
        <v>3</v>
      </c>
      <c r="C1655" s="1" t="str">
        <f>IFERROR(__xludf.DUMMYFUNCTION("GOOGLETRANSLATE(A1655,""en"",""pt-br"")"),"desgostos")</f>
        <v>desgostos</v>
      </c>
      <c r="D1655" s="1" t="str">
        <f>IFERROR(__xludf.DUMMYFUNCTION("GOOGLETRANSLATE(B1655,""en"",""pt-br"")"),"negativo")</f>
        <v>negativo</v>
      </c>
    </row>
    <row r="1656" ht="15.75" customHeight="1">
      <c r="A1656" s="2" t="s">
        <v>1658</v>
      </c>
      <c r="B1656" s="2" t="s">
        <v>3</v>
      </c>
      <c r="C1656" s="1" t="str">
        <f>IFERROR(__xludf.DUMMYFUNCTION("GOOGLETRANSLATE(A1656,""en"",""pt-br"")"),"disliking")</f>
        <v>disliking</v>
      </c>
      <c r="D1656" s="1" t="str">
        <f>IFERROR(__xludf.DUMMYFUNCTION("GOOGLETRANSLATE(B1656,""en"",""pt-br"")"),"negativo")</f>
        <v>negativo</v>
      </c>
    </row>
    <row r="1657" ht="15.75" customHeight="1">
      <c r="A1657" s="2" t="s">
        <v>1659</v>
      </c>
      <c r="B1657" s="2" t="s">
        <v>3</v>
      </c>
      <c r="C1657" s="1" t="str">
        <f>IFERROR(__xludf.DUMMYFUNCTION("GOOGLETRANSLATE(A1657,""en"",""pt-br"")"),"deslocado")</f>
        <v>deslocado</v>
      </c>
      <c r="D1657" s="1" t="str">
        <f>IFERROR(__xludf.DUMMYFUNCTION("GOOGLETRANSLATE(B1657,""en"",""pt-br"")"),"negativo")</f>
        <v>negativo</v>
      </c>
    </row>
    <row r="1658" ht="15.75" customHeight="1">
      <c r="A1658" s="2" t="s">
        <v>1660</v>
      </c>
      <c r="B1658" s="2" t="s">
        <v>3</v>
      </c>
      <c r="C1658" s="1" t="str">
        <f>IFERROR(__xludf.DUMMYFUNCTION("GOOGLETRANSLATE(A1658,""en"",""pt-br"")"),"desleal")</f>
        <v>desleal</v>
      </c>
      <c r="D1658" s="1" t="str">
        <f>IFERROR(__xludf.DUMMYFUNCTION("GOOGLETRANSLATE(B1658,""en"",""pt-br"")"),"negativo")</f>
        <v>negativo</v>
      </c>
    </row>
    <row r="1659" ht="15.75" customHeight="1">
      <c r="A1659" s="2" t="s">
        <v>1661</v>
      </c>
      <c r="B1659" s="2" t="s">
        <v>3</v>
      </c>
      <c r="C1659" s="1" t="str">
        <f>IFERROR(__xludf.DUMMYFUNCTION("GOOGLETRANSLATE(A1659,""en"",""pt-br"")"),"deslealdade")</f>
        <v>deslealdade</v>
      </c>
      <c r="D1659" s="1" t="str">
        <f>IFERROR(__xludf.DUMMYFUNCTION("GOOGLETRANSLATE(B1659,""en"",""pt-br"")"),"negativo")</f>
        <v>negativo</v>
      </c>
    </row>
    <row r="1660" ht="15.75" customHeight="1">
      <c r="A1660" s="2" t="s">
        <v>1662</v>
      </c>
      <c r="B1660" s="2" t="s">
        <v>3</v>
      </c>
      <c r="C1660" s="1" t="str">
        <f>IFERROR(__xludf.DUMMYFUNCTION("GOOGLETRANSLATE(A1660,""en"",""pt-br"")"),"sombrio")</f>
        <v>sombrio</v>
      </c>
      <c r="D1660" s="1" t="str">
        <f>IFERROR(__xludf.DUMMYFUNCTION("GOOGLETRANSLATE(B1660,""en"",""pt-br"")"),"negativo")</f>
        <v>negativo</v>
      </c>
    </row>
    <row r="1661" ht="15.75" customHeight="1">
      <c r="A1661" s="2" t="s">
        <v>1663</v>
      </c>
      <c r="B1661" s="2" t="s">
        <v>3</v>
      </c>
      <c r="C1661" s="1" t="str">
        <f>IFERROR(__xludf.DUMMYFUNCTION("GOOGLETRANSLATE(A1661,""en"",""pt-br"")"),"dismally")</f>
        <v>dismally</v>
      </c>
      <c r="D1661" s="1" t="str">
        <f>IFERROR(__xludf.DUMMYFUNCTION("GOOGLETRANSLATE(B1661,""en"",""pt-br"")"),"negativo")</f>
        <v>negativo</v>
      </c>
    </row>
    <row r="1662" ht="15.75" customHeight="1">
      <c r="A1662" s="2" t="s">
        <v>1664</v>
      </c>
      <c r="B1662" s="2" t="s">
        <v>3</v>
      </c>
      <c r="C1662" s="1" t="str">
        <f>IFERROR(__xludf.DUMMYFUNCTION("GOOGLETRANSLATE(A1662,""en"",""pt-br"")"),"dismalness")</f>
        <v>dismalness</v>
      </c>
      <c r="D1662" s="1" t="str">
        <f>IFERROR(__xludf.DUMMYFUNCTION("GOOGLETRANSLATE(B1662,""en"",""pt-br"")"),"negativo")</f>
        <v>negativo</v>
      </c>
    </row>
    <row r="1663" ht="15.75" customHeight="1">
      <c r="A1663" s="2" t="s">
        <v>1665</v>
      </c>
      <c r="B1663" s="2" t="s">
        <v>3</v>
      </c>
      <c r="C1663" s="1" t="str">
        <f>IFERROR(__xludf.DUMMYFUNCTION("GOOGLETRANSLATE(A1663,""en"",""pt-br"")"),"desânimo")</f>
        <v>desânimo</v>
      </c>
      <c r="D1663" s="1" t="str">
        <f>IFERROR(__xludf.DUMMYFUNCTION("GOOGLETRANSLATE(B1663,""en"",""pt-br"")"),"negativo")</f>
        <v>negativo</v>
      </c>
    </row>
    <row r="1664" ht="15.75" customHeight="1">
      <c r="A1664" s="2" t="s">
        <v>1666</v>
      </c>
      <c r="B1664" s="2" t="s">
        <v>3</v>
      </c>
      <c r="C1664" s="1" t="str">
        <f>IFERROR(__xludf.DUMMYFUNCTION("GOOGLETRANSLATE(A1664,""en"",""pt-br"")"),"consternado")</f>
        <v>consternado</v>
      </c>
      <c r="D1664" s="1" t="str">
        <f>IFERROR(__xludf.DUMMYFUNCTION("GOOGLETRANSLATE(B1664,""en"",""pt-br"")"),"negativo")</f>
        <v>negativo</v>
      </c>
    </row>
    <row r="1665" ht="15.75" customHeight="1">
      <c r="A1665" s="2" t="s">
        <v>1667</v>
      </c>
      <c r="B1665" s="2" t="s">
        <v>3</v>
      </c>
      <c r="C1665" s="1" t="str">
        <f>IFERROR(__xludf.DUMMYFUNCTION("GOOGLETRANSLATE(A1665,""en"",""pt-br"")"),"dismaying")</f>
        <v>dismaying</v>
      </c>
      <c r="D1665" s="1" t="str">
        <f>IFERROR(__xludf.DUMMYFUNCTION("GOOGLETRANSLATE(B1665,""en"",""pt-br"")"),"negativo")</f>
        <v>negativo</v>
      </c>
    </row>
    <row r="1666" ht="15.75" customHeight="1">
      <c r="A1666" s="2" t="s">
        <v>1668</v>
      </c>
      <c r="B1666" s="2" t="s">
        <v>3</v>
      </c>
      <c r="C1666" s="1" t="str">
        <f>IFERROR(__xludf.DUMMYFUNCTION("GOOGLETRANSLATE(A1666,""en"",""pt-br"")"),"assustadoramente")</f>
        <v>assustadoramente</v>
      </c>
      <c r="D1666" s="1" t="str">
        <f>IFERROR(__xludf.DUMMYFUNCTION("GOOGLETRANSLATE(B1666,""en"",""pt-br"")"),"negativo")</f>
        <v>negativo</v>
      </c>
    </row>
    <row r="1667" ht="15.75" customHeight="1">
      <c r="A1667" s="2" t="s">
        <v>1669</v>
      </c>
      <c r="B1667" s="2" t="s">
        <v>3</v>
      </c>
      <c r="C1667" s="1" t="str">
        <f>IFERROR(__xludf.DUMMYFUNCTION("GOOGLETRANSLATE(A1667,""en"",""pt-br"")"),"desconsiderado")</f>
        <v>desconsiderado</v>
      </c>
      <c r="D1667" s="1" t="str">
        <f>IFERROR(__xludf.DUMMYFUNCTION("GOOGLETRANSLATE(B1667,""en"",""pt-br"")"),"negativo")</f>
        <v>negativo</v>
      </c>
    </row>
    <row r="1668" ht="15.75" customHeight="1">
      <c r="A1668" s="2" t="s">
        <v>1670</v>
      </c>
      <c r="B1668" s="2" t="s">
        <v>3</v>
      </c>
      <c r="C1668" s="1" t="str">
        <f>IFERROR(__xludf.DUMMYFUNCTION("GOOGLETRANSLATE(A1668,""en"",""pt-br"")"),"dismissively")</f>
        <v>dismissively</v>
      </c>
      <c r="D1668" s="1" t="str">
        <f>IFERROR(__xludf.DUMMYFUNCTION("GOOGLETRANSLATE(B1668,""en"",""pt-br"")"),"negativo")</f>
        <v>negativo</v>
      </c>
    </row>
    <row r="1669" ht="15.75" customHeight="1">
      <c r="A1669" s="2" t="s">
        <v>1671</v>
      </c>
      <c r="B1669" s="2" t="s">
        <v>3</v>
      </c>
      <c r="C1669" s="1" t="str">
        <f>IFERROR(__xludf.DUMMYFUNCTION("GOOGLETRANSLATE(A1669,""en"",""pt-br"")"),"desobediência")</f>
        <v>desobediência</v>
      </c>
      <c r="D1669" s="1" t="str">
        <f>IFERROR(__xludf.DUMMYFUNCTION("GOOGLETRANSLATE(B1669,""en"",""pt-br"")"),"negativo")</f>
        <v>negativo</v>
      </c>
    </row>
    <row r="1670" ht="15.75" customHeight="1">
      <c r="A1670" s="2" t="s">
        <v>1672</v>
      </c>
      <c r="B1670" s="2" t="s">
        <v>3</v>
      </c>
      <c r="C1670" s="1" t="str">
        <f>IFERROR(__xludf.DUMMYFUNCTION("GOOGLETRANSLATE(A1670,""en"",""pt-br"")"),"desobediente")</f>
        <v>desobediente</v>
      </c>
      <c r="D1670" s="1" t="str">
        <f>IFERROR(__xludf.DUMMYFUNCTION("GOOGLETRANSLATE(B1670,""en"",""pt-br"")"),"negativo")</f>
        <v>negativo</v>
      </c>
    </row>
    <row r="1671" ht="15.75" customHeight="1">
      <c r="A1671" s="2" t="s">
        <v>1673</v>
      </c>
      <c r="B1671" s="2" t="s">
        <v>3</v>
      </c>
      <c r="C1671" s="1" t="str">
        <f>IFERROR(__xludf.DUMMYFUNCTION("GOOGLETRANSLATE(A1671,""en"",""pt-br"")"),"desobedecer")</f>
        <v>desobedecer</v>
      </c>
      <c r="D1671" s="1" t="str">
        <f>IFERROR(__xludf.DUMMYFUNCTION("GOOGLETRANSLATE(B1671,""en"",""pt-br"")"),"negativo")</f>
        <v>negativo</v>
      </c>
    </row>
    <row r="1672" ht="15.75" customHeight="1">
      <c r="A1672" s="2" t="s">
        <v>1674</v>
      </c>
      <c r="B1672" s="2" t="s">
        <v>3</v>
      </c>
      <c r="C1672" s="1" t="str">
        <f>IFERROR(__xludf.DUMMYFUNCTION("GOOGLETRANSLATE(A1672,""en"",""pt-br"")"),"disoobedient")</f>
        <v>disoobedient</v>
      </c>
      <c r="D1672" s="1" t="str">
        <f>IFERROR(__xludf.DUMMYFUNCTION("GOOGLETRANSLATE(B1672,""en"",""pt-br"")"),"negativo")</f>
        <v>negativo</v>
      </c>
    </row>
    <row r="1673" ht="15.75" customHeight="1">
      <c r="A1673" s="2" t="s">
        <v>1675</v>
      </c>
      <c r="B1673" s="2" t="s">
        <v>3</v>
      </c>
      <c r="C1673" s="1" t="str">
        <f>IFERROR(__xludf.DUMMYFUNCTION("GOOGLETRANSLATE(A1673,""en"",""pt-br"")"),"transtorno")</f>
        <v>transtorno</v>
      </c>
      <c r="D1673" s="1" t="str">
        <f>IFERROR(__xludf.DUMMYFUNCTION("GOOGLETRANSLATE(B1673,""en"",""pt-br"")"),"negativo")</f>
        <v>negativo</v>
      </c>
    </row>
    <row r="1674" ht="15.75" customHeight="1">
      <c r="A1674" s="2" t="s">
        <v>1676</v>
      </c>
      <c r="B1674" s="2" t="s">
        <v>3</v>
      </c>
      <c r="C1674" s="1" t="str">
        <f>IFERROR(__xludf.DUMMYFUNCTION("GOOGLETRANSLATE(A1674,""en"",""pt-br"")"),"desordenado")</f>
        <v>desordenado</v>
      </c>
      <c r="D1674" s="1" t="str">
        <f>IFERROR(__xludf.DUMMYFUNCTION("GOOGLETRANSLATE(B1674,""en"",""pt-br"")"),"negativo")</f>
        <v>negativo</v>
      </c>
    </row>
    <row r="1675" ht="15.75" customHeight="1">
      <c r="A1675" s="2" t="s">
        <v>1677</v>
      </c>
      <c r="B1675" s="2" t="s">
        <v>3</v>
      </c>
      <c r="C1675" s="1" t="str">
        <f>IFERROR(__xludf.DUMMYFUNCTION("GOOGLETRANSLATE(A1675,""en"",""pt-br"")"),"desordenado")</f>
        <v>desordenado</v>
      </c>
      <c r="D1675" s="1" t="str">
        <f>IFERROR(__xludf.DUMMYFUNCTION("GOOGLETRANSLATE(B1675,""en"",""pt-br"")"),"negativo")</f>
        <v>negativo</v>
      </c>
    </row>
    <row r="1676" ht="15.75" customHeight="1">
      <c r="A1676" s="2" t="s">
        <v>1678</v>
      </c>
      <c r="B1676" s="2" t="s">
        <v>3</v>
      </c>
      <c r="C1676" s="1" t="str">
        <f>IFERROR(__xludf.DUMMYFUNCTION("GOOGLETRANSLATE(A1676,""en"",""pt-br"")"),"desorganizado")</f>
        <v>desorganizado</v>
      </c>
      <c r="D1676" s="1" t="str">
        <f>IFERROR(__xludf.DUMMYFUNCTION("GOOGLETRANSLATE(B1676,""en"",""pt-br"")"),"negativo")</f>
        <v>negativo</v>
      </c>
    </row>
    <row r="1677" ht="15.75" customHeight="1">
      <c r="A1677" s="2" t="s">
        <v>1679</v>
      </c>
      <c r="B1677" s="2" t="s">
        <v>3</v>
      </c>
      <c r="C1677" s="1" t="str">
        <f>IFERROR(__xludf.DUMMYFUNCTION("GOOGLETRANSLATE(A1677,""en"",""pt-br"")"),"desorientar")</f>
        <v>desorientar</v>
      </c>
      <c r="D1677" s="1" t="str">
        <f>IFERROR(__xludf.DUMMYFUNCTION("GOOGLETRANSLATE(B1677,""en"",""pt-br"")"),"negativo")</f>
        <v>negativo</v>
      </c>
    </row>
    <row r="1678" ht="15.75" customHeight="1">
      <c r="A1678" s="2" t="s">
        <v>1680</v>
      </c>
      <c r="B1678" s="2" t="s">
        <v>3</v>
      </c>
      <c r="C1678" s="1" t="str">
        <f>IFERROR(__xludf.DUMMYFUNCTION("GOOGLETRANSLATE(A1678,""en"",""pt-br"")"),"desorientado")</f>
        <v>desorientado</v>
      </c>
      <c r="D1678" s="1" t="str">
        <f>IFERROR(__xludf.DUMMYFUNCTION("GOOGLETRANSLATE(B1678,""en"",""pt-br"")"),"negativo")</f>
        <v>negativo</v>
      </c>
    </row>
    <row r="1679" ht="15.75" customHeight="1">
      <c r="A1679" s="2" t="s">
        <v>1681</v>
      </c>
      <c r="B1679" s="2" t="s">
        <v>3</v>
      </c>
      <c r="C1679" s="1" t="str">
        <f>IFERROR(__xludf.DUMMYFUNCTION("GOOGLETRANSLATE(A1679,""en"",""pt-br"")"),"disown")</f>
        <v>disown</v>
      </c>
      <c r="D1679" s="1" t="str">
        <f>IFERROR(__xludf.DUMMYFUNCTION("GOOGLETRANSLATE(B1679,""en"",""pt-br"")"),"negativo")</f>
        <v>negativo</v>
      </c>
    </row>
    <row r="1680" ht="15.75" customHeight="1">
      <c r="A1680" s="2" t="s">
        <v>1682</v>
      </c>
      <c r="B1680" s="2" t="s">
        <v>3</v>
      </c>
      <c r="C1680" s="1" t="str">
        <f>IFERROR(__xludf.DUMMYFUNCTION("GOOGLETRANSLATE(A1680,""en"",""pt-br"")"),"rebaixar")</f>
        <v>rebaixar</v>
      </c>
      <c r="D1680" s="1" t="str">
        <f>IFERROR(__xludf.DUMMYFUNCTION("GOOGLETRANSLATE(B1680,""en"",""pt-br"")"),"negativo")</f>
        <v>negativo</v>
      </c>
    </row>
    <row r="1681" ht="15.75" customHeight="1">
      <c r="A1681" s="2" t="s">
        <v>1683</v>
      </c>
      <c r="B1681" s="2" t="s">
        <v>3</v>
      </c>
      <c r="C1681" s="1" t="str">
        <f>IFERROR(__xludf.DUMMYFUNCTION("GOOGLETRANSLATE(A1681,""en"",""pt-br"")"),"depreciativo")</f>
        <v>depreciativo</v>
      </c>
      <c r="D1681" s="1" t="str">
        <f>IFERROR(__xludf.DUMMYFUNCTION("GOOGLETRANSLATE(B1681,""en"",""pt-br"")"),"negativo")</f>
        <v>negativo</v>
      </c>
    </row>
    <row r="1682" ht="15.75" customHeight="1">
      <c r="A1682" s="2" t="s">
        <v>1684</v>
      </c>
      <c r="B1682" s="2" t="s">
        <v>3</v>
      </c>
      <c r="C1682" s="1" t="str">
        <f>IFERROR(__xludf.DUMMYFUNCTION("GOOGLETRANSLATE(A1682,""en"",""pt-br"")"),"depreciativamente")</f>
        <v>depreciativamente</v>
      </c>
      <c r="D1682" s="1" t="str">
        <f>IFERROR(__xludf.DUMMYFUNCTION("GOOGLETRANSLATE(B1682,""en"",""pt-br"")"),"negativo")</f>
        <v>negativo</v>
      </c>
    </row>
    <row r="1683" ht="15.75" customHeight="1">
      <c r="A1683" s="2" t="s">
        <v>1685</v>
      </c>
      <c r="B1683" s="2" t="s">
        <v>3</v>
      </c>
      <c r="C1683" s="1" t="str">
        <f>IFERROR(__xludf.DUMMYFUNCTION("GOOGLETRANSLATE(A1683,""en"",""pt-br"")"),"dispensável")</f>
        <v>dispensável</v>
      </c>
      <c r="D1683" s="1" t="str">
        <f>IFERROR(__xludf.DUMMYFUNCTION("GOOGLETRANSLATE(B1683,""en"",""pt-br"")"),"negativo")</f>
        <v>negativo</v>
      </c>
    </row>
    <row r="1684" ht="15.75" customHeight="1">
      <c r="A1684" s="2" t="s">
        <v>1686</v>
      </c>
      <c r="B1684" s="2" t="s">
        <v>3</v>
      </c>
      <c r="C1684" s="1" t="str">
        <f>IFERROR(__xludf.DUMMYFUNCTION("GOOGLETRANSLATE(A1684,""en"",""pt-br"")"),"desanimar")</f>
        <v>desanimar</v>
      </c>
      <c r="D1684" s="1" t="str">
        <f>IFERROR(__xludf.DUMMYFUNCTION("GOOGLETRANSLATE(B1684,""en"",""pt-br"")"),"negativo")</f>
        <v>negativo</v>
      </c>
    </row>
    <row r="1685" ht="15.75" customHeight="1">
      <c r="A1685" s="2" t="s">
        <v>1687</v>
      </c>
      <c r="B1685" s="2" t="s">
        <v>3</v>
      </c>
      <c r="C1685" s="1" t="str">
        <f>IFERROR(__xludf.DUMMYFUNCTION("GOOGLETRANSLATE(A1685,""en"",""pt-br"")"),"desanimado")</f>
        <v>desanimado</v>
      </c>
      <c r="D1685" s="1" t="str">
        <f>IFERROR(__xludf.DUMMYFUNCTION("GOOGLETRANSLATE(B1685,""en"",""pt-br"")"),"negativo")</f>
        <v>negativo</v>
      </c>
    </row>
    <row r="1686" ht="15.75" customHeight="1">
      <c r="A1686" s="2" t="s">
        <v>1688</v>
      </c>
      <c r="B1686" s="2" t="s">
        <v>3</v>
      </c>
      <c r="C1686" s="1" t="str">
        <f>IFERROR(__xludf.DUMMYFUNCTION("GOOGLETRANSLATE(A1686,""en"",""pt-br"")"),"desanimada")</f>
        <v>desanimada</v>
      </c>
      <c r="D1686" s="1" t="str">
        <f>IFERROR(__xludf.DUMMYFUNCTION("GOOGLETRANSLATE(B1686,""en"",""pt-br"")"),"negativo")</f>
        <v>negativo</v>
      </c>
    </row>
    <row r="1687" ht="15.75" customHeight="1">
      <c r="A1687" s="2" t="s">
        <v>1689</v>
      </c>
      <c r="B1687" s="2" t="s">
        <v>3</v>
      </c>
      <c r="C1687" s="1" t="str">
        <f>IFERROR(__xludf.DUMMYFUNCTION("GOOGLETRANSLATE(A1687,""en"",""pt-br"")"),"dispiriting")</f>
        <v>dispiriting</v>
      </c>
      <c r="D1687" s="1" t="str">
        <f>IFERROR(__xludf.DUMMYFUNCTION("GOOGLETRANSLATE(B1687,""en"",""pt-br"")"),"negativo")</f>
        <v>negativo</v>
      </c>
    </row>
    <row r="1688" ht="15.75" customHeight="1">
      <c r="A1688" s="2" t="s">
        <v>1690</v>
      </c>
      <c r="B1688" s="2" t="s">
        <v>3</v>
      </c>
      <c r="C1688" s="1" t="str">
        <f>IFERROR(__xludf.DUMMYFUNCTION("GOOGLETRANSLATE(A1688,""en"",""pt-br"")"),"deslocar")</f>
        <v>deslocar</v>
      </c>
      <c r="D1688" s="1" t="str">
        <f>IFERROR(__xludf.DUMMYFUNCTION("GOOGLETRANSLATE(B1688,""en"",""pt-br"")"),"negativo")</f>
        <v>negativo</v>
      </c>
    </row>
    <row r="1689" ht="15.75" customHeight="1">
      <c r="A1689" s="2" t="s">
        <v>1691</v>
      </c>
      <c r="B1689" s="2" t="s">
        <v>3</v>
      </c>
      <c r="C1689" s="1" t="str">
        <f>IFERROR(__xludf.DUMMYFUNCTION("GOOGLETRANSLATE(A1689,""en"",""pt-br"")"),"deslocado")</f>
        <v>deslocado</v>
      </c>
      <c r="D1689" s="1" t="str">
        <f>IFERROR(__xludf.DUMMYFUNCTION("GOOGLETRANSLATE(B1689,""en"",""pt-br"")"),"negativo")</f>
        <v>negativo</v>
      </c>
    </row>
    <row r="1690" ht="15.75" customHeight="1">
      <c r="A1690" s="2" t="s">
        <v>1692</v>
      </c>
      <c r="B1690" s="2" t="s">
        <v>3</v>
      </c>
      <c r="C1690" s="1" t="str">
        <f>IFERROR(__xludf.DUMMYFUNCTION("GOOGLETRANSLATE(A1690,""en"",""pt-br"")"),"desagradam")</f>
        <v>desagradam</v>
      </c>
      <c r="D1690" s="1" t="str">
        <f>IFERROR(__xludf.DUMMYFUNCTION("GOOGLETRANSLATE(B1690,""en"",""pt-br"")"),"negativo")</f>
        <v>negativo</v>
      </c>
    </row>
    <row r="1691" ht="15.75" customHeight="1">
      <c r="A1691" s="2" t="s">
        <v>1693</v>
      </c>
      <c r="B1691" s="2" t="s">
        <v>3</v>
      </c>
      <c r="C1691" s="1" t="str">
        <f>IFERROR(__xludf.DUMMYFUNCTION("GOOGLETRANSLATE(A1691,""en"",""pt-br"")"),"Descontente")</f>
        <v>Descontente</v>
      </c>
      <c r="D1691" s="1" t="str">
        <f>IFERROR(__xludf.DUMMYFUNCTION("GOOGLETRANSLATE(B1691,""en"",""pt-br"")"),"negativo")</f>
        <v>negativo</v>
      </c>
    </row>
    <row r="1692" ht="15.75" customHeight="1">
      <c r="A1692" s="2" t="s">
        <v>1694</v>
      </c>
      <c r="B1692" s="2" t="s">
        <v>3</v>
      </c>
      <c r="C1692" s="1" t="str">
        <f>IFERROR(__xludf.DUMMYFUNCTION("GOOGLETRANSLATE(A1692,""en"",""pt-br"")"),"desagradável")</f>
        <v>desagradável</v>
      </c>
      <c r="D1692" s="1" t="str">
        <f>IFERROR(__xludf.DUMMYFUNCTION("GOOGLETRANSLATE(B1692,""en"",""pt-br"")"),"negativo")</f>
        <v>negativo</v>
      </c>
    </row>
    <row r="1693" ht="15.75" customHeight="1">
      <c r="A1693" s="2" t="s">
        <v>1695</v>
      </c>
      <c r="B1693" s="2" t="s">
        <v>3</v>
      </c>
      <c r="C1693" s="1" t="str">
        <f>IFERROR(__xludf.DUMMYFUNCTION("GOOGLETRANSLATE(A1693,""en"",""pt-br"")"),"descontentamento")</f>
        <v>descontentamento</v>
      </c>
      <c r="D1693" s="1" t="str">
        <f>IFERROR(__xludf.DUMMYFUNCTION("GOOGLETRANSLATE(B1693,""en"",""pt-br"")"),"negativo")</f>
        <v>negativo</v>
      </c>
    </row>
    <row r="1694" ht="15.75" customHeight="1">
      <c r="A1694" s="2" t="s">
        <v>1696</v>
      </c>
      <c r="B1694" s="2" t="s">
        <v>3</v>
      </c>
      <c r="C1694" s="1" t="str">
        <f>IFERROR(__xludf.DUMMYFUNCTION("GOOGLETRANSLATE(A1694,""en"",""pt-br"")"),"desproporcional")</f>
        <v>desproporcional</v>
      </c>
      <c r="D1694" s="1" t="str">
        <f>IFERROR(__xludf.DUMMYFUNCTION("GOOGLETRANSLATE(B1694,""en"",""pt-br"")"),"negativo")</f>
        <v>negativo</v>
      </c>
    </row>
    <row r="1695" ht="15.75" customHeight="1">
      <c r="A1695" s="2" t="s">
        <v>1697</v>
      </c>
      <c r="B1695" s="2" t="s">
        <v>3</v>
      </c>
      <c r="C1695" s="1" t="str">
        <f>IFERROR(__xludf.DUMMYFUNCTION("GOOGLETRANSLATE(A1695,""en"",""pt-br"")"),"refutar")</f>
        <v>refutar</v>
      </c>
      <c r="D1695" s="1" t="str">
        <f>IFERROR(__xludf.DUMMYFUNCTION("GOOGLETRANSLATE(B1695,""en"",""pt-br"")"),"negativo")</f>
        <v>negativo</v>
      </c>
    </row>
    <row r="1696" ht="15.75" customHeight="1">
      <c r="A1696" s="2" t="s">
        <v>1698</v>
      </c>
      <c r="B1696" s="2" t="s">
        <v>3</v>
      </c>
      <c r="C1696" s="1" t="str">
        <f>IFERROR(__xludf.DUMMYFUNCTION("GOOGLETRANSLATE(A1696,""en"",""pt-br"")"),"disputável")</f>
        <v>disputável</v>
      </c>
      <c r="D1696" s="1" t="str">
        <f>IFERROR(__xludf.DUMMYFUNCTION("GOOGLETRANSLATE(B1696,""en"",""pt-br"")"),"negativo")</f>
        <v>negativo</v>
      </c>
    </row>
    <row r="1697" ht="15.75" customHeight="1">
      <c r="A1697" s="2" t="s">
        <v>1699</v>
      </c>
      <c r="B1697" s="2" t="s">
        <v>3</v>
      </c>
      <c r="C1697" s="1" t="str">
        <f>IFERROR(__xludf.DUMMYFUNCTION("GOOGLETRANSLATE(A1697,""en"",""pt-br"")"),"disputa")</f>
        <v>disputa</v>
      </c>
      <c r="D1697" s="1" t="str">
        <f>IFERROR(__xludf.DUMMYFUNCTION("GOOGLETRANSLATE(B1697,""en"",""pt-br"")"),"negativo")</f>
        <v>negativo</v>
      </c>
    </row>
    <row r="1698" ht="15.75" customHeight="1">
      <c r="A1698" s="2" t="s">
        <v>1700</v>
      </c>
      <c r="B1698" s="2" t="s">
        <v>3</v>
      </c>
      <c r="C1698" s="1" t="str">
        <f>IFERROR(__xludf.DUMMYFUNCTION("GOOGLETRANSLATE(A1698,""en"",""pt-br"")"),"disputado")</f>
        <v>disputado</v>
      </c>
      <c r="D1698" s="1" t="str">
        <f>IFERROR(__xludf.DUMMYFUNCTION("GOOGLETRANSLATE(B1698,""en"",""pt-br"")"),"negativo")</f>
        <v>negativo</v>
      </c>
    </row>
    <row r="1699" ht="15.75" customHeight="1">
      <c r="A1699" s="2" t="s">
        <v>1701</v>
      </c>
      <c r="B1699" s="2" t="s">
        <v>3</v>
      </c>
      <c r="C1699" s="1" t="str">
        <f>IFERROR(__xludf.DUMMYFUNCTION("GOOGLETRANSLATE(A1699,""en"",""pt-br"")"),"inquietação")</f>
        <v>inquietação</v>
      </c>
      <c r="D1699" s="1" t="str">
        <f>IFERROR(__xludf.DUMMYFUNCTION("GOOGLETRANSLATE(B1699,""en"",""pt-br"")"),"negativo")</f>
        <v>negativo</v>
      </c>
    </row>
    <row r="1700" ht="15.75" customHeight="1">
      <c r="A1700" s="2" t="s">
        <v>1702</v>
      </c>
      <c r="B1700" s="2" t="s">
        <v>3</v>
      </c>
      <c r="C1700" s="1" t="str">
        <f>IFERROR(__xludf.DUMMYFUNCTION("GOOGLETRANSLATE(A1700,""en"",""pt-br"")"),"inquietante")</f>
        <v>inquietante</v>
      </c>
      <c r="D1700" s="1" t="str">
        <f>IFERROR(__xludf.DUMMYFUNCTION("GOOGLETRANSLATE(B1700,""en"",""pt-br"")"),"negativo")</f>
        <v>negativo</v>
      </c>
    </row>
    <row r="1701" ht="15.75" customHeight="1">
      <c r="A1701" s="2" t="s">
        <v>1703</v>
      </c>
      <c r="B1701" s="2" t="s">
        <v>3</v>
      </c>
      <c r="C1701" s="1" t="str">
        <f>IFERROR(__xludf.DUMMYFUNCTION("GOOGLETRANSLATE(A1701,""en"",""pt-br"")"),"inquietantemente")</f>
        <v>inquietantemente</v>
      </c>
      <c r="D1701" s="1" t="str">
        <f>IFERROR(__xludf.DUMMYFUNCTION("GOOGLETRANSLATE(B1701,""en"",""pt-br"")"),"negativo")</f>
        <v>negativo</v>
      </c>
    </row>
    <row r="1702" ht="15.75" customHeight="1">
      <c r="A1702" s="2" t="s">
        <v>1704</v>
      </c>
      <c r="B1702" s="2" t="s">
        <v>3</v>
      </c>
      <c r="C1702" s="1" t="str">
        <f>IFERROR(__xludf.DUMMYFUNCTION("GOOGLETRANSLATE(A1702,""en"",""pt-br"")"),"inquietação")</f>
        <v>inquietação</v>
      </c>
      <c r="D1702" s="1" t="str">
        <f>IFERROR(__xludf.DUMMYFUNCTION("GOOGLETRANSLATE(B1702,""en"",""pt-br"")"),"negativo")</f>
        <v>negativo</v>
      </c>
    </row>
    <row r="1703" ht="15.75" customHeight="1">
      <c r="A1703" s="2" t="s">
        <v>1705</v>
      </c>
      <c r="B1703" s="2" t="s">
        <v>3</v>
      </c>
      <c r="C1703" s="1" t="str">
        <f>IFERROR(__xludf.DUMMYFUNCTION("GOOGLETRANSLATE(A1703,""en"",""pt-br"")"),"desprezo")</f>
        <v>desprezo</v>
      </c>
      <c r="D1703" s="1" t="str">
        <f>IFERROR(__xludf.DUMMYFUNCTION("GOOGLETRANSLATE(B1703,""en"",""pt-br"")"),"negativo")</f>
        <v>negativo</v>
      </c>
    </row>
    <row r="1704" ht="15.75" customHeight="1">
      <c r="A1704" s="2" t="s">
        <v>1706</v>
      </c>
      <c r="B1704" s="2" t="s">
        <v>3</v>
      </c>
      <c r="C1704" s="1" t="str">
        <f>IFERROR(__xludf.DUMMYFUNCTION("GOOGLETRANSLATE(A1704,""en"",""pt-br"")"),"desatenciosos")</f>
        <v>desatenciosos</v>
      </c>
      <c r="D1704" s="1" t="str">
        <f>IFERROR(__xludf.DUMMYFUNCTION("GOOGLETRANSLATE(B1704,""en"",""pt-br"")"),"negativo")</f>
        <v>negativo</v>
      </c>
    </row>
    <row r="1705" ht="15.75" customHeight="1">
      <c r="A1705" s="2" t="s">
        <v>1707</v>
      </c>
      <c r="B1705" s="2" t="s">
        <v>3</v>
      </c>
      <c r="C1705" s="1" t="str">
        <f>IFERROR(__xludf.DUMMYFUNCTION("GOOGLETRANSLATE(A1705,""en"",""pt-br"")"),"vergonhoso")</f>
        <v>vergonhoso</v>
      </c>
      <c r="D1705" s="1" t="str">
        <f>IFERROR(__xludf.DUMMYFUNCTION("GOOGLETRANSLATE(B1705,""en"",""pt-br"")"),"negativo")</f>
        <v>negativo</v>
      </c>
    </row>
    <row r="1706" ht="15.75" customHeight="1">
      <c r="A1706" s="2" t="s">
        <v>1708</v>
      </c>
      <c r="B1706" s="2" t="s">
        <v>3</v>
      </c>
      <c r="C1706" s="1" t="str">
        <f>IFERROR(__xludf.DUMMYFUNCTION("GOOGLETRANSLATE(A1706,""en"",""pt-br"")"),"descrédito")</f>
        <v>descrédito</v>
      </c>
      <c r="D1706" s="1" t="str">
        <f>IFERROR(__xludf.DUMMYFUNCTION("GOOGLETRANSLATE(B1706,""en"",""pt-br"")"),"negativo")</f>
        <v>negativo</v>
      </c>
    </row>
    <row r="1707" ht="15.75" customHeight="1">
      <c r="A1707" s="2" t="s">
        <v>1709</v>
      </c>
      <c r="B1707" s="2" t="s">
        <v>3</v>
      </c>
      <c r="C1707" s="1" t="str">
        <f>IFERROR(__xludf.DUMMYFUNCTION("GOOGLETRANSLATE(A1707,""en"",""pt-br"")"),"desrespeito")</f>
        <v>desrespeito</v>
      </c>
      <c r="D1707" s="1" t="str">
        <f>IFERROR(__xludf.DUMMYFUNCTION("GOOGLETRANSLATE(B1707,""en"",""pt-br"")"),"negativo")</f>
        <v>negativo</v>
      </c>
    </row>
    <row r="1708" ht="15.75" customHeight="1">
      <c r="A1708" s="2" t="s">
        <v>1710</v>
      </c>
      <c r="B1708" s="2" t="s">
        <v>3</v>
      </c>
      <c r="C1708" s="1" t="str">
        <f>IFERROR(__xludf.DUMMYFUNCTION("GOOGLETRANSLATE(A1708,""en"",""pt-br"")"),"desrespeitoso")</f>
        <v>desrespeitoso</v>
      </c>
      <c r="D1708" s="1" t="str">
        <f>IFERROR(__xludf.DUMMYFUNCTION("GOOGLETRANSLATE(B1708,""en"",""pt-br"")"),"negativo")</f>
        <v>negativo</v>
      </c>
    </row>
    <row r="1709" ht="15.75" customHeight="1">
      <c r="A1709" s="2" t="s">
        <v>1711</v>
      </c>
      <c r="B1709" s="2" t="s">
        <v>3</v>
      </c>
      <c r="C1709" s="1" t="str">
        <f>IFERROR(__xludf.DUMMYFUNCTION("GOOGLETRANSLATE(A1709,""en"",""pt-br"")"),"disrespectablity")</f>
        <v>disrespectablity</v>
      </c>
      <c r="D1709" s="1" t="str">
        <f>IFERROR(__xludf.DUMMYFUNCTION("GOOGLETRANSLATE(B1709,""en"",""pt-br"")"),"negativo")</f>
        <v>negativo</v>
      </c>
    </row>
    <row r="1710" ht="15.75" customHeight="1">
      <c r="A1710" s="2" t="s">
        <v>1712</v>
      </c>
      <c r="B1710" s="2" t="s">
        <v>3</v>
      </c>
      <c r="C1710" s="1" t="str">
        <f>IFERROR(__xludf.DUMMYFUNCTION("GOOGLETRANSLATE(A1710,""en"",""pt-br"")"),"desrespeitoso")</f>
        <v>desrespeitoso</v>
      </c>
      <c r="D1710" s="1" t="str">
        <f>IFERROR(__xludf.DUMMYFUNCTION("GOOGLETRANSLATE(B1710,""en"",""pt-br"")"),"negativo")</f>
        <v>negativo</v>
      </c>
    </row>
    <row r="1711" ht="15.75" customHeight="1">
      <c r="A1711" s="2" t="s">
        <v>1713</v>
      </c>
      <c r="B1711" s="2" t="s">
        <v>3</v>
      </c>
      <c r="C1711" s="1" t="str">
        <f>IFERROR(__xludf.DUMMYFUNCTION("GOOGLETRANSLATE(A1711,""en"",""pt-br"")"),"desrespeitosamente")</f>
        <v>desrespeitosamente</v>
      </c>
      <c r="D1711" s="1" t="str">
        <f>IFERROR(__xludf.DUMMYFUNCTION("GOOGLETRANSLATE(B1711,""en"",""pt-br"")"),"negativo")</f>
        <v>negativo</v>
      </c>
    </row>
    <row r="1712" ht="15.75" customHeight="1">
      <c r="A1712" s="2" t="s">
        <v>1714</v>
      </c>
      <c r="B1712" s="2" t="s">
        <v>3</v>
      </c>
      <c r="C1712" s="1" t="str">
        <f>IFERROR(__xludf.DUMMYFUNCTION("GOOGLETRANSLATE(A1712,""en"",""pt-br"")"),"disrespectfulness")</f>
        <v>disrespectfulness</v>
      </c>
      <c r="D1712" s="1" t="str">
        <f>IFERROR(__xludf.DUMMYFUNCTION("GOOGLETRANSLATE(B1712,""en"",""pt-br"")"),"negativo")</f>
        <v>negativo</v>
      </c>
    </row>
    <row r="1713" ht="15.75" customHeight="1">
      <c r="A1713" s="2" t="s">
        <v>1715</v>
      </c>
      <c r="B1713" s="2" t="s">
        <v>3</v>
      </c>
      <c r="C1713" s="1" t="str">
        <f>IFERROR(__xludf.DUMMYFUNCTION("GOOGLETRANSLATE(A1713,""en"",""pt-br"")"),"desrespeitando")</f>
        <v>desrespeitando</v>
      </c>
      <c r="D1713" s="1" t="str">
        <f>IFERROR(__xludf.DUMMYFUNCTION("GOOGLETRANSLATE(B1713,""en"",""pt-br"")"),"negativo")</f>
        <v>negativo</v>
      </c>
    </row>
    <row r="1714" ht="15.75" customHeight="1">
      <c r="A1714" s="2" t="s">
        <v>1716</v>
      </c>
      <c r="B1714" s="2" t="s">
        <v>3</v>
      </c>
      <c r="C1714" s="1" t="str">
        <f>IFERROR(__xludf.DUMMYFUNCTION("GOOGLETRANSLATE(A1714,""en"",""pt-br"")"),"perturbe")</f>
        <v>perturbe</v>
      </c>
      <c r="D1714" s="1" t="str">
        <f>IFERROR(__xludf.DUMMYFUNCTION("GOOGLETRANSLATE(B1714,""en"",""pt-br"")"),"negativo")</f>
        <v>negativo</v>
      </c>
    </row>
    <row r="1715" ht="15.75" customHeight="1">
      <c r="A1715" s="2" t="s">
        <v>1717</v>
      </c>
      <c r="B1715" s="2" t="s">
        <v>3</v>
      </c>
      <c r="C1715" s="1" t="str">
        <f>IFERROR(__xludf.DUMMYFUNCTION("GOOGLETRANSLATE(A1715,""en"",""pt-br"")"),"rompimento")</f>
        <v>rompimento</v>
      </c>
      <c r="D1715" s="1" t="str">
        <f>IFERROR(__xludf.DUMMYFUNCTION("GOOGLETRANSLATE(B1715,""en"",""pt-br"")"),"negativo")</f>
        <v>negativo</v>
      </c>
    </row>
    <row r="1716" ht="15.75" customHeight="1">
      <c r="A1716" s="2" t="s">
        <v>1718</v>
      </c>
      <c r="B1716" s="2" t="s">
        <v>3</v>
      </c>
      <c r="C1716" s="1" t="str">
        <f>IFERROR(__xludf.DUMMYFUNCTION("GOOGLETRANSLATE(A1716,""en"",""pt-br"")"),"disruptivo")</f>
        <v>disruptivo</v>
      </c>
      <c r="D1716" s="1" t="str">
        <f>IFERROR(__xludf.DUMMYFUNCTION("GOOGLETRANSLATE(B1716,""en"",""pt-br"")"),"negativo")</f>
        <v>negativo</v>
      </c>
    </row>
    <row r="1717" ht="15.75" customHeight="1">
      <c r="A1717" s="2" t="s">
        <v>1719</v>
      </c>
      <c r="B1717" s="2" t="s">
        <v>3</v>
      </c>
      <c r="C1717" s="1" t="str">
        <f>IFERROR(__xludf.DUMMYFUNCTION("GOOGLETRANSLATE(A1717,""en"",""pt-br"")"),"Diss")</f>
        <v>Diss</v>
      </c>
      <c r="D1717" s="1" t="str">
        <f>IFERROR(__xludf.DUMMYFUNCTION("GOOGLETRANSLATE(B1717,""en"",""pt-br"")"),"negativo")</f>
        <v>negativo</v>
      </c>
    </row>
    <row r="1718" ht="15.75" customHeight="1">
      <c r="A1718" s="2" t="s">
        <v>1720</v>
      </c>
      <c r="B1718" s="2" t="s">
        <v>3</v>
      </c>
      <c r="C1718" s="1" t="str">
        <f>IFERROR(__xludf.DUMMYFUNCTION("GOOGLETRANSLATE(A1718,""en"",""pt-br"")"),"desapontado")</f>
        <v>desapontado</v>
      </c>
      <c r="D1718" s="1" t="str">
        <f>IFERROR(__xludf.DUMMYFUNCTION("GOOGLETRANSLATE(B1718,""en"",""pt-br"")"),"negativo")</f>
        <v>negativo</v>
      </c>
    </row>
    <row r="1719" ht="15.75" customHeight="1">
      <c r="A1719" s="2" t="s">
        <v>1721</v>
      </c>
      <c r="B1719" s="2" t="s">
        <v>3</v>
      </c>
      <c r="C1719" s="1" t="str">
        <f>IFERROR(__xludf.DUMMYFUNCTION("GOOGLETRANSLATE(A1719,""en"",""pt-br"")"),"dissappointed")</f>
        <v>dissappointed</v>
      </c>
      <c r="D1719" s="1" t="str">
        <f>IFERROR(__xludf.DUMMYFUNCTION("GOOGLETRANSLATE(B1719,""en"",""pt-br"")"),"negativo")</f>
        <v>negativo</v>
      </c>
    </row>
    <row r="1720" ht="15.75" customHeight="1">
      <c r="A1720" s="2" t="s">
        <v>1722</v>
      </c>
      <c r="B1720" s="2" t="s">
        <v>3</v>
      </c>
      <c r="C1720" s="1" t="str">
        <f>IFERROR(__xludf.DUMMYFUNCTION("GOOGLETRANSLATE(A1720,""en"",""pt-br"")"),"dissappointing")</f>
        <v>dissappointing</v>
      </c>
      <c r="D1720" s="1" t="str">
        <f>IFERROR(__xludf.DUMMYFUNCTION("GOOGLETRANSLATE(B1720,""en"",""pt-br"")"),"negativo")</f>
        <v>negativo</v>
      </c>
    </row>
    <row r="1721" ht="15.75" customHeight="1">
      <c r="A1721" s="2" t="s">
        <v>1723</v>
      </c>
      <c r="B1721" s="2" t="s">
        <v>3</v>
      </c>
      <c r="C1721" s="1" t="str">
        <f>IFERROR(__xludf.DUMMYFUNCTION("GOOGLETRANSLATE(A1721,""en"",""pt-br"")"),"descontentamento")</f>
        <v>descontentamento</v>
      </c>
      <c r="D1721" s="1" t="str">
        <f>IFERROR(__xludf.DUMMYFUNCTION("GOOGLETRANSLATE(B1721,""en"",""pt-br"")"),"negativo")</f>
        <v>negativo</v>
      </c>
    </row>
    <row r="1722" ht="15.75" customHeight="1">
      <c r="A1722" s="2" t="s">
        <v>1724</v>
      </c>
      <c r="B1722" s="2" t="s">
        <v>3</v>
      </c>
      <c r="C1722" s="1" t="str">
        <f>IFERROR(__xludf.DUMMYFUNCTION("GOOGLETRANSLATE(A1722,""en"",""pt-br"")"),"insatisfeito")</f>
        <v>insatisfeito</v>
      </c>
      <c r="D1722" s="1" t="str">
        <f>IFERROR(__xludf.DUMMYFUNCTION("GOOGLETRANSLATE(B1722,""en"",""pt-br"")"),"negativo")</f>
        <v>negativo</v>
      </c>
    </row>
    <row r="1723" ht="15.75" customHeight="1">
      <c r="A1723" s="2" t="s">
        <v>1725</v>
      </c>
      <c r="B1723" s="2" t="s">
        <v>3</v>
      </c>
      <c r="C1723" s="1" t="str">
        <f>IFERROR(__xludf.DUMMYFUNCTION("GOOGLETRANSLATE(A1723,""en"",""pt-br"")"),"insatisfeito")</f>
        <v>insatisfeito</v>
      </c>
      <c r="D1723" s="1" t="str">
        <f>IFERROR(__xludf.DUMMYFUNCTION("GOOGLETRANSLATE(B1723,""en"",""pt-br"")"),"negativo")</f>
        <v>negativo</v>
      </c>
    </row>
    <row r="1724" ht="15.75" customHeight="1">
      <c r="A1724" s="2" t="s">
        <v>1726</v>
      </c>
      <c r="B1724" s="2" t="s">
        <v>3</v>
      </c>
      <c r="C1724" s="1" t="str">
        <f>IFERROR(__xludf.DUMMYFUNCTION("GOOGLETRANSLATE(A1724,""en"",""pt-br"")"),"descontenta")</f>
        <v>descontenta</v>
      </c>
      <c r="D1724" s="1" t="str">
        <f>IFERROR(__xludf.DUMMYFUNCTION("GOOGLETRANSLATE(B1724,""en"",""pt-br"")"),"negativo")</f>
        <v>negativo</v>
      </c>
    </row>
    <row r="1725" ht="15.75" customHeight="1">
      <c r="A1725" s="2" t="s">
        <v>1727</v>
      </c>
      <c r="B1725" s="2" t="s">
        <v>3</v>
      </c>
      <c r="C1725" s="1" t="str">
        <f>IFERROR(__xludf.DUMMYFUNCTION("GOOGLETRANSLATE(A1725,""en"",""pt-br"")"),"desagradar")</f>
        <v>desagradar</v>
      </c>
      <c r="D1725" s="1" t="str">
        <f>IFERROR(__xludf.DUMMYFUNCTION("GOOGLETRANSLATE(B1725,""en"",""pt-br"")"),"negativo")</f>
        <v>negativo</v>
      </c>
    </row>
    <row r="1726" ht="15.75" customHeight="1">
      <c r="A1726" s="2" t="s">
        <v>1728</v>
      </c>
      <c r="B1726" s="2" t="s">
        <v>3</v>
      </c>
      <c r="C1726" s="1" t="str">
        <f>IFERROR(__xludf.DUMMYFUNCTION("GOOGLETRANSLATE(A1726,""en"",""pt-br"")"),"dissatisfying")</f>
        <v>dissatisfying</v>
      </c>
      <c r="D1726" s="1" t="str">
        <f>IFERROR(__xludf.DUMMYFUNCTION("GOOGLETRANSLATE(B1726,""en"",""pt-br"")"),"negativo")</f>
        <v>negativo</v>
      </c>
    </row>
    <row r="1727" ht="15.75" customHeight="1">
      <c r="A1727" s="2" t="s">
        <v>1729</v>
      </c>
      <c r="B1727" s="2" t="s">
        <v>3</v>
      </c>
      <c r="C1727" s="1" t="str">
        <f>IFERROR(__xludf.DUMMYFUNCTION("GOOGLETRANSLATE(A1727,""en"",""pt-br"")"),"humilhado")</f>
        <v>humilhado</v>
      </c>
      <c r="D1727" s="1" t="str">
        <f>IFERROR(__xludf.DUMMYFUNCTION("GOOGLETRANSLATE(B1727,""en"",""pt-br"")"),"negativo")</f>
        <v>negativo</v>
      </c>
    </row>
    <row r="1728" ht="15.75" customHeight="1">
      <c r="A1728" s="2" t="s">
        <v>1730</v>
      </c>
      <c r="B1728" s="2" t="s">
        <v>3</v>
      </c>
      <c r="C1728" s="1" t="str">
        <f>IFERROR(__xludf.DUMMYFUNCTION("GOOGLETRANSLATE(A1728,""en"",""pt-br"")"),"dissimular")</f>
        <v>dissimular</v>
      </c>
      <c r="D1728" s="1" t="str">
        <f>IFERROR(__xludf.DUMMYFUNCTION("GOOGLETRANSLATE(B1728,""en"",""pt-br"")"),"negativo")</f>
        <v>negativo</v>
      </c>
    </row>
    <row r="1729" ht="15.75" customHeight="1">
      <c r="A1729" s="2" t="s">
        <v>1731</v>
      </c>
      <c r="B1729" s="2" t="s">
        <v>3</v>
      </c>
      <c r="C1729" s="1" t="str">
        <f>IFERROR(__xludf.DUMMYFUNCTION("GOOGLETRANSLATE(A1729,""en"",""pt-br"")"),"dissimulador")</f>
        <v>dissimulador</v>
      </c>
      <c r="D1729" s="1" t="str">
        <f>IFERROR(__xludf.DUMMYFUNCTION("GOOGLETRANSLATE(B1729,""en"",""pt-br"")"),"negativo")</f>
        <v>negativo</v>
      </c>
    </row>
    <row r="1730" ht="15.75" customHeight="1">
      <c r="A1730" s="2" t="s">
        <v>1732</v>
      </c>
      <c r="B1730" s="2" t="s">
        <v>3</v>
      </c>
      <c r="C1730" s="1" t="str">
        <f>IFERROR(__xludf.DUMMYFUNCTION("GOOGLETRANSLATE(A1730,""en"",""pt-br"")"),"dissensão")</f>
        <v>dissensão</v>
      </c>
      <c r="D1730" s="1" t="str">
        <f>IFERROR(__xludf.DUMMYFUNCTION("GOOGLETRANSLATE(B1730,""en"",""pt-br"")"),"negativo")</f>
        <v>negativo</v>
      </c>
    </row>
    <row r="1731" ht="15.75" customHeight="1">
      <c r="A1731" s="2" t="s">
        <v>1733</v>
      </c>
      <c r="B1731" s="2" t="s">
        <v>3</v>
      </c>
      <c r="C1731" s="1" t="str">
        <f>IFERROR(__xludf.DUMMYFUNCTION("GOOGLETRANSLATE(A1731,""en"",""pt-br"")"),"dissidência")</f>
        <v>dissidência</v>
      </c>
      <c r="D1731" s="1" t="str">
        <f>IFERROR(__xludf.DUMMYFUNCTION("GOOGLETRANSLATE(B1731,""en"",""pt-br"")"),"negativo")</f>
        <v>negativo</v>
      </c>
    </row>
    <row r="1732" ht="15.75" customHeight="1">
      <c r="A1732" s="2" t="s">
        <v>1734</v>
      </c>
      <c r="B1732" s="2" t="s">
        <v>3</v>
      </c>
      <c r="C1732" s="1" t="str">
        <f>IFERROR(__xludf.DUMMYFUNCTION("GOOGLETRANSLATE(A1732,""en"",""pt-br"")"),"dissidente")</f>
        <v>dissidente</v>
      </c>
      <c r="D1732" s="1" t="str">
        <f>IFERROR(__xludf.DUMMYFUNCTION("GOOGLETRANSLATE(B1732,""en"",""pt-br"")"),"negativo")</f>
        <v>negativo</v>
      </c>
    </row>
    <row r="1733" ht="15.75" customHeight="1">
      <c r="A1733" s="2" t="s">
        <v>1735</v>
      </c>
      <c r="B1733" s="2" t="s">
        <v>3</v>
      </c>
      <c r="C1733" s="1" t="str">
        <f>IFERROR(__xludf.DUMMYFUNCTION("GOOGLETRANSLATE(A1733,""en"",""pt-br"")"),"dissention")</f>
        <v>dissention</v>
      </c>
      <c r="D1733" s="1" t="str">
        <f>IFERROR(__xludf.DUMMYFUNCTION("GOOGLETRANSLATE(B1733,""en"",""pt-br"")"),"negativo")</f>
        <v>negativo</v>
      </c>
    </row>
    <row r="1734" ht="15.75" customHeight="1">
      <c r="A1734" s="2" t="s">
        <v>1736</v>
      </c>
      <c r="B1734" s="2" t="s">
        <v>3</v>
      </c>
      <c r="C1734" s="1" t="str">
        <f>IFERROR(__xludf.DUMMYFUNCTION("GOOGLETRANSLATE(A1734,""en"",""pt-br"")"),"desserviço")</f>
        <v>desserviço</v>
      </c>
      <c r="D1734" s="1" t="str">
        <f>IFERROR(__xludf.DUMMYFUNCTION("GOOGLETRANSLATE(B1734,""en"",""pt-br"")"),"negativo")</f>
        <v>negativo</v>
      </c>
    </row>
    <row r="1735" ht="15.75" customHeight="1">
      <c r="A1735" s="2" t="s">
        <v>1737</v>
      </c>
      <c r="B1735" s="2" t="s">
        <v>3</v>
      </c>
      <c r="C1735" s="1" t="str">
        <f>IFERROR(__xludf.DUMMYFUNCTION("GOOGLETRANSLATE(A1735,""en"",""pt-br"")"),"disses")</f>
        <v>disses</v>
      </c>
      <c r="D1735" s="1" t="str">
        <f>IFERROR(__xludf.DUMMYFUNCTION("GOOGLETRANSLATE(B1735,""en"",""pt-br"")"),"negativo")</f>
        <v>negativo</v>
      </c>
    </row>
    <row r="1736" ht="15.75" customHeight="1">
      <c r="A1736" s="2" t="s">
        <v>1738</v>
      </c>
      <c r="B1736" s="2" t="s">
        <v>3</v>
      </c>
      <c r="C1736" s="1" t="str">
        <f>IFERROR(__xludf.DUMMYFUNCTION("GOOGLETRANSLATE(A1736,""en"",""pt-br"")"),"dissidência")</f>
        <v>dissidência</v>
      </c>
      <c r="D1736" s="1" t="str">
        <f>IFERROR(__xludf.DUMMYFUNCTION("GOOGLETRANSLATE(B1736,""en"",""pt-br"")"),"negativo")</f>
        <v>negativo</v>
      </c>
    </row>
    <row r="1737" ht="15.75" customHeight="1">
      <c r="A1737" s="2" t="s">
        <v>1739</v>
      </c>
      <c r="B1737" s="2" t="s">
        <v>3</v>
      </c>
      <c r="C1737" s="1" t="str">
        <f>IFERROR(__xludf.DUMMYFUNCTION("GOOGLETRANSLATE(A1737,""en"",""pt-br"")"),"dissidente")</f>
        <v>dissidente</v>
      </c>
      <c r="D1737" s="1" t="str">
        <f>IFERROR(__xludf.DUMMYFUNCTION("GOOGLETRANSLATE(B1737,""en"",""pt-br"")"),"negativo")</f>
        <v>negativo</v>
      </c>
    </row>
    <row r="1738" ht="15.75" customHeight="1">
      <c r="A1738" s="2" t="s">
        <v>1740</v>
      </c>
      <c r="B1738" s="2" t="s">
        <v>3</v>
      </c>
      <c r="C1738" s="1" t="str">
        <f>IFERROR(__xludf.DUMMYFUNCTION("GOOGLETRANSLATE(A1738,""en"",""pt-br"")"),"dissidentes")</f>
        <v>dissidentes</v>
      </c>
      <c r="D1738" s="1" t="str">
        <f>IFERROR(__xludf.DUMMYFUNCTION("GOOGLETRANSLATE(B1738,""en"",""pt-br"")"),"negativo")</f>
        <v>negativo</v>
      </c>
    </row>
    <row r="1739" ht="15.75" customHeight="1">
      <c r="A1739" s="2" t="s">
        <v>1741</v>
      </c>
      <c r="B1739" s="2" t="s">
        <v>3</v>
      </c>
      <c r="C1739" s="1" t="str">
        <f>IFERROR(__xludf.DUMMYFUNCTION("GOOGLETRANSLATE(A1739,""en"",""pt-br"")"),"Dissing")</f>
        <v>Dissing</v>
      </c>
      <c r="D1739" s="1" t="str">
        <f>IFERROR(__xludf.DUMMYFUNCTION("GOOGLETRANSLATE(B1739,""en"",""pt-br"")"),"negativo")</f>
        <v>negativo</v>
      </c>
    </row>
    <row r="1740" ht="15.75" customHeight="1">
      <c r="A1740" s="2" t="s">
        <v>1742</v>
      </c>
      <c r="B1740" s="2" t="s">
        <v>3</v>
      </c>
      <c r="C1740" s="1" t="str">
        <f>IFERROR(__xludf.DUMMYFUNCTION("GOOGLETRANSLATE(A1740,""en"",""pt-br"")"),"separável")</f>
        <v>separável</v>
      </c>
      <c r="D1740" s="1" t="str">
        <f>IFERROR(__xludf.DUMMYFUNCTION("GOOGLETRANSLATE(B1740,""en"",""pt-br"")"),"negativo")</f>
        <v>negativo</v>
      </c>
    </row>
    <row r="1741" ht="15.75" customHeight="1">
      <c r="A1741" s="2" t="s">
        <v>1743</v>
      </c>
      <c r="B1741" s="2" t="s">
        <v>3</v>
      </c>
      <c r="C1741" s="1" t="str">
        <f>IFERROR(__xludf.DUMMYFUNCTION("GOOGLETRANSLATE(A1741,""en"",""pt-br"")"),"dissoluto")</f>
        <v>dissoluto</v>
      </c>
      <c r="D1741" s="1" t="str">
        <f>IFERROR(__xludf.DUMMYFUNCTION("GOOGLETRANSLATE(B1741,""en"",""pt-br"")"),"negativo")</f>
        <v>negativo</v>
      </c>
    </row>
    <row r="1742" ht="15.75" customHeight="1">
      <c r="A1742" s="2" t="s">
        <v>1744</v>
      </c>
      <c r="B1742" s="2" t="s">
        <v>3</v>
      </c>
      <c r="C1742" s="1" t="str">
        <f>IFERROR(__xludf.DUMMYFUNCTION("GOOGLETRANSLATE(A1742,""en"",""pt-br"")"),"dissolução")</f>
        <v>dissolução</v>
      </c>
      <c r="D1742" s="1" t="str">
        <f>IFERROR(__xludf.DUMMYFUNCTION("GOOGLETRANSLATE(B1742,""en"",""pt-br"")"),"negativo")</f>
        <v>negativo</v>
      </c>
    </row>
    <row r="1743" ht="15.75" customHeight="1">
      <c r="A1743" s="2" t="s">
        <v>1745</v>
      </c>
      <c r="B1743" s="2" t="s">
        <v>3</v>
      </c>
      <c r="C1743" s="1" t="str">
        <f>IFERROR(__xludf.DUMMYFUNCTION("GOOGLETRANSLATE(A1743,""en"",""pt-br"")"),"dissonância")</f>
        <v>dissonância</v>
      </c>
      <c r="D1743" s="1" t="str">
        <f>IFERROR(__xludf.DUMMYFUNCTION("GOOGLETRANSLATE(B1743,""en"",""pt-br"")"),"negativo")</f>
        <v>negativo</v>
      </c>
    </row>
    <row r="1744" ht="15.75" customHeight="1">
      <c r="A1744" s="2" t="s">
        <v>1746</v>
      </c>
      <c r="B1744" s="2" t="s">
        <v>3</v>
      </c>
      <c r="C1744" s="1" t="str">
        <f>IFERROR(__xludf.DUMMYFUNCTION("GOOGLETRANSLATE(A1744,""en"",""pt-br"")"),"dissonante")</f>
        <v>dissonante</v>
      </c>
      <c r="D1744" s="1" t="str">
        <f>IFERROR(__xludf.DUMMYFUNCTION("GOOGLETRANSLATE(B1744,""en"",""pt-br"")"),"negativo")</f>
        <v>negativo</v>
      </c>
    </row>
    <row r="1745" ht="15.75" customHeight="1">
      <c r="A1745" s="2" t="s">
        <v>1747</v>
      </c>
      <c r="B1745" s="2" t="s">
        <v>3</v>
      </c>
      <c r="C1745" s="1" t="str">
        <f>IFERROR(__xludf.DUMMYFUNCTION("GOOGLETRANSLATE(A1745,""en"",""pt-br"")"),"desafinação")</f>
        <v>desafinação</v>
      </c>
      <c r="D1745" s="1" t="str">
        <f>IFERROR(__xludf.DUMMYFUNCTION("GOOGLETRANSLATE(B1745,""en"",""pt-br"")"),"negativo")</f>
        <v>negativo</v>
      </c>
    </row>
    <row r="1746" ht="15.75" customHeight="1">
      <c r="A1746" s="2" t="s">
        <v>1748</v>
      </c>
      <c r="B1746" s="2" t="s">
        <v>3</v>
      </c>
      <c r="C1746" s="1" t="str">
        <f>IFERROR(__xludf.DUMMYFUNCTION("GOOGLETRANSLATE(A1746,""en"",""pt-br"")"),"dissuadir")</f>
        <v>dissuadir</v>
      </c>
      <c r="D1746" s="1" t="str">
        <f>IFERROR(__xludf.DUMMYFUNCTION("GOOGLETRANSLATE(B1746,""en"",""pt-br"")"),"negativo")</f>
        <v>negativo</v>
      </c>
    </row>
    <row r="1747" ht="15.75" customHeight="1">
      <c r="A1747" s="2" t="s">
        <v>1749</v>
      </c>
      <c r="B1747" s="2" t="s">
        <v>3</v>
      </c>
      <c r="C1747" s="1" t="str">
        <f>IFERROR(__xludf.DUMMYFUNCTION("GOOGLETRANSLATE(A1747,""en"",""pt-br"")"),"dissuasivo")</f>
        <v>dissuasivo</v>
      </c>
      <c r="D1747" s="1" t="str">
        <f>IFERROR(__xludf.DUMMYFUNCTION("GOOGLETRANSLATE(B1747,""en"",""pt-br"")"),"negativo")</f>
        <v>negativo</v>
      </c>
    </row>
    <row r="1748" ht="15.75" customHeight="1">
      <c r="A1748" s="2" t="s">
        <v>1750</v>
      </c>
      <c r="B1748" s="2" t="s">
        <v>3</v>
      </c>
      <c r="C1748" s="1" t="str">
        <f>IFERROR(__xludf.DUMMYFUNCTION("GOOGLETRANSLATE(A1748,""en"",""pt-br"")"),"distains")</f>
        <v>distains</v>
      </c>
      <c r="D1748" s="1" t="str">
        <f>IFERROR(__xludf.DUMMYFUNCTION("GOOGLETRANSLATE(B1748,""en"",""pt-br"")"),"negativo")</f>
        <v>negativo</v>
      </c>
    </row>
    <row r="1749" ht="15.75" customHeight="1">
      <c r="A1749" s="2" t="s">
        <v>1751</v>
      </c>
      <c r="B1749" s="2" t="s">
        <v>3</v>
      </c>
      <c r="C1749" s="1" t="str">
        <f>IFERROR(__xludf.DUMMYFUNCTION("GOOGLETRANSLATE(A1749,""en"",""pt-br"")"),"aversão")</f>
        <v>aversão</v>
      </c>
      <c r="D1749" s="1" t="str">
        <f>IFERROR(__xludf.DUMMYFUNCTION("GOOGLETRANSLATE(B1749,""en"",""pt-br"")"),"negativo")</f>
        <v>negativo</v>
      </c>
    </row>
    <row r="1750" ht="15.75" customHeight="1">
      <c r="A1750" s="2" t="s">
        <v>1752</v>
      </c>
      <c r="B1750" s="2" t="s">
        <v>3</v>
      </c>
      <c r="C1750" s="1" t="str">
        <f>IFERROR(__xludf.DUMMYFUNCTION("GOOGLETRANSLATE(A1750,""en"",""pt-br"")"),"desagradável")</f>
        <v>desagradável</v>
      </c>
      <c r="D1750" s="1" t="str">
        <f>IFERROR(__xludf.DUMMYFUNCTION("GOOGLETRANSLATE(B1750,""en"",""pt-br"")"),"negativo")</f>
        <v>negativo</v>
      </c>
    </row>
    <row r="1751" ht="15.75" customHeight="1">
      <c r="A1751" s="2" t="s">
        <v>1753</v>
      </c>
      <c r="B1751" s="2" t="s">
        <v>3</v>
      </c>
      <c r="C1751" s="1" t="str">
        <f>IFERROR(__xludf.DUMMYFUNCTION("GOOGLETRANSLATE(A1751,""en"",""pt-br"")"),"distastefully")</f>
        <v>distastefully</v>
      </c>
      <c r="D1751" s="1" t="str">
        <f>IFERROR(__xludf.DUMMYFUNCTION("GOOGLETRANSLATE(B1751,""en"",""pt-br"")"),"negativo")</f>
        <v>negativo</v>
      </c>
    </row>
    <row r="1752" ht="15.75" customHeight="1">
      <c r="A1752" s="2" t="s">
        <v>1754</v>
      </c>
      <c r="B1752" s="2" t="s">
        <v>14</v>
      </c>
      <c r="C1752" s="1" t="str">
        <f>IFERROR(__xludf.DUMMYFUNCTION("GOOGLETRANSLATE(A1752,""en"",""pt-br"")"),"distinção")</f>
        <v>distinção</v>
      </c>
      <c r="D1752" s="1" t="str">
        <f>IFERROR(__xludf.DUMMYFUNCTION("GOOGLETRANSLATE(B1752,""en"",""pt-br"")"),"positivo")</f>
        <v>positivo</v>
      </c>
    </row>
    <row r="1753" ht="15.75" customHeight="1">
      <c r="A1753" s="2" t="s">
        <v>1755</v>
      </c>
      <c r="B1753" s="2" t="s">
        <v>14</v>
      </c>
      <c r="C1753" s="1" t="str">
        <f>IFERROR(__xludf.DUMMYFUNCTION("GOOGLETRANSLATE(A1753,""en"",""pt-br"")"),"distintivo")</f>
        <v>distintivo</v>
      </c>
      <c r="D1753" s="1" t="str">
        <f>IFERROR(__xludf.DUMMYFUNCTION("GOOGLETRANSLATE(B1753,""en"",""pt-br"")"),"positivo")</f>
        <v>positivo</v>
      </c>
    </row>
    <row r="1754" ht="15.75" customHeight="1">
      <c r="A1754" s="2" t="s">
        <v>1756</v>
      </c>
      <c r="B1754" s="2" t="s">
        <v>14</v>
      </c>
      <c r="C1754" s="1" t="str">
        <f>IFERROR(__xludf.DUMMYFUNCTION("GOOGLETRANSLATE(A1754,""en"",""pt-br"")"),"distinguidos")</f>
        <v>distinguidos</v>
      </c>
      <c r="D1754" s="1" t="str">
        <f>IFERROR(__xludf.DUMMYFUNCTION("GOOGLETRANSLATE(B1754,""en"",""pt-br"")"),"positivo")</f>
        <v>positivo</v>
      </c>
    </row>
    <row r="1755" ht="15.75" customHeight="1">
      <c r="A1755" s="2" t="s">
        <v>1757</v>
      </c>
      <c r="B1755" s="2" t="s">
        <v>3</v>
      </c>
      <c r="C1755" s="1" t="str">
        <f>IFERROR(__xludf.DUMMYFUNCTION("GOOGLETRANSLATE(A1755,""en"",""pt-br"")"),"distorcer")</f>
        <v>distorcer</v>
      </c>
      <c r="D1755" s="1" t="str">
        <f>IFERROR(__xludf.DUMMYFUNCTION("GOOGLETRANSLATE(B1755,""en"",""pt-br"")"),"negativo")</f>
        <v>negativo</v>
      </c>
    </row>
    <row r="1756" ht="15.75" customHeight="1">
      <c r="A1756" s="2" t="s">
        <v>1758</v>
      </c>
      <c r="B1756" s="2" t="s">
        <v>3</v>
      </c>
      <c r="C1756" s="1" t="str">
        <f>IFERROR(__xludf.DUMMYFUNCTION("GOOGLETRANSLATE(A1756,""en"",""pt-br"")"),"distorcida")</f>
        <v>distorcida</v>
      </c>
      <c r="D1756" s="1" t="str">
        <f>IFERROR(__xludf.DUMMYFUNCTION("GOOGLETRANSLATE(B1756,""en"",""pt-br"")"),"negativo")</f>
        <v>negativo</v>
      </c>
    </row>
    <row r="1757" ht="15.75" customHeight="1">
      <c r="A1757" s="2" t="s">
        <v>1759</v>
      </c>
      <c r="B1757" s="2" t="s">
        <v>3</v>
      </c>
      <c r="C1757" s="1" t="str">
        <f>IFERROR(__xludf.DUMMYFUNCTION("GOOGLETRANSLATE(A1757,""en"",""pt-br"")"),"distorção")</f>
        <v>distorção</v>
      </c>
      <c r="D1757" s="1" t="str">
        <f>IFERROR(__xludf.DUMMYFUNCTION("GOOGLETRANSLATE(B1757,""en"",""pt-br"")"),"negativo")</f>
        <v>negativo</v>
      </c>
    </row>
    <row r="1758" ht="15.75" customHeight="1">
      <c r="A1758" s="2" t="s">
        <v>1760</v>
      </c>
      <c r="B1758" s="2" t="s">
        <v>3</v>
      </c>
      <c r="C1758" s="1" t="str">
        <f>IFERROR(__xludf.DUMMYFUNCTION("GOOGLETRANSLATE(A1758,""en"",""pt-br"")"),"distorce")</f>
        <v>distorce</v>
      </c>
      <c r="D1758" s="1" t="str">
        <f>IFERROR(__xludf.DUMMYFUNCTION("GOOGLETRANSLATE(B1758,""en"",""pt-br"")"),"negativo")</f>
        <v>negativo</v>
      </c>
    </row>
    <row r="1759" ht="15.75" customHeight="1">
      <c r="A1759" s="2" t="s">
        <v>1761</v>
      </c>
      <c r="B1759" s="2" t="s">
        <v>3</v>
      </c>
      <c r="C1759" s="1" t="str">
        <f>IFERROR(__xludf.DUMMYFUNCTION("GOOGLETRANSLATE(A1759,""en"",""pt-br"")"),"distrair")</f>
        <v>distrair</v>
      </c>
      <c r="D1759" s="1" t="str">
        <f>IFERROR(__xludf.DUMMYFUNCTION("GOOGLETRANSLATE(B1759,""en"",""pt-br"")"),"negativo")</f>
        <v>negativo</v>
      </c>
    </row>
    <row r="1760" ht="15.75" customHeight="1">
      <c r="A1760" s="2" t="s">
        <v>1762</v>
      </c>
      <c r="B1760" s="2" t="s">
        <v>3</v>
      </c>
      <c r="C1760" s="1" t="str">
        <f>IFERROR(__xludf.DUMMYFUNCTION("GOOGLETRANSLATE(A1760,""en"",""pt-br"")"),"perturbador")</f>
        <v>perturbador</v>
      </c>
      <c r="D1760" s="1" t="str">
        <f>IFERROR(__xludf.DUMMYFUNCTION("GOOGLETRANSLATE(B1760,""en"",""pt-br"")"),"negativo")</f>
        <v>negativo</v>
      </c>
    </row>
    <row r="1761" ht="15.75" customHeight="1">
      <c r="A1761" s="2" t="s">
        <v>1763</v>
      </c>
      <c r="B1761" s="2" t="s">
        <v>3</v>
      </c>
      <c r="C1761" s="1" t="str">
        <f>IFERROR(__xludf.DUMMYFUNCTION("GOOGLETRANSLATE(A1761,""en"",""pt-br"")"),"Distração")</f>
        <v>Distração</v>
      </c>
      <c r="D1761" s="1" t="str">
        <f>IFERROR(__xludf.DUMMYFUNCTION("GOOGLETRANSLATE(B1761,""en"",""pt-br"")"),"negativo")</f>
        <v>negativo</v>
      </c>
    </row>
    <row r="1762" ht="15.75" customHeight="1">
      <c r="A1762" s="2" t="s">
        <v>1764</v>
      </c>
      <c r="B1762" s="2" t="s">
        <v>3</v>
      </c>
      <c r="C1762" s="1" t="str">
        <f>IFERROR(__xludf.DUMMYFUNCTION("GOOGLETRANSLATE(A1762,""en"",""pt-br"")"),"perturbado")</f>
        <v>perturbado</v>
      </c>
      <c r="D1762" s="1" t="str">
        <f>IFERROR(__xludf.DUMMYFUNCTION("GOOGLETRANSLATE(B1762,""en"",""pt-br"")"),"negativo")</f>
        <v>negativo</v>
      </c>
    </row>
    <row r="1763" ht="15.75" customHeight="1">
      <c r="A1763" s="2" t="s">
        <v>1765</v>
      </c>
      <c r="B1763" s="2" t="s">
        <v>3</v>
      </c>
      <c r="C1763" s="1" t="str">
        <f>IFERROR(__xludf.DUMMYFUNCTION("GOOGLETRANSLATE(A1763,""en"",""pt-br"")"),"distraughtly")</f>
        <v>distraughtly</v>
      </c>
      <c r="D1763" s="1" t="str">
        <f>IFERROR(__xludf.DUMMYFUNCTION("GOOGLETRANSLATE(B1763,""en"",""pt-br"")"),"negativo")</f>
        <v>negativo</v>
      </c>
    </row>
    <row r="1764" ht="15.75" customHeight="1">
      <c r="A1764" s="2" t="s">
        <v>1766</v>
      </c>
      <c r="B1764" s="2" t="s">
        <v>3</v>
      </c>
      <c r="C1764" s="1" t="str">
        <f>IFERROR(__xludf.DUMMYFUNCTION("GOOGLETRANSLATE(A1764,""en"",""pt-br"")"),"distraughtness")</f>
        <v>distraughtness</v>
      </c>
      <c r="D1764" s="1" t="str">
        <f>IFERROR(__xludf.DUMMYFUNCTION("GOOGLETRANSLATE(B1764,""en"",""pt-br"")"),"negativo")</f>
        <v>negativo</v>
      </c>
    </row>
    <row r="1765" ht="15.75" customHeight="1">
      <c r="A1765" s="2" t="s">
        <v>1767</v>
      </c>
      <c r="B1765" s="2" t="s">
        <v>3</v>
      </c>
      <c r="C1765" s="1" t="str">
        <f>IFERROR(__xludf.DUMMYFUNCTION("GOOGLETRANSLATE(A1765,""en"",""pt-br"")"),"aflição")</f>
        <v>aflição</v>
      </c>
      <c r="D1765" s="1" t="str">
        <f>IFERROR(__xludf.DUMMYFUNCTION("GOOGLETRANSLATE(B1765,""en"",""pt-br"")"),"negativo")</f>
        <v>negativo</v>
      </c>
    </row>
    <row r="1766" ht="15.75" customHeight="1">
      <c r="A1766" s="2" t="s">
        <v>1768</v>
      </c>
      <c r="B1766" s="2" t="s">
        <v>3</v>
      </c>
      <c r="C1766" s="1" t="str">
        <f>IFERROR(__xludf.DUMMYFUNCTION("GOOGLETRANSLATE(A1766,""en"",""pt-br"")"),"angustiado")</f>
        <v>angustiado</v>
      </c>
      <c r="D1766" s="1" t="str">
        <f>IFERROR(__xludf.DUMMYFUNCTION("GOOGLETRANSLATE(B1766,""en"",""pt-br"")"),"negativo")</f>
        <v>negativo</v>
      </c>
    </row>
    <row r="1767" ht="15.75" customHeight="1">
      <c r="A1767" s="2" t="s">
        <v>1769</v>
      </c>
      <c r="B1767" s="2" t="s">
        <v>3</v>
      </c>
      <c r="C1767" s="1" t="str">
        <f>IFERROR(__xludf.DUMMYFUNCTION("GOOGLETRANSLATE(A1767,""en"",""pt-br"")"),"aflitivo")</f>
        <v>aflitivo</v>
      </c>
      <c r="D1767" s="1" t="str">
        <f>IFERROR(__xludf.DUMMYFUNCTION("GOOGLETRANSLATE(B1767,""en"",""pt-br"")"),"negativo")</f>
        <v>negativo</v>
      </c>
    </row>
    <row r="1768" ht="15.75" customHeight="1">
      <c r="A1768" s="2" t="s">
        <v>1770</v>
      </c>
      <c r="B1768" s="2" t="s">
        <v>3</v>
      </c>
      <c r="C1768" s="1" t="str">
        <f>IFERROR(__xludf.DUMMYFUNCTION("GOOGLETRANSLATE(A1768,""en"",""pt-br"")"),"distressingly")</f>
        <v>distressingly</v>
      </c>
      <c r="D1768" s="1" t="str">
        <f>IFERROR(__xludf.DUMMYFUNCTION("GOOGLETRANSLATE(B1768,""en"",""pt-br"")"),"negativo")</f>
        <v>negativo</v>
      </c>
    </row>
    <row r="1769" ht="15.75" customHeight="1">
      <c r="A1769" s="2" t="s">
        <v>1771</v>
      </c>
      <c r="B1769" s="2" t="s">
        <v>3</v>
      </c>
      <c r="C1769" s="1" t="str">
        <f>IFERROR(__xludf.DUMMYFUNCTION("GOOGLETRANSLATE(A1769,""en"",""pt-br"")"),"desconfiança")</f>
        <v>desconfiança</v>
      </c>
      <c r="D1769" s="1" t="str">
        <f>IFERROR(__xludf.DUMMYFUNCTION("GOOGLETRANSLATE(B1769,""en"",""pt-br"")"),"negativo")</f>
        <v>negativo</v>
      </c>
    </row>
    <row r="1770" ht="15.75" customHeight="1">
      <c r="A1770" s="2" t="s">
        <v>1772</v>
      </c>
      <c r="B1770" s="2" t="s">
        <v>3</v>
      </c>
      <c r="C1770" s="1" t="str">
        <f>IFERROR(__xludf.DUMMYFUNCTION("GOOGLETRANSLATE(A1770,""en"",""pt-br"")"),"desconfiado")</f>
        <v>desconfiado</v>
      </c>
      <c r="D1770" s="1" t="str">
        <f>IFERROR(__xludf.DUMMYFUNCTION("GOOGLETRANSLATE(B1770,""en"",""pt-br"")"),"negativo")</f>
        <v>negativo</v>
      </c>
    </row>
    <row r="1771" ht="15.75" customHeight="1">
      <c r="A1771" s="2" t="s">
        <v>1773</v>
      </c>
      <c r="B1771" s="2" t="s">
        <v>3</v>
      </c>
      <c r="C1771" s="1" t="str">
        <f>IFERROR(__xludf.DUMMYFUNCTION("GOOGLETRANSLATE(A1771,""en"",""pt-br"")"),"desconfiando")</f>
        <v>desconfiando</v>
      </c>
      <c r="D1771" s="1" t="str">
        <f>IFERROR(__xludf.DUMMYFUNCTION("GOOGLETRANSLATE(B1771,""en"",""pt-br"")"),"negativo")</f>
        <v>negativo</v>
      </c>
    </row>
    <row r="1772" ht="15.75" customHeight="1">
      <c r="A1772" s="2" t="s">
        <v>1774</v>
      </c>
      <c r="B1772" s="2" t="s">
        <v>3</v>
      </c>
      <c r="C1772" s="1" t="str">
        <f>IFERROR(__xludf.DUMMYFUNCTION("GOOGLETRANSLATE(A1772,""en"",""pt-br"")"),"perturbar")</f>
        <v>perturbar</v>
      </c>
      <c r="D1772" s="1" t="str">
        <f>IFERROR(__xludf.DUMMYFUNCTION("GOOGLETRANSLATE(B1772,""en"",""pt-br"")"),"negativo")</f>
        <v>negativo</v>
      </c>
    </row>
    <row r="1773" ht="15.75" customHeight="1">
      <c r="A1773" s="2" t="s">
        <v>1775</v>
      </c>
      <c r="B1773" s="2" t="s">
        <v>3</v>
      </c>
      <c r="C1773" s="1" t="str">
        <f>IFERROR(__xludf.DUMMYFUNCTION("GOOGLETRANSLATE(A1773,""en"",""pt-br"")"),"perturbação")</f>
        <v>perturbação</v>
      </c>
      <c r="D1773" s="1" t="str">
        <f>IFERROR(__xludf.DUMMYFUNCTION("GOOGLETRANSLATE(B1773,""en"",""pt-br"")"),"negativo")</f>
        <v>negativo</v>
      </c>
    </row>
    <row r="1774" ht="15.75" customHeight="1">
      <c r="A1774" s="2" t="s">
        <v>1776</v>
      </c>
      <c r="B1774" s="2" t="s">
        <v>3</v>
      </c>
      <c r="C1774" s="1" t="str">
        <f>IFERROR(__xludf.DUMMYFUNCTION("GOOGLETRANSLATE(A1774,""en"",""pt-br"")"),"perturbado")</f>
        <v>perturbado</v>
      </c>
      <c r="D1774" s="1" t="str">
        <f>IFERROR(__xludf.DUMMYFUNCTION("GOOGLETRANSLATE(B1774,""en"",""pt-br"")"),"negativo")</f>
        <v>negativo</v>
      </c>
    </row>
    <row r="1775" ht="15.75" customHeight="1">
      <c r="A1775" s="2" t="s">
        <v>1777</v>
      </c>
      <c r="B1775" s="2" t="s">
        <v>3</v>
      </c>
      <c r="C1775" s="1" t="str">
        <f>IFERROR(__xludf.DUMMYFUNCTION("GOOGLETRANSLATE(A1775,""en"",""pt-br"")"),"perturbando")</f>
        <v>perturbando</v>
      </c>
      <c r="D1775" s="1" t="str">
        <f>IFERROR(__xludf.DUMMYFUNCTION("GOOGLETRANSLATE(B1775,""en"",""pt-br"")"),"negativo")</f>
        <v>negativo</v>
      </c>
    </row>
    <row r="1776" ht="15.75" customHeight="1">
      <c r="A1776" s="2" t="s">
        <v>1778</v>
      </c>
      <c r="B1776" s="2" t="s">
        <v>3</v>
      </c>
      <c r="C1776" s="1" t="str">
        <f>IFERROR(__xludf.DUMMYFUNCTION("GOOGLETRANSLATE(A1776,""en"",""pt-br"")"),"perturbadoramente")</f>
        <v>perturbadoramente</v>
      </c>
      <c r="D1776" s="1" t="str">
        <f>IFERROR(__xludf.DUMMYFUNCTION("GOOGLETRANSLATE(B1776,""en"",""pt-br"")"),"negativo")</f>
        <v>negativo</v>
      </c>
    </row>
    <row r="1777" ht="15.75" customHeight="1">
      <c r="A1777" s="2" t="s">
        <v>1779</v>
      </c>
      <c r="B1777" s="2" t="s">
        <v>3</v>
      </c>
      <c r="C1777" s="1" t="str">
        <f>IFERROR(__xludf.DUMMYFUNCTION("GOOGLETRANSLATE(A1777,""en"",""pt-br"")"),"desunião")</f>
        <v>desunião</v>
      </c>
      <c r="D1777" s="1" t="str">
        <f>IFERROR(__xludf.DUMMYFUNCTION("GOOGLETRANSLATE(B1777,""en"",""pt-br"")"),"negativo")</f>
        <v>negativo</v>
      </c>
    </row>
    <row r="1778" ht="15.75" customHeight="1">
      <c r="A1778" s="2" t="s">
        <v>1780</v>
      </c>
      <c r="B1778" s="2" t="s">
        <v>3</v>
      </c>
      <c r="C1778" s="1" t="str">
        <f>IFERROR(__xludf.DUMMYFUNCTION("GOOGLETRANSLATE(A1778,""en"",""pt-br"")"),"desvalor")</f>
        <v>desvalor</v>
      </c>
      <c r="D1778" s="1" t="str">
        <f>IFERROR(__xludf.DUMMYFUNCTION("GOOGLETRANSLATE(B1778,""en"",""pt-br"")"),"negativo")</f>
        <v>negativo</v>
      </c>
    </row>
    <row r="1779" ht="15.75" customHeight="1">
      <c r="A1779" s="2" t="s">
        <v>1781</v>
      </c>
      <c r="B1779" s="2" t="s">
        <v>3</v>
      </c>
      <c r="C1779" s="1" t="str">
        <f>IFERROR(__xludf.DUMMYFUNCTION("GOOGLETRANSLATE(A1779,""en"",""pt-br"")"),"divergente")</f>
        <v>divergente</v>
      </c>
      <c r="D1779" s="1" t="str">
        <f>IFERROR(__xludf.DUMMYFUNCTION("GOOGLETRANSLATE(B1779,""en"",""pt-br"")"),"negativo")</f>
        <v>negativo</v>
      </c>
    </row>
    <row r="1780" ht="15.75" customHeight="1">
      <c r="A1780" s="2" t="s">
        <v>1782</v>
      </c>
      <c r="B1780" s="2" t="s">
        <v>14</v>
      </c>
      <c r="C1780" s="1" t="str">
        <f>IFERROR(__xludf.DUMMYFUNCTION("GOOGLETRANSLATE(A1780,""en"",""pt-br"")"),"diversificado")</f>
        <v>diversificado</v>
      </c>
      <c r="D1780" s="1" t="str">
        <f>IFERROR(__xludf.DUMMYFUNCTION("GOOGLETRANSLATE(B1780,""en"",""pt-br"")"),"positivo")</f>
        <v>positivo</v>
      </c>
    </row>
    <row r="1781" ht="15.75" customHeight="1">
      <c r="A1781" s="2" t="s">
        <v>1783</v>
      </c>
      <c r="B1781" s="2" t="s">
        <v>14</v>
      </c>
      <c r="C1781" s="1" t="str">
        <f>IFERROR(__xludf.DUMMYFUNCTION("GOOGLETRANSLATE(A1781,""en"",""pt-br"")"),"divino")</f>
        <v>divino</v>
      </c>
      <c r="D1781" s="1" t="str">
        <f>IFERROR(__xludf.DUMMYFUNCTION("GOOGLETRANSLATE(B1781,""en"",""pt-br"")"),"positivo")</f>
        <v>positivo</v>
      </c>
    </row>
    <row r="1782" ht="15.75" customHeight="1">
      <c r="A1782" s="2" t="s">
        <v>1784</v>
      </c>
      <c r="B1782" s="2" t="s">
        <v>14</v>
      </c>
      <c r="C1782" s="1" t="str">
        <f>IFERROR(__xludf.DUMMYFUNCTION("GOOGLETRANSLATE(A1782,""en"",""pt-br"")"),"divinamente")</f>
        <v>divinamente</v>
      </c>
      <c r="D1782" s="1" t="str">
        <f>IFERROR(__xludf.DUMMYFUNCTION("GOOGLETRANSLATE(B1782,""en"",""pt-br"")"),"positivo")</f>
        <v>positivo</v>
      </c>
    </row>
    <row r="1783" ht="15.75" customHeight="1">
      <c r="A1783" s="2" t="s">
        <v>1785</v>
      </c>
      <c r="B1783" s="2" t="s">
        <v>3</v>
      </c>
      <c r="C1783" s="1" t="str">
        <f>IFERROR(__xludf.DUMMYFUNCTION("GOOGLETRANSLATE(A1783,""en"",""pt-br"")"),"divisionista")</f>
        <v>divisionista</v>
      </c>
      <c r="D1783" s="1" t="str">
        <f>IFERROR(__xludf.DUMMYFUNCTION("GOOGLETRANSLATE(B1783,""en"",""pt-br"")"),"negativo")</f>
        <v>negativo</v>
      </c>
    </row>
    <row r="1784" ht="15.75" customHeight="1">
      <c r="A1784" s="2" t="s">
        <v>1786</v>
      </c>
      <c r="B1784" s="2" t="s">
        <v>3</v>
      </c>
      <c r="C1784" s="1" t="str">
        <f>IFERROR(__xludf.DUMMYFUNCTION("GOOGLETRANSLATE(A1784,""en"",""pt-br"")"),"malícia")</f>
        <v>malícia</v>
      </c>
      <c r="D1784" s="1" t="str">
        <f>IFERROR(__xludf.DUMMYFUNCTION("GOOGLETRANSLATE(B1784,""en"",""pt-br"")"),"negativo")</f>
        <v>negativo</v>
      </c>
    </row>
    <row r="1785" ht="15.75" customHeight="1">
      <c r="A1785" s="2" t="s">
        <v>1787</v>
      </c>
      <c r="B1785" s="2" t="s">
        <v>3</v>
      </c>
      <c r="C1785" s="1" t="str">
        <f>IFERROR(__xludf.DUMMYFUNCTION("GOOGLETRANSLATE(A1785,""en"",""pt-br"")"),"divisão")</f>
        <v>divisão</v>
      </c>
      <c r="D1785" s="1" t="str">
        <f>IFERROR(__xludf.DUMMYFUNCTION("GOOGLETRANSLATE(B1785,""en"",""pt-br"")"),"negativo")</f>
        <v>negativo</v>
      </c>
    </row>
    <row r="1786" ht="15.75" customHeight="1">
      <c r="A1786" s="2" t="s">
        <v>1788</v>
      </c>
      <c r="B1786" s="2" t="s">
        <v>3</v>
      </c>
      <c r="C1786" s="1" t="str">
        <f>IFERROR(__xludf.DUMMYFUNCTION("GOOGLETRANSLATE(A1786,""en"",""pt-br"")"),"dizzing")</f>
        <v>dizzing</v>
      </c>
      <c r="D1786" s="1" t="str">
        <f>IFERROR(__xludf.DUMMYFUNCTION("GOOGLETRANSLATE(B1786,""en"",""pt-br"")"),"negativo")</f>
        <v>negativo</v>
      </c>
    </row>
    <row r="1787" ht="15.75" customHeight="1">
      <c r="A1787" s="2" t="s">
        <v>1789</v>
      </c>
      <c r="B1787" s="2" t="s">
        <v>3</v>
      </c>
      <c r="C1787" s="1" t="str">
        <f>IFERROR(__xludf.DUMMYFUNCTION("GOOGLETRANSLATE(A1787,""en"",""pt-br"")"),"dizzingly")</f>
        <v>dizzingly</v>
      </c>
      <c r="D1787" s="1" t="str">
        <f>IFERROR(__xludf.DUMMYFUNCTION("GOOGLETRANSLATE(B1787,""en"",""pt-br"")"),"negativo")</f>
        <v>negativo</v>
      </c>
    </row>
    <row r="1788" ht="15.75" customHeight="1">
      <c r="A1788" s="2" t="s">
        <v>1790</v>
      </c>
      <c r="B1788" s="2" t="s">
        <v>3</v>
      </c>
      <c r="C1788" s="1" t="str">
        <f>IFERROR(__xludf.DUMMYFUNCTION("GOOGLETRANSLATE(A1788,""en"",""pt-br"")"),"tonto")</f>
        <v>tonto</v>
      </c>
      <c r="D1788" s="1" t="str">
        <f>IFERROR(__xludf.DUMMYFUNCTION("GOOGLETRANSLATE(B1788,""en"",""pt-br"")"),"negativo")</f>
        <v>negativo</v>
      </c>
    </row>
    <row r="1789" ht="15.75" customHeight="1">
      <c r="A1789" s="2" t="s">
        <v>1791</v>
      </c>
      <c r="B1789" s="2" t="s">
        <v>3</v>
      </c>
      <c r="C1789" s="1" t="str">
        <f>IFERROR(__xludf.DUMMYFUNCTION("GOOGLETRANSLATE(A1789,""en"",""pt-br"")"),"trêmulo")</f>
        <v>trêmulo</v>
      </c>
      <c r="D1789" s="1" t="str">
        <f>IFERROR(__xludf.DUMMYFUNCTION("GOOGLETRANSLATE(B1789,""en"",""pt-br"")"),"negativo")</f>
        <v>negativo</v>
      </c>
    </row>
    <row r="1790" ht="15.75" customHeight="1">
      <c r="A1790" s="2" t="s">
        <v>1792</v>
      </c>
      <c r="B1790" s="2" t="s">
        <v>3</v>
      </c>
      <c r="C1790" s="1" t="str">
        <f>IFERROR(__xludf.DUMMYFUNCTION("GOOGLETRANSLATE(A1790,""en"",""pt-br"")"),"dodgey")</f>
        <v>dodgey</v>
      </c>
      <c r="D1790" s="1" t="str">
        <f>IFERROR(__xludf.DUMMYFUNCTION("GOOGLETRANSLATE(B1790,""en"",""pt-br"")"),"negativo")</f>
        <v>negativo</v>
      </c>
    </row>
    <row r="1791" ht="15.75" customHeight="1">
      <c r="A1791" s="2" t="s">
        <v>1793</v>
      </c>
      <c r="B1791" s="2" t="s">
        <v>3</v>
      </c>
      <c r="C1791" s="1" t="str">
        <f>IFERROR(__xludf.DUMMYFUNCTION("GOOGLETRANSLATE(A1791,""en"",""pt-br"")"),"obstinada")</f>
        <v>obstinada</v>
      </c>
      <c r="D1791" s="1" t="str">
        <f>IFERROR(__xludf.DUMMYFUNCTION("GOOGLETRANSLATE(B1791,""en"",""pt-br"")"),"negativo")</f>
        <v>negativo</v>
      </c>
    </row>
    <row r="1792" ht="15.75" customHeight="1">
      <c r="A1792" s="2" t="s">
        <v>1794</v>
      </c>
      <c r="B1792" s="2" t="s">
        <v>3</v>
      </c>
      <c r="C1792" s="1" t="str">
        <f>IFERROR(__xludf.DUMMYFUNCTION("GOOGLETRANSLATE(A1792,""en"",""pt-br"")"),"obstinadamente")</f>
        <v>obstinadamente</v>
      </c>
      <c r="D1792" s="1" t="str">
        <f>IFERROR(__xludf.DUMMYFUNCTION("GOOGLETRANSLATE(B1792,""en"",""pt-br"")"),"negativo")</f>
        <v>negativo</v>
      </c>
    </row>
    <row r="1793" ht="15.75" customHeight="1">
      <c r="A1793" s="2" t="s">
        <v>1795</v>
      </c>
      <c r="B1793" s="2" t="s">
        <v>3</v>
      </c>
      <c r="C1793" s="1" t="str">
        <f>IFERROR(__xludf.DUMMYFUNCTION("GOOGLETRANSLATE(A1793,""en"",""pt-br"")"),"dogmático")</f>
        <v>dogmático</v>
      </c>
      <c r="D1793" s="1" t="str">
        <f>IFERROR(__xludf.DUMMYFUNCTION("GOOGLETRANSLATE(B1793,""en"",""pt-br"")"),"negativo")</f>
        <v>negativo</v>
      </c>
    </row>
    <row r="1794" ht="15.75" customHeight="1">
      <c r="A1794" s="2" t="s">
        <v>1796</v>
      </c>
      <c r="B1794" s="2" t="s">
        <v>3</v>
      </c>
      <c r="C1794" s="1" t="str">
        <f>IFERROR(__xludf.DUMMYFUNCTION("GOOGLETRANSLATE(A1794,""en"",""pt-br"")"),"calmarias")</f>
        <v>calmarias</v>
      </c>
      <c r="D1794" s="1" t="str">
        <f>IFERROR(__xludf.DUMMYFUNCTION("GOOGLETRANSLATE(B1794,""en"",""pt-br"")"),"negativo")</f>
        <v>negativo</v>
      </c>
    </row>
    <row r="1795" ht="15.75" customHeight="1">
      <c r="A1795" s="2" t="s">
        <v>1797</v>
      </c>
      <c r="B1795" s="2" t="s">
        <v>14</v>
      </c>
      <c r="C1795" s="1" t="str">
        <f>IFERROR(__xludf.DUMMYFUNCTION("GOOGLETRANSLATE(A1795,""en"",""pt-br"")"),"dominar")</f>
        <v>dominar</v>
      </c>
      <c r="D1795" s="1" t="str">
        <f>IFERROR(__xludf.DUMMYFUNCTION("GOOGLETRANSLATE(B1795,""en"",""pt-br"")"),"positivo")</f>
        <v>positivo</v>
      </c>
    </row>
    <row r="1796" ht="15.75" customHeight="1">
      <c r="A1796" s="2" t="s">
        <v>1798</v>
      </c>
      <c r="B1796" s="2" t="s">
        <v>14</v>
      </c>
      <c r="C1796" s="1" t="str">
        <f>IFERROR(__xludf.DUMMYFUNCTION("GOOGLETRANSLATE(A1796,""en"",""pt-br"")"),"dominado")</f>
        <v>dominado</v>
      </c>
      <c r="D1796" s="1" t="str">
        <f>IFERROR(__xludf.DUMMYFUNCTION("GOOGLETRANSLATE(B1796,""en"",""pt-br"")"),"positivo")</f>
        <v>positivo</v>
      </c>
    </row>
    <row r="1797" ht="15.75" customHeight="1">
      <c r="A1797" s="2" t="s">
        <v>1799</v>
      </c>
      <c r="B1797" s="2" t="s">
        <v>14</v>
      </c>
      <c r="C1797" s="1" t="str">
        <f>IFERROR(__xludf.DUMMYFUNCTION("GOOGLETRANSLATE(A1797,""en"",""pt-br"")"),"domina")</f>
        <v>domina</v>
      </c>
      <c r="D1797" s="1" t="str">
        <f>IFERROR(__xludf.DUMMYFUNCTION("GOOGLETRANSLATE(B1797,""en"",""pt-br"")"),"positivo")</f>
        <v>positivo</v>
      </c>
    </row>
    <row r="1798" ht="15.75" customHeight="1">
      <c r="A1798" s="2" t="s">
        <v>1800</v>
      </c>
      <c r="B1798" s="2" t="s">
        <v>3</v>
      </c>
      <c r="C1798" s="1" t="str">
        <f>IFERROR(__xludf.DUMMYFUNCTION("GOOGLETRANSLATE(A1798,""en"",""pt-br"")"),"dominar")</f>
        <v>dominar</v>
      </c>
      <c r="D1798" s="1" t="str">
        <f>IFERROR(__xludf.DUMMYFUNCTION("GOOGLETRANSLATE(B1798,""en"",""pt-br"")"),"negativo")</f>
        <v>negativo</v>
      </c>
    </row>
    <row r="1799" ht="15.75" customHeight="1">
      <c r="A1799" s="2" t="s">
        <v>1801</v>
      </c>
      <c r="B1799" s="2" t="s">
        <v>3</v>
      </c>
      <c r="C1799" s="1" t="str">
        <f>IFERROR(__xludf.DUMMYFUNCTION("GOOGLETRANSLATE(A1799,""en"",""pt-br"")"),"autoritário")</f>
        <v>autoritário</v>
      </c>
      <c r="D1799" s="1" t="str">
        <f>IFERROR(__xludf.DUMMYFUNCTION("GOOGLETRANSLATE(B1799,""en"",""pt-br"")"),"negativo")</f>
        <v>negativo</v>
      </c>
    </row>
    <row r="1800" ht="15.75" customHeight="1">
      <c r="A1800" s="2" t="s">
        <v>1802</v>
      </c>
      <c r="B1800" s="2" t="s">
        <v>3</v>
      </c>
      <c r="C1800" s="1" t="str">
        <f>IFERROR(__xludf.DUMMYFUNCTION("GOOGLETRANSLATE(A1800,""en"",""pt-br"")"),"donside")</f>
        <v>donside</v>
      </c>
      <c r="D1800" s="1" t="str">
        <f>IFERROR(__xludf.DUMMYFUNCTION("GOOGLETRANSLATE(B1800,""en"",""pt-br"")"),"negativo")</f>
        <v>negativo</v>
      </c>
    </row>
    <row r="1801" ht="15.75" customHeight="1">
      <c r="A1801" s="2" t="s">
        <v>1803</v>
      </c>
      <c r="B1801" s="2" t="s">
        <v>3</v>
      </c>
      <c r="C1801" s="1" t="str">
        <f>IFERROR(__xludf.DUMMYFUNCTION("GOOGLETRANSLATE(A1801,""en"",""pt-br"")"),"destruição")</f>
        <v>destruição</v>
      </c>
      <c r="D1801" s="1" t="str">
        <f>IFERROR(__xludf.DUMMYFUNCTION("GOOGLETRANSLATE(B1801,""en"",""pt-br"")"),"negativo")</f>
        <v>negativo</v>
      </c>
    </row>
    <row r="1802" ht="15.75" customHeight="1">
      <c r="A1802" s="2" t="s">
        <v>1804</v>
      </c>
      <c r="B1802" s="2" t="s">
        <v>3</v>
      </c>
      <c r="C1802" s="1" t="str">
        <f>IFERROR(__xludf.DUMMYFUNCTION("GOOGLETRANSLATE(A1802,""en"",""pt-br"")"),"condenado")</f>
        <v>condenado</v>
      </c>
      <c r="D1802" s="1" t="str">
        <f>IFERROR(__xludf.DUMMYFUNCTION("GOOGLETRANSLATE(B1802,""en"",""pt-br"")"),"negativo")</f>
        <v>negativo</v>
      </c>
    </row>
    <row r="1803" ht="15.75" customHeight="1">
      <c r="A1803" s="2" t="s">
        <v>1805</v>
      </c>
      <c r="B1803" s="2" t="s">
        <v>3</v>
      </c>
      <c r="C1803" s="1" t="str">
        <f>IFERROR(__xludf.DUMMYFUNCTION("GOOGLETRANSLATE(A1803,""en"",""pt-br"")"),"Apocalipse")</f>
        <v>Apocalipse</v>
      </c>
      <c r="D1803" s="1" t="str">
        <f>IFERROR(__xludf.DUMMYFUNCTION("GOOGLETRANSLATE(B1803,""en"",""pt-br"")"),"negativo")</f>
        <v>negativo</v>
      </c>
    </row>
    <row r="1804" ht="15.75" customHeight="1">
      <c r="A1804" s="2" t="s">
        <v>1806</v>
      </c>
      <c r="B1804" s="2" t="s">
        <v>3</v>
      </c>
      <c r="C1804" s="1" t="str">
        <f>IFERROR(__xludf.DUMMYFUNCTION("GOOGLETRANSLATE(A1804,""en"",""pt-br"")"),"narcótico")</f>
        <v>narcótico</v>
      </c>
      <c r="D1804" s="1" t="str">
        <f>IFERROR(__xludf.DUMMYFUNCTION("GOOGLETRANSLATE(B1804,""en"",""pt-br"")"),"negativo")</f>
        <v>negativo</v>
      </c>
    </row>
    <row r="1805" ht="15.75" customHeight="1">
      <c r="A1805" s="2" t="s">
        <v>1807</v>
      </c>
      <c r="B1805" s="2" t="s">
        <v>14</v>
      </c>
      <c r="C1805" s="1" t="str">
        <f>IFERROR(__xludf.DUMMYFUNCTION("GOOGLETRANSLATE(A1805,""en"",""pt-br"")"),"dote")</f>
        <v>dote</v>
      </c>
      <c r="D1805" s="1" t="str">
        <f>IFERROR(__xludf.DUMMYFUNCTION("GOOGLETRANSLATE(B1805,""en"",""pt-br"")"),"positivo")</f>
        <v>positivo</v>
      </c>
    </row>
    <row r="1806" ht="15.75" customHeight="1">
      <c r="A1806" s="2" t="s">
        <v>1808</v>
      </c>
      <c r="B1806" s="2" t="s">
        <v>14</v>
      </c>
      <c r="C1806" s="1" t="str">
        <f>IFERROR(__xludf.DUMMYFUNCTION("GOOGLETRANSLATE(A1806,""en"",""pt-br"")"),"carinhosamente")</f>
        <v>carinhosamente</v>
      </c>
      <c r="D1806" s="1" t="str">
        <f>IFERROR(__xludf.DUMMYFUNCTION("GOOGLETRANSLATE(B1806,""en"",""pt-br"")"),"positivo")</f>
        <v>positivo</v>
      </c>
    </row>
    <row r="1807" ht="15.75" customHeight="1">
      <c r="A1807" s="2" t="s">
        <v>1809</v>
      </c>
      <c r="B1807" s="2" t="s">
        <v>3</v>
      </c>
      <c r="C1807" s="1" t="str">
        <f>IFERROR(__xludf.DUMMYFUNCTION("GOOGLETRANSLATE(A1807,""en"",""pt-br"")"),"dúvida")</f>
        <v>dúvida</v>
      </c>
      <c r="D1807" s="1" t="str">
        <f>IFERROR(__xludf.DUMMYFUNCTION("GOOGLETRANSLATE(B1807,""en"",""pt-br"")"),"negativo")</f>
        <v>negativo</v>
      </c>
    </row>
    <row r="1808" ht="15.75" customHeight="1">
      <c r="A1808" s="2" t="s">
        <v>1810</v>
      </c>
      <c r="B1808" s="2" t="s">
        <v>3</v>
      </c>
      <c r="C1808" s="1" t="str">
        <f>IFERROR(__xludf.DUMMYFUNCTION("GOOGLETRANSLATE(A1808,""en"",""pt-br"")"),"duvidoso")</f>
        <v>duvidoso</v>
      </c>
      <c r="D1808" s="1" t="str">
        <f>IFERROR(__xludf.DUMMYFUNCTION("GOOGLETRANSLATE(B1808,""en"",""pt-br"")"),"negativo")</f>
        <v>negativo</v>
      </c>
    </row>
    <row r="1809" ht="15.75" customHeight="1">
      <c r="A1809" s="2" t="s">
        <v>1811</v>
      </c>
      <c r="B1809" s="2" t="s">
        <v>3</v>
      </c>
      <c r="C1809" s="1" t="str">
        <f>IFERROR(__xludf.DUMMYFUNCTION("GOOGLETRANSLATE(A1809,""en"",""pt-br"")"),"duvidosamente")</f>
        <v>duvidosamente</v>
      </c>
      <c r="D1809" s="1" t="str">
        <f>IFERROR(__xludf.DUMMYFUNCTION("GOOGLETRANSLATE(B1809,""en"",""pt-br"")"),"negativo")</f>
        <v>negativo</v>
      </c>
    </row>
    <row r="1810" ht="15.75" customHeight="1">
      <c r="A1810" s="2" t="s">
        <v>1812</v>
      </c>
      <c r="B1810" s="2" t="s">
        <v>14</v>
      </c>
      <c r="C1810" s="1" t="str">
        <f>IFERROR(__xludf.DUMMYFUNCTION("GOOGLETRANSLATE(A1810,""en"",""pt-br"")"),"indubitavelmente")</f>
        <v>indubitavelmente</v>
      </c>
      <c r="D1810" s="1" t="str">
        <f>IFERROR(__xludf.DUMMYFUNCTION("GOOGLETRANSLATE(B1810,""en"",""pt-br"")"),"positivo")</f>
        <v>positivo</v>
      </c>
    </row>
    <row r="1811" ht="15.75" customHeight="1">
      <c r="A1811" s="2" t="s">
        <v>1813</v>
      </c>
      <c r="B1811" s="2" t="s">
        <v>3</v>
      </c>
      <c r="C1811" s="1" t="str">
        <f>IFERROR(__xludf.DUMMYFUNCTION("GOOGLETRANSLATE(A1811,""en"",""pt-br"")"),"dúvidas")</f>
        <v>dúvidas</v>
      </c>
      <c r="D1811" s="1" t="str">
        <f>IFERROR(__xludf.DUMMYFUNCTION("GOOGLETRANSLATE(B1811,""en"",""pt-br"")"),"negativo")</f>
        <v>negativo</v>
      </c>
    </row>
    <row r="1812" ht="15.75" customHeight="1">
      <c r="A1812" s="2" t="s">
        <v>1814</v>
      </c>
      <c r="B1812" s="2" t="s">
        <v>3</v>
      </c>
      <c r="C1812" s="1" t="str">
        <f>IFERROR(__xludf.DUMMYFUNCTION("GOOGLETRANSLATE(A1812,""en"",""pt-br"")"),"douchbag")</f>
        <v>douchbag</v>
      </c>
      <c r="D1812" s="1" t="str">
        <f>IFERROR(__xludf.DUMMYFUNCTION("GOOGLETRANSLATE(B1812,""en"",""pt-br"")"),"negativo")</f>
        <v>negativo</v>
      </c>
    </row>
    <row r="1813" ht="15.75" customHeight="1">
      <c r="A1813" s="2" t="s">
        <v>1815</v>
      </c>
      <c r="B1813" s="2" t="s">
        <v>3</v>
      </c>
      <c r="C1813" s="1" t="str">
        <f>IFERROR(__xludf.DUMMYFUNCTION("GOOGLETRANSLATE(A1813,""en"",""pt-br"")"),"babaca")</f>
        <v>babaca</v>
      </c>
      <c r="D1813" s="1" t="str">
        <f>IFERROR(__xludf.DUMMYFUNCTION("GOOGLETRANSLATE(B1813,""en"",""pt-br"")"),"negativo")</f>
        <v>negativo</v>
      </c>
    </row>
    <row r="1814" ht="15.75" customHeight="1">
      <c r="A1814" s="2" t="s">
        <v>1816</v>
      </c>
      <c r="B1814" s="2" t="s">
        <v>3</v>
      </c>
      <c r="C1814" s="1" t="str">
        <f>IFERROR(__xludf.DUMMYFUNCTION("GOOGLETRANSLATE(A1814,""en"",""pt-br"")"),"Idiotas")</f>
        <v>Idiotas</v>
      </c>
      <c r="D1814" s="1" t="str">
        <f>IFERROR(__xludf.DUMMYFUNCTION("GOOGLETRANSLATE(B1814,""en"",""pt-br"")"),"negativo")</f>
        <v>negativo</v>
      </c>
    </row>
    <row r="1815" ht="15.75" customHeight="1">
      <c r="A1815" s="2" t="s">
        <v>1817</v>
      </c>
      <c r="B1815" s="2" t="s">
        <v>3</v>
      </c>
      <c r="C1815" s="1" t="str">
        <f>IFERROR(__xludf.DUMMYFUNCTION("GOOGLETRANSLATE(A1815,""en"",""pt-br"")"),"downbeat")</f>
        <v>downbeat</v>
      </c>
      <c r="D1815" s="1" t="str">
        <f>IFERROR(__xludf.DUMMYFUNCTION("GOOGLETRANSLATE(B1815,""en"",""pt-br"")"),"negativo")</f>
        <v>negativo</v>
      </c>
    </row>
    <row r="1816" ht="15.75" customHeight="1">
      <c r="A1816" s="2" t="s">
        <v>1818</v>
      </c>
      <c r="B1816" s="2" t="s">
        <v>3</v>
      </c>
      <c r="C1816" s="1" t="str">
        <f>IFERROR(__xludf.DUMMYFUNCTION("GOOGLETRANSLATE(A1816,""en"",""pt-br"")"),"abatido")</f>
        <v>abatido</v>
      </c>
      <c r="D1816" s="1" t="str">
        <f>IFERROR(__xludf.DUMMYFUNCTION("GOOGLETRANSLATE(B1816,""en"",""pt-br"")"),"negativo")</f>
        <v>negativo</v>
      </c>
    </row>
    <row r="1817" ht="15.75" customHeight="1">
      <c r="A1817" s="2" t="s">
        <v>1819</v>
      </c>
      <c r="B1817" s="2" t="s">
        <v>3</v>
      </c>
      <c r="C1817" s="1" t="str">
        <f>IFERROR(__xludf.DUMMYFUNCTION("GOOGLETRANSLATE(A1817,""en"",""pt-br"")"),"Downer")</f>
        <v>Downer</v>
      </c>
      <c r="D1817" s="1" t="str">
        <f>IFERROR(__xludf.DUMMYFUNCTION("GOOGLETRANSLATE(B1817,""en"",""pt-br"")"),"negativo")</f>
        <v>negativo</v>
      </c>
    </row>
    <row r="1818" ht="15.75" customHeight="1">
      <c r="A1818" s="2" t="s">
        <v>1820</v>
      </c>
      <c r="B1818" s="2" t="s">
        <v>3</v>
      </c>
      <c r="C1818" s="1" t="str">
        <f>IFERROR(__xludf.DUMMYFUNCTION("GOOGLETRANSLATE(A1818,""en"",""pt-br"")"),"queda")</f>
        <v>queda</v>
      </c>
      <c r="D1818" s="1" t="str">
        <f>IFERROR(__xludf.DUMMYFUNCTION("GOOGLETRANSLATE(B1818,""en"",""pt-br"")"),"negativo")</f>
        <v>negativo</v>
      </c>
    </row>
    <row r="1819" ht="15.75" customHeight="1">
      <c r="A1819" s="2" t="s">
        <v>1821</v>
      </c>
      <c r="B1819" s="2" t="s">
        <v>3</v>
      </c>
      <c r="C1819" s="1" t="str">
        <f>IFERROR(__xludf.DUMMYFUNCTION("GOOGLETRANSLATE(A1819,""en"",""pt-br"")"),"downfallen")</f>
        <v>downfallen</v>
      </c>
      <c r="D1819" s="1" t="str">
        <f>IFERROR(__xludf.DUMMYFUNCTION("GOOGLETRANSLATE(B1819,""en"",""pt-br"")"),"negativo")</f>
        <v>negativo</v>
      </c>
    </row>
    <row r="1820" ht="15.75" customHeight="1">
      <c r="A1820" s="2" t="s">
        <v>1822</v>
      </c>
      <c r="B1820" s="2" t="s">
        <v>3</v>
      </c>
      <c r="C1820" s="1" t="str">
        <f>IFERROR(__xludf.DUMMYFUNCTION("GOOGLETRANSLATE(A1820,""en"",""pt-br"")"),"rebaixamento")</f>
        <v>rebaixamento</v>
      </c>
      <c r="D1820" s="1" t="str">
        <f>IFERROR(__xludf.DUMMYFUNCTION("GOOGLETRANSLATE(B1820,""en"",""pt-br"")"),"negativo")</f>
        <v>negativo</v>
      </c>
    </row>
    <row r="1821" ht="15.75" customHeight="1">
      <c r="A1821" s="2" t="s">
        <v>1823</v>
      </c>
      <c r="B1821" s="2" t="s">
        <v>3</v>
      </c>
      <c r="C1821" s="1" t="str">
        <f>IFERROR(__xludf.DUMMYFUNCTION("GOOGLETRANSLATE(A1821,""en"",""pt-br"")"),"downhearted")</f>
        <v>downhearted</v>
      </c>
      <c r="D1821" s="1" t="str">
        <f>IFERROR(__xludf.DUMMYFUNCTION("GOOGLETRANSLATE(B1821,""en"",""pt-br"")"),"negativo")</f>
        <v>negativo</v>
      </c>
    </row>
    <row r="1822" ht="15.75" customHeight="1">
      <c r="A1822" s="2" t="s">
        <v>1824</v>
      </c>
      <c r="B1822" s="2" t="s">
        <v>3</v>
      </c>
      <c r="C1822" s="1" t="str">
        <f>IFERROR(__xludf.DUMMYFUNCTION("GOOGLETRANSLATE(A1822,""en"",""pt-br"")"),"downheartedly")</f>
        <v>downheartedly</v>
      </c>
      <c r="D1822" s="1" t="str">
        <f>IFERROR(__xludf.DUMMYFUNCTION("GOOGLETRANSLATE(B1822,""en"",""pt-br"")"),"negativo")</f>
        <v>negativo</v>
      </c>
    </row>
    <row r="1823" ht="15.75" customHeight="1">
      <c r="A1823" s="2" t="s">
        <v>1825</v>
      </c>
      <c r="B1823" s="2" t="s">
        <v>3</v>
      </c>
      <c r="C1823" s="1" t="str">
        <f>IFERROR(__xludf.DUMMYFUNCTION("GOOGLETRANSLATE(A1823,""en"",""pt-br"")"),"descida")</f>
        <v>descida</v>
      </c>
      <c r="D1823" s="1" t="str">
        <f>IFERROR(__xludf.DUMMYFUNCTION("GOOGLETRANSLATE(B1823,""en"",""pt-br"")"),"negativo")</f>
        <v>negativo</v>
      </c>
    </row>
    <row r="1824" ht="15.75" customHeight="1">
      <c r="A1824" s="2" t="s">
        <v>1826</v>
      </c>
      <c r="B1824" s="2" t="s">
        <v>3</v>
      </c>
      <c r="C1824" s="1" t="str">
        <f>IFERROR(__xludf.DUMMYFUNCTION("GOOGLETRANSLATE(A1824,""en"",""pt-br"")"),"desvantagem")</f>
        <v>desvantagem</v>
      </c>
      <c r="D1824" s="1" t="str">
        <f>IFERROR(__xludf.DUMMYFUNCTION("GOOGLETRANSLATE(B1824,""en"",""pt-br"")"),"negativo")</f>
        <v>negativo</v>
      </c>
    </row>
    <row r="1825" ht="15.75" customHeight="1">
      <c r="A1825" s="2" t="s">
        <v>1827</v>
      </c>
      <c r="B1825" s="2" t="s">
        <v>3</v>
      </c>
      <c r="C1825" s="1" t="str">
        <f>IFERROR(__xludf.DUMMYFUNCTION("GOOGLETRANSLATE(A1825,""en"",""pt-br"")"),"desvantagens")</f>
        <v>desvantagens</v>
      </c>
      <c r="D1825" s="1" t="str">
        <f>IFERROR(__xludf.DUMMYFUNCTION("GOOGLETRANSLATE(B1825,""en"",""pt-br"")"),"negativo")</f>
        <v>negativo</v>
      </c>
    </row>
    <row r="1826" ht="15.75" customHeight="1">
      <c r="A1826" s="2" t="s">
        <v>1828</v>
      </c>
      <c r="B1826" s="2" t="s">
        <v>3</v>
      </c>
      <c r="C1826" s="1" t="str">
        <f>IFERROR(__xludf.DUMMYFUNCTION("GOOGLETRANSLATE(A1826,""en"",""pt-br"")"),"desaceleração")</f>
        <v>desaceleração</v>
      </c>
      <c r="D1826" s="1" t="str">
        <f>IFERROR(__xludf.DUMMYFUNCTION("GOOGLETRANSLATE(B1826,""en"",""pt-br"")"),"negativo")</f>
        <v>negativo</v>
      </c>
    </row>
    <row r="1827" ht="15.75" customHeight="1">
      <c r="A1827" s="2" t="s">
        <v>1829</v>
      </c>
      <c r="B1827" s="2" t="s">
        <v>3</v>
      </c>
      <c r="C1827" s="1" t="str">
        <f>IFERROR(__xludf.DUMMYFUNCTION("GOOGLETRANSLATE(A1827,""en"",""pt-br"")"),"downturns")</f>
        <v>downturns</v>
      </c>
      <c r="D1827" s="1" t="str">
        <f>IFERROR(__xludf.DUMMYFUNCTION("GOOGLETRANSLATE(B1827,""en"",""pt-br"")"),"negativo")</f>
        <v>negativo</v>
      </c>
    </row>
    <row r="1828" ht="15.75" customHeight="1">
      <c r="A1828" s="2" t="s">
        <v>1830</v>
      </c>
      <c r="B1828" s="2" t="s">
        <v>3</v>
      </c>
      <c r="C1828" s="1" t="str">
        <f>IFERROR(__xludf.DUMMYFUNCTION("GOOGLETRANSLATE(A1828,""en"",""pt-br"")"),"monótono")</f>
        <v>monótono</v>
      </c>
      <c r="D1828" s="1" t="str">
        <f>IFERROR(__xludf.DUMMYFUNCTION("GOOGLETRANSLATE(B1828,""en"",""pt-br"")"),"negativo")</f>
        <v>negativo</v>
      </c>
    </row>
    <row r="1829" ht="15.75" customHeight="1">
      <c r="A1829" s="2" t="s">
        <v>1831</v>
      </c>
      <c r="B1829" s="2" t="s">
        <v>3</v>
      </c>
      <c r="C1829" s="1" t="str">
        <f>IFERROR(__xludf.DUMMYFUNCTION("GOOGLETRANSLATE(A1829,""en"",""pt-br"")"),"draconiana")</f>
        <v>draconiana</v>
      </c>
      <c r="D1829" s="1" t="str">
        <f>IFERROR(__xludf.DUMMYFUNCTION("GOOGLETRANSLATE(B1829,""en"",""pt-br"")"),"negativo")</f>
        <v>negativo</v>
      </c>
    </row>
    <row r="1830" ht="15.75" customHeight="1">
      <c r="A1830" s="2" t="s">
        <v>1832</v>
      </c>
      <c r="B1830" s="2" t="s">
        <v>3</v>
      </c>
      <c r="C1830" s="1" t="str">
        <f>IFERROR(__xludf.DUMMYFUNCTION("GOOGLETRANSLATE(A1830,""en"",""pt-br"")"),"draconic")</f>
        <v>draconic</v>
      </c>
      <c r="D1830" s="1" t="str">
        <f>IFERROR(__xludf.DUMMYFUNCTION("GOOGLETRANSLATE(B1830,""en"",""pt-br"")"),"negativo")</f>
        <v>negativo</v>
      </c>
    </row>
    <row r="1831" ht="15.75" customHeight="1">
      <c r="A1831" s="2" t="s">
        <v>1833</v>
      </c>
      <c r="B1831" s="2" t="s">
        <v>3</v>
      </c>
      <c r="C1831" s="1" t="str">
        <f>IFERROR(__xludf.DUMMYFUNCTION("GOOGLETRANSLATE(A1831,""en"",""pt-br"")"),"arrasto")</f>
        <v>arrasto</v>
      </c>
      <c r="D1831" s="1" t="str">
        <f>IFERROR(__xludf.DUMMYFUNCTION("GOOGLETRANSLATE(B1831,""en"",""pt-br"")"),"negativo")</f>
        <v>negativo</v>
      </c>
    </row>
    <row r="1832" ht="15.75" customHeight="1">
      <c r="A1832" s="2" t="s">
        <v>1834</v>
      </c>
      <c r="B1832" s="2" t="s">
        <v>3</v>
      </c>
      <c r="C1832" s="1" t="str">
        <f>IFERROR(__xludf.DUMMYFUNCTION("GOOGLETRANSLATE(A1832,""en"",""pt-br"")"),"arrastou")</f>
        <v>arrastou</v>
      </c>
      <c r="D1832" s="1" t="str">
        <f>IFERROR(__xludf.DUMMYFUNCTION("GOOGLETRANSLATE(B1832,""en"",""pt-br"")"),"negativo")</f>
        <v>negativo</v>
      </c>
    </row>
    <row r="1833" ht="15.75" customHeight="1">
      <c r="A1833" s="2" t="s">
        <v>1835</v>
      </c>
      <c r="B1833" s="2" t="s">
        <v>3</v>
      </c>
      <c r="C1833" s="1" t="str">
        <f>IFERROR(__xludf.DUMMYFUNCTION("GOOGLETRANSLATE(A1833,""en"",""pt-br"")"),"arrasto")</f>
        <v>arrasto</v>
      </c>
      <c r="D1833" s="1" t="str">
        <f>IFERROR(__xludf.DUMMYFUNCTION("GOOGLETRANSLATE(B1833,""en"",""pt-br"")"),"negativo")</f>
        <v>negativo</v>
      </c>
    </row>
    <row r="1834" ht="15.75" customHeight="1">
      <c r="A1834" s="2" t="s">
        <v>1836</v>
      </c>
      <c r="B1834" s="2" t="s">
        <v>3</v>
      </c>
      <c r="C1834" s="1" t="str">
        <f>IFERROR(__xludf.DUMMYFUNCTION("GOOGLETRANSLATE(A1834,""en"",""pt-br"")"),"dragão")</f>
        <v>dragão</v>
      </c>
      <c r="D1834" s="1" t="str">
        <f>IFERROR(__xludf.DUMMYFUNCTION("GOOGLETRANSLATE(B1834,""en"",""pt-br"")"),"negativo")</f>
        <v>negativo</v>
      </c>
    </row>
    <row r="1835" ht="15.75" customHeight="1">
      <c r="A1835" s="2" t="s">
        <v>1837</v>
      </c>
      <c r="B1835" s="2" t="s">
        <v>3</v>
      </c>
      <c r="C1835" s="1" t="str">
        <f>IFERROR(__xludf.DUMMYFUNCTION("GOOGLETRANSLATE(A1835,""en"",""pt-br"")"),"drags")</f>
        <v>drags</v>
      </c>
      <c r="D1835" s="1" t="str">
        <f>IFERROR(__xludf.DUMMYFUNCTION("GOOGLETRANSLATE(B1835,""en"",""pt-br"")"),"negativo")</f>
        <v>negativo</v>
      </c>
    </row>
    <row r="1836" ht="15.75" customHeight="1">
      <c r="A1836" s="2" t="s">
        <v>1838</v>
      </c>
      <c r="B1836" s="2" t="s">
        <v>3</v>
      </c>
      <c r="C1836" s="1" t="str">
        <f>IFERROR(__xludf.DUMMYFUNCTION("GOOGLETRANSLATE(A1836,""en"",""pt-br"")"),"drenar")</f>
        <v>drenar</v>
      </c>
      <c r="D1836" s="1" t="str">
        <f>IFERROR(__xludf.DUMMYFUNCTION("GOOGLETRANSLATE(B1836,""en"",""pt-br"")"),"negativo")</f>
        <v>negativo</v>
      </c>
    </row>
    <row r="1837" ht="15.75" customHeight="1">
      <c r="A1837" s="2" t="s">
        <v>1839</v>
      </c>
      <c r="B1837" s="2" t="s">
        <v>3</v>
      </c>
      <c r="C1837" s="1" t="str">
        <f>IFERROR(__xludf.DUMMYFUNCTION("GOOGLETRANSLATE(A1837,""en"",""pt-br"")"),"drenado")</f>
        <v>drenado</v>
      </c>
      <c r="D1837" s="1" t="str">
        <f>IFERROR(__xludf.DUMMYFUNCTION("GOOGLETRANSLATE(B1837,""en"",""pt-br"")"),"negativo")</f>
        <v>negativo</v>
      </c>
    </row>
    <row r="1838" ht="15.75" customHeight="1">
      <c r="A1838" s="2" t="s">
        <v>1840</v>
      </c>
      <c r="B1838" s="2" t="s">
        <v>3</v>
      </c>
      <c r="C1838" s="1" t="str">
        <f>IFERROR(__xludf.DUMMYFUNCTION("GOOGLETRANSLATE(A1838,""en"",""pt-br"")"),"drenando")</f>
        <v>drenando</v>
      </c>
      <c r="D1838" s="1" t="str">
        <f>IFERROR(__xludf.DUMMYFUNCTION("GOOGLETRANSLATE(B1838,""en"",""pt-br"")"),"negativo")</f>
        <v>negativo</v>
      </c>
    </row>
    <row r="1839" ht="15.75" customHeight="1">
      <c r="A1839" s="2" t="s">
        <v>1841</v>
      </c>
      <c r="B1839" s="2" t="s">
        <v>3</v>
      </c>
      <c r="C1839" s="1" t="str">
        <f>IFERROR(__xludf.DUMMYFUNCTION("GOOGLETRANSLATE(A1839,""en"",""pt-br"")"),"drenos")</f>
        <v>drenos</v>
      </c>
      <c r="D1839" s="1" t="str">
        <f>IFERROR(__xludf.DUMMYFUNCTION("GOOGLETRANSLATE(B1839,""en"",""pt-br"")"),"negativo")</f>
        <v>negativo</v>
      </c>
    </row>
    <row r="1840" ht="15.75" customHeight="1">
      <c r="A1840" s="2" t="s">
        <v>1842</v>
      </c>
      <c r="B1840" s="2" t="s">
        <v>3</v>
      </c>
      <c r="C1840" s="1" t="str">
        <f>IFERROR(__xludf.DUMMYFUNCTION("GOOGLETRANSLATE(A1840,""en"",""pt-br"")"),"drástico")</f>
        <v>drástico</v>
      </c>
      <c r="D1840" s="1" t="str">
        <f>IFERROR(__xludf.DUMMYFUNCTION("GOOGLETRANSLATE(B1840,""en"",""pt-br"")"),"negativo")</f>
        <v>negativo</v>
      </c>
    </row>
    <row r="1841" ht="15.75" customHeight="1">
      <c r="A1841" s="2" t="s">
        <v>1843</v>
      </c>
      <c r="B1841" s="2" t="s">
        <v>3</v>
      </c>
      <c r="C1841" s="1" t="str">
        <f>IFERROR(__xludf.DUMMYFUNCTION("GOOGLETRANSLATE(A1841,""en"",""pt-br"")"),"drasticamente")</f>
        <v>drasticamente</v>
      </c>
      <c r="D1841" s="1" t="str">
        <f>IFERROR(__xludf.DUMMYFUNCTION("GOOGLETRANSLATE(B1841,""en"",""pt-br"")"),"negativo")</f>
        <v>negativo</v>
      </c>
    </row>
    <row r="1842" ht="15.75" customHeight="1">
      <c r="A1842" s="2" t="s">
        <v>1844</v>
      </c>
      <c r="B1842" s="2" t="s">
        <v>3</v>
      </c>
      <c r="C1842" s="1" t="str">
        <f>IFERROR(__xludf.DUMMYFUNCTION("GOOGLETRANSLATE(A1842,""en"",""pt-br"")"),"recua")</f>
        <v>recua</v>
      </c>
      <c r="D1842" s="1" t="str">
        <f>IFERROR(__xludf.DUMMYFUNCTION("GOOGLETRANSLATE(B1842,""en"",""pt-br"")"),"negativo")</f>
        <v>negativo</v>
      </c>
    </row>
    <row r="1843" ht="15.75" customHeight="1">
      <c r="A1843" s="2" t="s">
        <v>1845</v>
      </c>
      <c r="B1843" s="2" t="s">
        <v>3</v>
      </c>
      <c r="C1843" s="1" t="str">
        <f>IFERROR(__xludf.DUMMYFUNCTION("GOOGLETRANSLATE(A1843,""en"",""pt-br"")"),"inconvenientes")</f>
        <v>inconvenientes</v>
      </c>
      <c r="D1843" s="1" t="str">
        <f>IFERROR(__xludf.DUMMYFUNCTION("GOOGLETRANSLATE(B1843,""en"",""pt-br"")"),"negativo")</f>
        <v>negativo</v>
      </c>
    </row>
    <row r="1844" ht="15.75" customHeight="1">
      <c r="A1844" s="2" t="s">
        <v>1846</v>
      </c>
      <c r="B1844" s="2" t="s">
        <v>3</v>
      </c>
      <c r="C1844" s="1" t="str">
        <f>IFERROR(__xludf.DUMMYFUNCTION("GOOGLETRANSLATE(A1844,""en"",""pt-br"")"),"pavor")</f>
        <v>pavor</v>
      </c>
      <c r="D1844" s="1" t="str">
        <f>IFERROR(__xludf.DUMMYFUNCTION("GOOGLETRANSLATE(B1844,""en"",""pt-br"")"),"negativo")</f>
        <v>negativo</v>
      </c>
    </row>
    <row r="1845" ht="15.75" customHeight="1">
      <c r="A1845" s="2" t="s">
        <v>1847</v>
      </c>
      <c r="B1845" s="2" t="s">
        <v>3</v>
      </c>
      <c r="C1845" s="1" t="str">
        <f>IFERROR(__xludf.DUMMYFUNCTION("GOOGLETRANSLATE(A1845,""en"",""pt-br"")"),"terrível")</f>
        <v>terrível</v>
      </c>
      <c r="D1845" s="1" t="str">
        <f>IFERROR(__xludf.DUMMYFUNCTION("GOOGLETRANSLATE(B1845,""en"",""pt-br"")"),"negativo")</f>
        <v>negativo</v>
      </c>
    </row>
    <row r="1846" ht="15.75" customHeight="1">
      <c r="A1846" s="2" t="s">
        <v>1848</v>
      </c>
      <c r="B1846" s="2" t="s">
        <v>3</v>
      </c>
      <c r="C1846" s="1" t="str">
        <f>IFERROR(__xludf.DUMMYFUNCTION("GOOGLETRANSLATE(A1846,""en"",""pt-br"")"),"terrivelmente")</f>
        <v>terrivelmente</v>
      </c>
      <c r="D1846" s="1" t="str">
        <f>IFERROR(__xludf.DUMMYFUNCTION("GOOGLETRANSLATE(B1846,""en"",""pt-br"")"),"negativo")</f>
        <v>negativo</v>
      </c>
    </row>
    <row r="1847" ht="15.75" customHeight="1">
      <c r="A1847" s="2" t="s">
        <v>1849</v>
      </c>
      <c r="B1847" s="2" t="s">
        <v>3</v>
      </c>
      <c r="C1847" s="1" t="str">
        <f>IFERROR(__xludf.DUMMYFUNCTION("GOOGLETRANSLATE(A1847,""en"",""pt-br"")"),"dreadfulness")</f>
        <v>dreadfulness</v>
      </c>
      <c r="D1847" s="1" t="str">
        <f>IFERROR(__xludf.DUMMYFUNCTION("GOOGLETRANSLATE(B1847,""en"",""pt-br"")"),"negativo")</f>
        <v>negativo</v>
      </c>
    </row>
    <row r="1848" ht="15.75" customHeight="1">
      <c r="A1848" s="2" t="s">
        <v>1850</v>
      </c>
      <c r="B1848" s="2" t="s">
        <v>14</v>
      </c>
      <c r="C1848" s="1" t="str">
        <f>IFERROR(__xludf.DUMMYFUNCTION("GOOGLETRANSLATE(A1848,""en"",""pt-br"")"),"dreamland")</f>
        <v>dreamland</v>
      </c>
      <c r="D1848" s="1" t="str">
        <f>IFERROR(__xludf.DUMMYFUNCTION("GOOGLETRANSLATE(B1848,""en"",""pt-br"")"),"positivo")</f>
        <v>positivo</v>
      </c>
    </row>
    <row r="1849" ht="15.75" customHeight="1">
      <c r="A1849" s="2" t="s">
        <v>1851</v>
      </c>
      <c r="B1849" s="2" t="s">
        <v>3</v>
      </c>
      <c r="C1849" s="1" t="str">
        <f>IFERROR(__xludf.DUMMYFUNCTION("GOOGLETRANSLATE(A1849,""en"",""pt-br"")"),"aborrecido")</f>
        <v>aborrecido</v>
      </c>
      <c r="D1849" s="1" t="str">
        <f>IFERROR(__xludf.DUMMYFUNCTION("GOOGLETRANSLATE(B1849,""en"",""pt-br"")"),"negativo")</f>
        <v>negativo</v>
      </c>
    </row>
    <row r="1850" ht="15.75" customHeight="1">
      <c r="A1850" s="2" t="s">
        <v>1852</v>
      </c>
      <c r="B1850" s="2" t="s">
        <v>3</v>
      </c>
      <c r="C1850" s="1" t="str">
        <f>IFERROR(__xludf.DUMMYFUNCTION("GOOGLETRANSLATE(A1850,""en"",""pt-br"")"),"gotejado")</f>
        <v>gotejado</v>
      </c>
      <c r="D1850" s="1" t="str">
        <f>IFERROR(__xludf.DUMMYFUNCTION("GOOGLETRANSLATE(B1850,""en"",""pt-br"")"),"negativo")</f>
        <v>negativo</v>
      </c>
    </row>
    <row r="1851" ht="15.75" customHeight="1">
      <c r="A1851" s="2" t="s">
        <v>1853</v>
      </c>
      <c r="B1851" s="2" t="s">
        <v>3</v>
      </c>
      <c r="C1851" s="1" t="str">
        <f>IFERROR(__xludf.DUMMYFUNCTION("GOOGLETRANSLATE(A1851,""en"",""pt-br"")"),"gotejamento")</f>
        <v>gotejamento</v>
      </c>
      <c r="D1851" s="1" t="str">
        <f>IFERROR(__xludf.DUMMYFUNCTION("GOOGLETRANSLATE(B1851,""en"",""pt-br"")"),"negativo")</f>
        <v>negativo</v>
      </c>
    </row>
    <row r="1852" ht="15.75" customHeight="1">
      <c r="A1852" s="2" t="s">
        <v>1854</v>
      </c>
      <c r="B1852" s="2" t="s">
        <v>3</v>
      </c>
      <c r="C1852" s="1" t="str">
        <f>IFERROR(__xludf.DUMMYFUNCTION("GOOGLETRANSLATE(A1852,""en"",""pt-br"")"),"drippy")</f>
        <v>drippy</v>
      </c>
      <c r="D1852" s="1" t="str">
        <f>IFERROR(__xludf.DUMMYFUNCTION("GOOGLETRANSLATE(B1852,""en"",""pt-br"")"),"negativo")</f>
        <v>negativo</v>
      </c>
    </row>
    <row r="1853" ht="15.75" customHeight="1">
      <c r="A1853" s="2" t="s">
        <v>1855</v>
      </c>
      <c r="B1853" s="2" t="s">
        <v>3</v>
      </c>
      <c r="C1853" s="1" t="str">
        <f>IFERROR(__xludf.DUMMYFUNCTION("GOOGLETRANSLATE(A1853,""en"",""pt-br"")"),"pinga")</f>
        <v>pinga</v>
      </c>
      <c r="D1853" s="1" t="str">
        <f>IFERROR(__xludf.DUMMYFUNCTION("GOOGLETRANSLATE(B1853,""en"",""pt-br"")"),"negativo")</f>
        <v>negativo</v>
      </c>
    </row>
    <row r="1854" ht="15.75" customHeight="1">
      <c r="A1854" s="2" t="s">
        <v>1856</v>
      </c>
      <c r="B1854" s="2" t="s">
        <v>3</v>
      </c>
      <c r="C1854" s="1" t="str">
        <f>IFERROR(__xludf.DUMMYFUNCTION("GOOGLETRANSLATE(A1854,""en"",""pt-br"")"),"drones")</f>
        <v>drones</v>
      </c>
      <c r="D1854" s="1" t="str">
        <f>IFERROR(__xludf.DUMMYFUNCTION("GOOGLETRANSLATE(B1854,""en"",""pt-br"")"),"negativo")</f>
        <v>negativo</v>
      </c>
    </row>
    <row r="1855" ht="15.75" customHeight="1">
      <c r="A1855" s="2" t="s">
        <v>1857</v>
      </c>
      <c r="B1855" s="2" t="s">
        <v>3</v>
      </c>
      <c r="C1855" s="1" t="str">
        <f>IFERROR(__xludf.DUMMYFUNCTION("GOOGLETRANSLATE(A1855,""en"",""pt-br"")"),"pender")</f>
        <v>pender</v>
      </c>
      <c r="D1855" s="1" t="str">
        <f>IFERROR(__xludf.DUMMYFUNCTION("GOOGLETRANSLATE(B1855,""en"",""pt-br"")"),"negativo")</f>
        <v>negativo</v>
      </c>
    </row>
    <row r="1856" ht="15.75" customHeight="1">
      <c r="A1856" s="2" t="s">
        <v>1858</v>
      </c>
      <c r="B1856" s="2" t="s">
        <v>3</v>
      </c>
      <c r="C1856" s="1" t="str">
        <f>IFERROR(__xludf.DUMMYFUNCTION("GOOGLETRANSLATE(A1856,""en"",""pt-br"")"),"droops")</f>
        <v>droops</v>
      </c>
      <c r="D1856" s="1" t="str">
        <f>IFERROR(__xludf.DUMMYFUNCTION("GOOGLETRANSLATE(B1856,""en"",""pt-br"")"),"negativo")</f>
        <v>negativo</v>
      </c>
    </row>
    <row r="1857" ht="15.75" customHeight="1">
      <c r="A1857" s="2" t="s">
        <v>1859</v>
      </c>
      <c r="B1857" s="2" t="s">
        <v>3</v>
      </c>
      <c r="C1857" s="1" t="str">
        <f>IFERROR(__xludf.DUMMYFUNCTION("GOOGLETRANSLATE(A1857,""en"",""pt-br"")"),"cair fora")</f>
        <v>cair fora</v>
      </c>
      <c r="D1857" s="1" t="str">
        <f>IFERROR(__xludf.DUMMYFUNCTION("GOOGLETRANSLATE(B1857,""en"",""pt-br"")"),"negativo")</f>
        <v>negativo</v>
      </c>
    </row>
    <row r="1858" ht="15.75" customHeight="1">
      <c r="A1858" s="2" t="s">
        <v>1860</v>
      </c>
      <c r="B1858" s="2" t="s">
        <v>3</v>
      </c>
      <c r="C1858" s="1" t="str">
        <f>IFERROR(__xludf.DUMMYFUNCTION("GOOGLETRANSLATE(A1858,""en"",""pt-br"")"),"desistências")</f>
        <v>desistências</v>
      </c>
      <c r="D1858" s="1" t="str">
        <f>IFERROR(__xludf.DUMMYFUNCTION("GOOGLETRANSLATE(B1858,""en"",""pt-br"")"),"negativo")</f>
        <v>negativo</v>
      </c>
    </row>
    <row r="1859" ht="15.75" customHeight="1">
      <c r="A1859" s="2" t="s">
        <v>1861</v>
      </c>
      <c r="B1859" s="2" t="s">
        <v>3</v>
      </c>
      <c r="C1859" s="1" t="str">
        <f>IFERROR(__xludf.DUMMYFUNCTION("GOOGLETRANSLATE(A1859,""en"",""pt-br"")"),"cair fora")</f>
        <v>cair fora</v>
      </c>
      <c r="D1859" s="1" t="str">
        <f>IFERROR(__xludf.DUMMYFUNCTION("GOOGLETRANSLATE(B1859,""en"",""pt-br"")"),"negativo")</f>
        <v>negativo</v>
      </c>
    </row>
    <row r="1860" ht="15.75" customHeight="1">
      <c r="A1860" s="2" t="s">
        <v>1862</v>
      </c>
      <c r="B1860" s="2" t="s">
        <v>3</v>
      </c>
      <c r="C1860" s="1" t="str">
        <f>IFERROR(__xludf.DUMMYFUNCTION("GOOGLETRANSLATE(A1860,""en"",""pt-br"")"),"desistências")</f>
        <v>desistências</v>
      </c>
      <c r="D1860" s="1" t="str">
        <f>IFERROR(__xludf.DUMMYFUNCTION("GOOGLETRANSLATE(B1860,""en"",""pt-br"")"),"negativo")</f>
        <v>negativo</v>
      </c>
    </row>
    <row r="1861" ht="15.75" customHeight="1">
      <c r="A1861" s="2" t="s">
        <v>1863</v>
      </c>
      <c r="B1861" s="2" t="s">
        <v>3</v>
      </c>
      <c r="C1861" s="1" t="str">
        <f>IFERROR(__xludf.DUMMYFUNCTION("GOOGLETRANSLATE(A1861,""en"",""pt-br"")"),"seca")</f>
        <v>seca</v>
      </c>
      <c r="D1861" s="1" t="str">
        <f>IFERROR(__xludf.DUMMYFUNCTION("GOOGLETRANSLATE(B1861,""en"",""pt-br"")"),"negativo")</f>
        <v>negativo</v>
      </c>
    </row>
    <row r="1862" ht="15.75" customHeight="1">
      <c r="A1862" s="2" t="s">
        <v>1864</v>
      </c>
      <c r="B1862" s="2" t="s">
        <v>3</v>
      </c>
      <c r="C1862" s="1" t="str">
        <f>IFERROR(__xludf.DUMMYFUNCTION("GOOGLETRANSLATE(A1862,""en"",""pt-br"")"),"afogamento")</f>
        <v>afogamento</v>
      </c>
      <c r="D1862" s="1" t="str">
        <f>IFERROR(__xludf.DUMMYFUNCTION("GOOGLETRANSLATE(B1862,""en"",""pt-br"")"),"negativo")</f>
        <v>negativo</v>
      </c>
    </row>
    <row r="1863" ht="15.75" customHeight="1">
      <c r="A1863" s="2" t="s">
        <v>1865</v>
      </c>
      <c r="B1863" s="2" t="s">
        <v>3</v>
      </c>
      <c r="C1863" s="1" t="str">
        <f>IFERROR(__xludf.DUMMYFUNCTION("GOOGLETRANSLATE(A1863,""en"",""pt-br"")"),"bêbado")</f>
        <v>bêbado</v>
      </c>
      <c r="D1863" s="1" t="str">
        <f>IFERROR(__xludf.DUMMYFUNCTION("GOOGLETRANSLATE(B1863,""en"",""pt-br"")"),"negativo")</f>
        <v>negativo</v>
      </c>
    </row>
    <row r="1864" ht="15.75" customHeight="1">
      <c r="A1864" s="2" t="s">
        <v>1866</v>
      </c>
      <c r="B1864" s="2" t="s">
        <v>3</v>
      </c>
      <c r="C1864" s="1" t="str">
        <f>IFERROR(__xludf.DUMMYFUNCTION("GOOGLETRANSLATE(A1864,""en"",""pt-br"")"),"bêbado")</f>
        <v>bêbado</v>
      </c>
      <c r="D1864" s="1" t="str">
        <f>IFERROR(__xludf.DUMMYFUNCTION("GOOGLETRANSLATE(B1864,""en"",""pt-br"")"),"negativo")</f>
        <v>negativo</v>
      </c>
    </row>
    <row r="1865" ht="15.75" customHeight="1">
      <c r="A1865" s="2" t="s">
        <v>1867</v>
      </c>
      <c r="B1865" s="2" t="s">
        <v>3</v>
      </c>
      <c r="C1865" s="1" t="str">
        <f>IFERROR(__xludf.DUMMYFUNCTION("GOOGLETRANSLATE(A1865,""en"",""pt-br"")"),"embriagado")</f>
        <v>embriagado</v>
      </c>
      <c r="D1865" s="1" t="str">
        <f>IFERROR(__xludf.DUMMYFUNCTION("GOOGLETRANSLATE(B1865,""en"",""pt-br"")"),"negativo")</f>
        <v>negativo</v>
      </c>
    </row>
    <row r="1866" ht="15.75" customHeight="1">
      <c r="A1866" s="2" t="s">
        <v>1868</v>
      </c>
      <c r="B1866" s="2" t="s">
        <v>3</v>
      </c>
      <c r="C1866" s="1" t="str">
        <f>IFERROR(__xludf.DUMMYFUNCTION("GOOGLETRANSLATE(A1866,""en"",""pt-br"")"),"duvidoso")</f>
        <v>duvidoso</v>
      </c>
      <c r="D1866" s="1" t="str">
        <f>IFERROR(__xludf.DUMMYFUNCTION("GOOGLETRANSLATE(B1866,""en"",""pt-br"")"),"negativo")</f>
        <v>negativo</v>
      </c>
    </row>
    <row r="1867" ht="15.75" customHeight="1">
      <c r="A1867" s="2" t="s">
        <v>1869</v>
      </c>
      <c r="B1867" s="2" t="s">
        <v>3</v>
      </c>
      <c r="C1867" s="1" t="str">
        <f>IFERROR(__xludf.DUMMYFUNCTION("GOOGLETRANSLATE(A1867,""en"",""pt-br"")"),"dubiously")</f>
        <v>dubiously</v>
      </c>
      <c r="D1867" s="1" t="str">
        <f>IFERROR(__xludf.DUMMYFUNCTION("GOOGLETRANSLATE(B1867,""en"",""pt-br"")"),"negativo")</f>
        <v>negativo</v>
      </c>
    </row>
    <row r="1868" ht="15.75" customHeight="1">
      <c r="A1868" s="2" t="s">
        <v>1870</v>
      </c>
      <c r="B1868" s="2" t="s">
        <v>3</v>
      </c>
      <c r="C1868" s="1" t="str">
        <f>IFERROR(__xludf.DUMMYFUNCTION("GOOGLETRANSLATE(A1868,""en"",""pt-br"")"),"dubitable")</f>
        <v>dubitable</v>
      </c>
      <c r="D1868" s="1" t="str">
        <f>IFERROR(__xludf.DUMMYFUNCTION("GOOGLETRANSLATE(B1868,""en"",""pt-br"")"),"negativo")</f>
        <v>negativo</v>
      </c>
    </row>
    <row r="1869" ht="15.75" customHeight="1">
      <c r="A1869" s="2" t="s">
        <v>1871</v>
      </c>
      <c r="B1869" s="2" t="s">
        <v>3</v>
      </c>
      <c r="C1869" s="1" t="str">
        <f>IFERROR(__xludf.DUMMYFUNCTION("GOOGLETRANSLATE(A1869,""en"",""pt-br"")"),"boato")</f>
        <v>boato</v>
      </c>
      <c r="D1869" s="1" t="str">
        <f>IFERROR(__xludf.DUMMYFUNCTION("GOOGLETRANSLATE(B1869,""en"",""pt-br"")"),"negativo")</f>
        <v>negativo</v>
      </c>
    </row>
    <row r="1870" ht="15.75" customHeight="1">
      <c r="A1870" s="2" t="s">
        <v>1872</v>
      </c>
      <c r="B1870" s="2" t="s">
        <v>3</v>
      </c>
      <c r="C1870" s="1" t="str">
        <f>IFERROR(__xludf.DUMMYFUNCTION("GOOGLETRANSLATE(A1870,""en"",""pt-br"")"),"maçante")</f>
        <v>maçante</v>
      </c>
      <c r="D1870" s="1" t="str">
        <f>IFERROR(__xludf.DUMMYFUNCTION("GOOGLETRANSLATE(B1870,""en"",""pt-br"")"),"negativo")</f>
        <v>negativo</v>
      </c>
    </row>
    <row r="1871" ht="15.75" customHeight="1">
      <c r="A1871" s="2" t="s">
        <v>1873</v>
      </c>
      <c r="B1871" s="2" t="s">
        <v>3</v>
      </c>
      <c r="C1871" s="1" t="str">
        <f>IFERROR(__xludf.DUMMYFUNCTION("GOOGLETRANSLATE(A1871,""en"",""pt-br"")"),"bronco")</f>
        <v>bronco</v>
      </c>
      <c r="D1871" s="1" t="str">
        <f>IFERROR(__xludf.DUMMYFUNCTION("GOOGLETRANSLATE(B1871,""en"",""pt-br"")"),"negativo")</f>
        <v>negativo</v>
      </c>
    </row>
    <row r="1872" ht="15.75" customHeight="1">
      <c r="A1872" s="2" t="s">
        <v>1874</v>
      </c>
      <c r="B1872" s="2" t="s">
        <v>3</v>
      </c>
      <c r="C1872" s="1" t="str">
        <f>IFERROR(__xludf.DUMMYFUNCTION("GOOGLETRANSLATE(A1872,""en"",""pt-br"")"),"idiota")</f>
        <v>idiota</v>
      </c>
      <c r="D1872" s="1" t="str">
        <f>IFERROR(__xludf.DUMMYFUNCTION("GOOGLETRANSLATE(B1872,""en"",""pt-br"")"),"negativo")</f>
        <v>negativo</v>
      </c>
    </row>
    <row r="1873" ht="15.75" customHeight="1">
      <c r="A1873" s="2" t="s">
        <v>1875</v>
      </c>
      <c r="B1873" s="2" t="s">
        <v>3</v>
      </c>
      <c r="C1873" s="1" t="str">
        <f>IFERROR(__xludf.DUMMYFUNCTION("GOOGLETRANSLATE(A1873,""en"",""pt-br"")"),"emudecer")</f>
        <v>emudecer</v>
      </c>
      <c r="D1873" s="1" t="str">
        <f>IFERROR(__xludf.DUMMYFUNCTION("GOOGLETRANSLATE(B1873,""en"",""pt-br"")"),"negativo")</f>
        <v>negativo</v>
      </c>
    </row>
    <row r="1874" ht="15.75" customHeight="1">
      <c r="A1874" s="2" t="s">
        <v>1876</v>
      </c>
      <c r="B1874" s="2" t="s">
        <v>14</v>
      </c>
      <c r="C1874" s="1" t="str">
        <f>IFERROR(__xludf.DUMMYFUNCTION("GOOGLETRANSLATE(A1874,""en"",""pt-br"")"),"estupefato")</f>
        <v>estupefato</v>
      </c>
      <c r="D1874" s="1" t="str">
        <f>IFERROR(__xludf.DUMMYFUNCTION("GOOGLETRANSLATE(B1874,""en"",""pt-br"")"),"positivo")</f>
        <v>positivo</v>
      </c>
    </row>
    <row r="1875" ht="15.75" customHeight="1">
      <c r="A1875" s="2" t="s">
        <v>1877</v>
      </c>
      <c r="B1875" s="2" t="s">
        <v>14</v>
      </c>
      <c r="C1875" s="1" t="str">
        <f>IFERROR(__xludf.DUMMYFUNCTION("GOOGLETRANSLATE(A1875,""en"",""pt-br"")"),"perplexidade")</f>
        <v>perplexidade</v>
      </c>
      <c r="D1875" s="1" t="str">
        <f>IFERROR(__xludf.DUMMYFUNCTION("GOOGLETRANSLATE(B1875,""en"",""pt-br"")"),"positivo")</f>
        <v>positivo</v>
      </c>
    </row>
    <row r="1876" ht="15.75" customHeight="1">
      <c r="A1876" s="2" t="s">
        <v>1878</v>
      </c>
      <c r="B1876" s="2" t="s">
        <v>14</v>
      </c>
      <c r="C1876" s="1" t="str">
        <f>IFERROR(__xludf.DUMMYFUNCTION("GOOGLETRANSLATE(A1876,""en"",""pt-br"")"),"dummy-prova")</f>
        <v>dummy-prova</v>
      </c>
      <c r="D1876" s="1" t="str">
        <f>IFERROR(__xludf.DUMMYFUNCTION("GOOGLETRANSLATE(B1876,""en"",""pt-br"")"),"positivo")</f>
        <v>positivo</v>
      </c>
    </row>
    <row r="1877" ht="15.75" customHeight="1">
      <c r="A1877" s="2" t="s">
        <v>1879</v>
      </c>
      <c r="B1877" s="2" t="s">
        <v>3</v>
      </c>
      <c r="C1877" s="1" t="str">
        <f>IFERROR(__xludf.DUMMYFUNCTION("GOOGLETRANSLATE(A1877,""en"",""pt-br"")"),"lixeira")</f>
        <v>lixeira</v>
      </c>
      <c r="D1877" s="1" t="str">
        <f>IFERROR(__xludf.DUMMYFUNCTION("GOOGLETRANSLATE(B1877,""en"",""pt-br"")"),"negativo")</f>
        <v>negativo</v>
      </c>
    </row>
    <row r="1878" ht="15.75" customHeight="1">
      <c r="A1878" s="2" t="s">
        <v>1880</v>
      </c>
      <c r="B1878" s="2" t="s">
        <v>3</v>
      </c>
      <c r="C1878" s="1" t="str">
        <f>IFERROR(__xludf.DUMMYFUNCTION("GOOGLETRANSLATE(A1878,""en"",""pt-br"")"),"despejado")</f>
        <v>despejado</v>
      </c>
      <c r="D1878" s="1" t="str">
        <f>IFERROR(__xludf.DUMMYFUNCTION("GOOGLETRANSLATE(B1878,""en"",""pt-br"")"),"negativo")</f>
        <v>negativo</v>
      </c>
    </row>
    <row r="1879" ht="15.75" customHeight="1">
      <c r="A1879" s="2" t="s">
        <v>1881</v>
      </c>
      <c r="B1879" s="2" t="s">
        <v>3</v>
      </c>
      <c r="C1879" s="1" t="str">
        <f>IFERROR(__xludf.DUMMYFUNCTION("GOOGLETRANSLATE(A1879,""en"",""pt-br"")"),"despejo")</f>
        <v>despejo</v>
      </c>
      <c r="D1879" s="1" t="str">
        <f>IFERROR(__xludf.DUMMYFUNCTION("GOOGLETRANSLATE(B1879,""en"",""pt-br"")"),"negativo")</f>
        <v>negativo</v>
      </c>
    </row>
    <row r="1880" ht="15.75" customHeight="1">
      <c r="A1880" s="2" t="s">
        <v>1882</v>
      </c>
      <c r="B1880" s="2" t="s">
        <v>3</v>
      </c>
      <c r="C1880" s="1" t="str">
        <f>IFERROR(__xludf.DUMMYFUNCTION("GOOGLETRANSLATE(A1880,""en"",""pt-br"")"),"lixões")</f>
        <v>lixões</v>
      </c>
      <c r="D1880" s="1" t="str">
        <f>IFERROR(__xludf.DUMMYFUNCTION("GOOGLETRANSLATE(B1880,""en"",""pt-br"")"),"negativo")</f>
        <v>negativo</v>
      </c>
    </row>
    <row r="1881" ht="15.75" customHeight="1">
      <c r="A1881" s="2" t="s">
        <v>1883</v>
      </c>
      <c r="B1881" s="2" t="s">
        <v>3</v>
      </c>
      <c r="C1881" s="1" t="str">
        <f>IFERROR(__xludf.DUMMYFUNCTION("GOOGLETRANSLATE(A1881,""en"",""pt-br"")"),"ignorante")</f>
        <v>ignorante</v>
      </c>
      <c r="D1881" s="1" t="str">
        <f>IFERROR(__xludf.DUMMYFUNCTION("GOOGLETRANSLATE(B1881,""en"",""pt-br"")"),"negativo")</f>
        <v>negativo</v>
      </c>
    </row>
    <row r="1882" ht="15.75" customHeight="1">
      <c r="A1882" s="2" t="s">
        <v>1884</v>
      </c>
      <c r="B1882" s="2" t="s">
        <v>3</v>
      </c>
      <c r="C1882" s="1" t="str">
        <f>IFERROR(__xludf.DUMMYFUNCTION("GOOGLETRANSLATE(A1882,""en"",""pt-br"")"),"masmorra")</f>
        <v>masmorra</v>
      </c>
      <c r="D1882" s="1" t="str">
        <f>IFERROR(__xludf.DUMMYFUNCTION("GOOGLETRANSLATE(B1882,""en"",""pt-br"")"),"negativo")</f>
        <v>negativo</v>
      </c>
    </row>
    <row r="1883" ht="15.75" customHeight="1">
      <c r="A1883" s="2" t="s">
        <v>1885</v>
      </c>
      <c r="B1883" s="2" t="s">
        <v>3</v>
      </c>
      <c r="C1883" s="1" t="str">
        <f>IFERROR(__xludf.DUMMYFUNCTION("GOOGLETRANSLATE(A1883,""en"",""pt-br"")"),"masmorras")</f>
        <v>masmorras</v>
      </c>
      <c r="D1883" s="1" t="str">
        <f>IFERROR(__xludf.DUMMYFUNCTION("GOOGLETRANSLATE(B1883,""en"",""pt-br"")"),"negativo")</f>
        <v>negativo</v>
      </c>
    </row>
    <row r="1884" ht="15.75" customHeight="1">
      <c r="A1884" s="2" t="s">
        <v>1886</v>
      </c>
      <c r="B1884" s="2" t="s">
        <v>3</v>
      </c>
      <c r="C1884" s="1" t="str">
        <f>IFERROR(__xludf.DUMMYFUNCTION("GOOGLETRANSLATE(A1884,""en"",""pt-br"")"),"enganar")</f>
        <v>enganar</v>
      </c>
      <c r="D1884" s="1" t="str">
        <f>IFERROR(__xludf.DUMMYFUNCTION("GOOGLETRANSLATE(B1884,""en"",""pt-br"")"),"negativo")</f>
        <v>negativo</v>
      </c>
    </row>
    <row r="1885" ht="15.75" customHeight="1">
      <c r="A1885" s="2" t="s">
        <v>1887</v>
      </c>
      <c r="B1885" s="2" t="s">
        <v>14</v>
      </c>
      <c r="C1885" s="1" t="str">
        <f>IFERROR(__xludf.DUMMYFUNCTION("GOOGLETRANSLATE(A1885,""en"",""pt-br"")"),"durável")</f>
        <v>durável</v>
      </c>
      <c r="D1885" s="1" t="str">
        <f>IFERROR(__xludf.DUMMYFUNCTION("GOOGLETRANSLATE(B1885,""en"",""pt-br"")"),"positivo")</f>
        <v>positivo</v>
      </c>
    </row>
    <row r="1886" ht="15.75" customHeight="1">
      <c r="A1886" s="2" t="s">
        <v>1888</v>
      </c>
      <c r="B1886" s="2" t="s">
        <v>3</v>
      </c>
      <c r="C1886" s="1" t="str">
        <f>IFERROR(__xludf.DUMMYFUNCTION("GOOGLETRANSLATE(A1886,""en"",""pt-br"")"),"poeira")</f>
        <v>poeira</v>
      </c>
      <c r="D1886" s="1" t="str">
        <f>IFERROR(__xludf.DUMMYFUNCTION("GOOGLETRANSLATE(B1886,""en"",""pt-br"")"),"negativo")</f>
        <v>negativo</v>
      </c>
    </row>
    <row r="1887" ht="15.75" customHeight="1">
      <c r="A1887" s="2" t="s">
        <v>1889</v>
      </c>
      <c r="B1887" s="2" t="s">
        <v>3</v>
      </c>
      <c r="C1887" s="1" t="str">
        <f>IFERROR(__xludf.DUMMYFUNCTION("GOOGLETRANSLATE(A1887,""en"",""pt-br"")"),"poeirento")</f>
        <v>poeirento</v>
      </c>
      <c r="D1887" s="1" t="str">
        <f>IFERROR(__xludf.DUMMYFUNCTION("GOOGLETRANSLATE(B1887,""en"",""pt-br"")"),"negativo")</f>
        <v>negativo</v>
      </c>
    </row>
    <row r="1888" ht="15.75" customHeight="1">
      <c r="A1888" s="2" t="s">
        <v>1890</v>
      </c>
      <c r="B1888" s="2" t="s">
        <v>3</v>
      </c>
      <c r="C1888" s="1" t="str">
        <f>IFERROR(__xludf.DUMMYFUNCTION("GOOGLETRANSLATE(A1888,""en"",""pt-br"")"),"diminuindo")</f>
        <v>diminuindo</v>
      </c>
      <c r="D1888" s="1" t="str">
        <f>IFERROR(__xludf.DUMMYFUNCTION("GOOGLETRANSLATE(B1888,""en"",""pt-br"")"),"negativo")</f>
        <v>negativo</v>
      </c>
    </row>
    <row r="1889" ht="15.75" customHeight="1">
      <c r="A1889" s="2" t="s">
        <v>1891</v>
      </c>
      <c r="B1889" s="2" t="s">
        <v>3</v>
      </c>
      <c r="C1889" s="1" t="str">
        <f>IFERROR(__xludf.DUMMYFUNCTION("GOOGLETRANSLATE(A1889,""en"",""pt-br"")"),"morrendo")</f>
        <v>morrendo</v>
      </c>
      <c r="D1889" s="1" t="str">
        <f>IFERROR(__xludf.DUMMYFUNCTION("GOOGLETRANSLATE(B1889,""en"",""pt-br"")"),"negativo")</f>
        <v>negativo</v>
      </c>
    </row>
    <row r="1890" ht="15.75" customHeight="1">
      <c r="A1890" s="2" t="s">
        <v>1892</v>
      </c>
      <c r="B1890" s="2" t="s">
        <v>14</v>
      </c>
      <c r="C1890" s="1" t="str">
        <f>IFERROR(__xludf.DUMMYFUNCTION("GOOGLETRANSLATE(A1890,""en"",""pt-br"")"),"dinâmico")</f>
        <v>dinâmico</v>
      </c>
      <c r="D1890" s="1" t="str">
        <f>IFERROR(__xludf.DUMMYFUNCTION("GOOGLETRANSLATE(B1890,""en"",""pt-br"")"),"positivo")</f>
        <v>positivo</v>
      </c>
    </row>
    <row r="1891" ht="15.75" customHeight="1">
      <c r="A1891" s="2" t="s">
        <v>1893</v>
      </c>
      <c r="B1891" s="2" t="s">
        <v>14</v>
      </c>
      <c r="C1891" s="1" t="str">
        <f>IFERROR(__xludf.DUMMYFUNCTION("GOOGLETRANSLATE(A1891,""en"",""pt-br"")"),"ansioso")</f>
        <v>ansioso</v>
      </c>
      <c r="D1891" s="1" t="str">
        <f>IFERROR(__xludf.DUMMYFUNCTION("GOOGLETRANSLATE(B1891,""en"",""pt-br"")"),"positivo")</f>
        <v>positivo</v>
      </c>
    </row>
    <row r="1892" ht="15.75" customHeight="1">
      <c r="A1892" s="2" t="s">
        <v>1894</v>
      </c>
      <c r="B1892" s="2" t="s">
        <v>14</v>
      </c>
      <c r="C1892" s="1" t="str">
        <f>IFERROR(__xludf.DUMMYFUNCTION("GOOGLETRANSLATE(A1892,""en"",""pt-br"")"),"avidamente")</f>
        <v>avidamente</v>
      </c>
      <c r="D1892" s="1" t="str">
        <f>IFERROR(__xludf.DUMMYFUNCTION("GOOGLETRANSLATE(B1892,""en"",""pt-br"")"),"positivo")</f>
        <v>positivo</v>
      </c>
    </row>
    <row r="1893" ht="15.75" customHeight="1">
      <c r="A1893" s="2" t="s">
        <v>1895</v>
      </c>
      <c r="B1893" s="2" t="s">
        <v>14</v>
      </c>
      <c r="C1893" s="1" t="str">
        <f>IFERROR(__xludf.DUMMYFUNCTION("GOOGLETRANSLATE(A1893,""en"",""pt-br"")"),"ânsia")</f>
        <v>ânsia</v>
      </c>
      <c r="D1893" s="1" t="str">
        <f>IFERROR(__xludf.DUMMYFUNCTION("GOOGLETRANSLATE(B1893,""en"",""pt-br"")"),"positivo")</f>
        <v>positivo</v>
      </c>
    </row>
    <row r="1894" ht="15.75" customHeight="1">
      <c r="A1894" s="2" t="s">
        <v>1896</v>
      </c>
      <c r="B1894" s="2" t="s">
        <v>14</v>
      </c>
      <c r="C1894" s="1" t="str">
        <f>IFERROR(__xludf.DUMMYFUNCTION("GOOGLETRANSLATE(A1894,""en"",""pt-br"")"),"sério")</f>
        <v>sério</v>
      </c>
      <c r="D1894" s="1" t="str">
        <f>IFERROR(__xludf.DUMMYFUNCTION("GOOGLETRANSLATE(B1894,""en"",""pt-br"")"),"positivo")</f>
        <v>positivo</v>
      </c>
    </row>
    <row r="1895" ht="15.75" customHeight="1">
      <c r="A1895" s="2" t="s">
        <v>1897</v>
      </c>
      <c r="B1895" s="2" t="s">
        <v>14</v>
      </c>
      <c r="C1895" s="1" t="str">
        <f>IFERROR(__xludf.DUMMYFUNCTION("GOOGLETRANSLATE(A1895,""en"",""pt-br"")"),"seriamente")</f>
        <v>seriamente</v>
      </c>
      <c r="D1895" s="1" t="str">
        <f>IFERROR(__xludf.DUMMYFUNCTION("GOOGLETRANSLATE(B1895,""en"",""pt-br"")"),"positivo")</f>
        <v>positivo</v>
      </c>
    </row>
    <row r="1896" ht="15.75" customHeight="1">
      <c r="A1896" s="2" t="s">
        <v>1898</v>
      </c>
      <c r="B1896" s="2" t="s">
        <v>14</v>
      </c>
      <c r="C1896" s="1" t="str">
        <f>IFERROR(__xludf.DUMMYFUNCTION("GOOGLETRANSLATE(A1896,""en"",""pt-br"")"),"seriedade")</f>
        <v>seriedade</v>
      </c>
      <c r="D1896" s="1" t="str">
        <f>IFERROR(__xludf.DUMMYFUNCTION("GOOGLETRANSLATE(B1896,""en"",""pt-br"")"),"positivo")</f>
        <v>positivo</v>
      </c>
    </row>
    <row r="1897" ht="15.75" customHeight="1">
      <c r="A1897" s="2" t="s">
        <v>1899</v>
      </c>
      <c r="B1897" s="2" t="s">
        <v>3</v>
      </c>
      <c r="C1897" s="1" t="str">
        <f>IFERROR(__xludf.DUMMYFUNCTION("GOOGLETRANSLATE(A1897,""en"",""pt-br"")"),"earsplitting")</f>
        <v>earsplitting</v>
      </c>
      <c r="D1897" s="1" t="str">
        <f>IFERROR(__xludf.DUMMYFUNCTION("GOOGLETRANSLATE(B1897,""en"",""pt-br"")"),"negativo")</f>
        <v>negativo</v>
      </c>
    </row>
    <row r="1898" ht="15.75" customHeight="1">
      <c r="A1898" s="2" t="s">
        <v>1900</v>
      </c>
      <c r="B1898" s="2" t="s">
        <v>14</v>
      </c>
      <c r="C1898" s="1" t="str">
        <f>IFERROR(__xludf.DUMMYFUNCTION("GOOGLETRANSLATE(A1898,""en"",""pt-br"")"),"facilidade")</f>
        <v>facilidade</v>
      </c>
      <c r="D1898" s="1" t="str">
        <f>IFERROR(__xludf.DUMMYFUNCTION("GOOGLETRANSLATE(B1898,""en"",""pt-br"")"),"positivo")</f>
        <v>positivo</v>
      </c>
    </row>
    <row r="1899" ht="15.75" customHeight="1">
      <c r="A1899" s="2" t="s">
        <v>1901</v>
      </c>
      <c r="B1899" s="2" t="s">
        <v>14</v>
      </c>
      <c r="C1899" s="1" t="str">
        <f>IFERROR(__xludf.DUMMYFUNCTION("GOOGLETRANSLATE(A1899,""en"",""pt-br"")"),"facilitado")</f>
        <v>facilitado</v>
      </c>
      <c r="D1899" s="1" t="str">
        <f>IFERROR(__xludf.DUMMYFUNCTION("GOOGLETRANSLATE(B1899,""en"",""pt-br"")"),"positivo")</f>
        <v>positivo</v>
      </c>
    </row>
    <row r="1900" ht="15.75" customHeight="1">
      <c r="A1900" s="2" t="s">
        <v>1902</v>
      </c>
      <c r="B1900" s="2" t="s">
        <v>14</v>
      </c>
      <c r="C1900" s="1" t="str">
        <f>IFERROR(__xludf.DUMMYFUNCTION("GOOGLETRANSLATE(A1900,""en"",""pt-br"")"),"flexibiliza")</f>
        <v>flexibiliza</v>
      </c>
      <c r="D1900" s="1" t="str">
        <f>IFERROR(__xludf.DUMMYFUNCTION("GOOGLETRANSLATE(B1900,""en"",""pt-br"")"),"positivo")</f>
        <v>positivo</v>
      </c>
    </row>
    <row r="1901" ht="15.75" customHeight="1">
      <c r="A1901" s="2" t="s">
        <v>1903</v>
      </c>
      <c r="B1901" s="2" t="s">
        <v>14</v>
      </c>
      <c r="C1901" s="1" t="str">
        <f>IFERROR(__xludf.DUMMYFUNCTION("GOOGLETRANSLATE(A1901,""en"",""pt-br"")"),"Mais fácil")</f>
        <v>Mais fácil</v>
      </c>
      <c r="D1901" s="1" t="str">
        <f>IFERROR(__xludf.DUMMYFUNCTION("GOOGLETRANSLATE(B1901,""en"",""pt-br"")"),"positivo")</f>
        <v>positivo</v>
      </c>
    </row>
    <row r="1902" ht="15.75" customHeight="1">
      <c r="A1902" s="2" t="s">
        <v>1904</v>
      </c>
      <c r="B1902" s="2" t="s">
        <v>14</v>
      </c>
      <c r="C1902" s="1" t="str">
        <f>IFERROR(__xludf.DUMMYFUNCTION("GOOGLETRANSLATE(A1902,""en"",""pt-br"")"),"mais fácil")</f>
        <v>mais fácil</v>
      </c>
      <c r="D1902" s="1" t="str">
        <f>IFERROR(__xludf.DUMMYFUNCTION("GOOGLETRANSLATE(B1902,""en"",""pt-br"")"),"positivo")</f>
        <v>positivo</v>
      </c>
    </row>
    <row r="1903" ht="15.75" customHeight="1">
      <c r="A1903" s="2" t="s">
        <v>1905</v>
      </c>
      <c r="B1903" s="2" t="s">
        <v>14</v>
      </c>
      <c r="C1903" s="1" t="str">
        <f>IFERROR(__xludf.DUMMYFUNCTION("GOOGLETRANSLATE(A1903,""en"",""pt-br"")"),"facilidade")</f>
        <v>facilidade</v>
      </c>
      <c r="D1903" s="1" t="str">
        <f>IFERROR(__xludf.DUMMYFUNCTION("GOOGLETRANSLATE(B1903,""en"",""pt-br"")"),"positivo")</f>
        <v>positivo</v>
      </c>
    </row>
    <row r="1904" ht="15.75" customHeight="1">
      <c r="A1904" s="2" t="s">
        <v>1906</v>
      </c>
      <c r="B1904" s="2" t="s">
        <v>14</v>
      </c>
      <c r="C1904" s="1" t="str">
        <f>IFERROR(__xludf.DUMMYFUNCTION("GOOGLETRANSLATE(A1904,""en"",""pt-br"")"),"aliviando")</f>
        <v>aliviando</v>
      </c>
      <c r="D1904" s="1" t="str">
        <f>IFERROR(__xludf.DUMMYFUNCTION("GOOGLETRANSLATE(B1904,""en"",""pt-br"")"),"positivo")</f>
        <v>positivo</v>
      </c>
    </row>
    <row r="1905" ht="15.75" customHeight="1">
      <c r="A1905" s="2" t="s">
        <v>1907</v>
      </c>
      <c r="B1905" s="2" t="s">
        <v>14</v>
      </c>
      <c r="C1905" s="1" t="str">
        <f>IFERROR(__xludf.DUMMYFUNCTION("GOOGLETRANSLATE(A1905,""en"",""pt-br"")"),"fácil")</f>
        <v>fácil</v>
      </c>
      <c r="D1905" s="1" t="str">
        <f>IFERROR(__xludf.DUMMYFUNCTION("GOOGLETRANSLATE(B1905,""en"",""pt-br"")"),"positivo")</f>
        <v>positivo</v>
      </c>
    </row>
    <row r="1906" ht="15.75" customHeight="1">
      <c r="A1906" s="2" t="s">
        <v>1908</v>
      </c>
      <c r="B1906" s="2" t="s">
        <v>14</v>
      </c>
      <c r="C1906" s="1" t="str">
        <f>IFERROR(__xludf.DUMMYFUNCTION("GOOGLETRANSLATE(A1906,""en"",""pt-br"")"),"fácil de usar")</f>
        <v>fácil de usar</v>
      </c>
      <c r="D1906" s="1" t="str">
        <f>IFERROR(__xludf.DUMMYFUNCTION("GOOGLETRANSLATE(B1906,""en"",""pt-br"")"),"positivo")</f>
        <v>positivo</v>
      </c>
    </row>
    <row r="1907" ht="15.75" customHeight="1">
      <c r="A1907" s="2" t="s">
        <v>1909</v>
      </c>
      <c r="B1907" s="2" t="s">
        <v>14</v>
      </c>
      <c r="C1907" s="1" t="str">
        <f>IFERROR(__xludf.DUMMYFUNCTION("GOOGLETRANSLATE(A1907,""en"",""pt-br"")"),"maleável")</f>
        <v>maleável</v>
      </c>
      <c r="D1907" s="1" t="str">
        <f>IFERROR(__xludf.DUMMYFUNCTION("GOOGLETRANSLATE(B1907,""en"",""pt-br"")"),"positivo")</f>
        <v>positivo</v>
      </c>
    </row>
    <row r="1908" ht="15.75" customHeight="1">
      <c r="A1908" s="2" t="s">
        <v>1910</v>
      </c>
      <c r="B1908" s="2" t="s">
        <v>14</v>
      </c>
      <c r="C1908" s="1" t="str">
        <f>IFERROR(__xludf.DUMMYFUNCTION("GOOGLETRANSLATE(A1908,""en"",""pt-br"")"),"ebulição")</f>
        <v>ebulição</v>
      </c>
      <c r="D1908" s="1" t="str">
        <f>IFERROR(__xludf.DUMMYFUNCTION("GOOGLETRANSLATE(B1908,""en"",""pt-br"")"),"positivo")</f>
        <v>positivo</v>
      </c>
    </row>
    <row r="1909" ht="15.75" customHeight="1">
      <c r="A1909" s="2" t="s">
        <v>1911</v>
      </c>
      <c r="B1909" s="2" t="s">
        <v>14</v>
      </c>
      <c r="C1909" s="1" t="str">
        <f>IFERROR(__xludf.DUMMYFUNCTION("GOOGLETRANSLATE(A1909,""en"",""pt-br"")"),"efervescente")</f>
        <v>efervescente</v>
      </c>
      <c r="D1909" s="1" t="str">
        <f>IFERROR(__xludf.DUMMYFUNCTION("GOOGLETRANSLATE(B1909,""en"",""pt-br"")"),"positivo")</f>
        <v>positivo</v>
      </c>
    </row>
    <row r="1910" ht="15.75" customHeight="1">
      <c r="A1910" s="2" t="s">
        <v>1912</v>
      </c>
      <c r="B1910" s="2" t="s">
        <v>14</v>
      </c>
      <c r="C1910" s="1" t="str">
        <f>IFERROR(__xludf.DUMMYFUNCTION("GOOGLETRANSLATE(A1910,""en"",""pt-br"")"),"efervescente")</f>
        <v>efervescente</v>
      </c>
      <c r="D1910" s="1" t="str">
        <f>IFERROR(__xludf.DUMMYFUNCTION("GOOGLETRANSLATE(B1910,""en"",""pt-br"")"),"positivo")</f>
        <v>positivo</v>
      </c>
    </row>
    <row r="1911" ht="15.75" customHeight="1">
      <c r="A1911" s="2" t="s">
        <v>1913</v>
      </c>
      <c r="B1911" s="2" t="s">
        <v>3</v>
      </c>
      <c r="C1911" s="1" t="str">
        <f>IFERROR(__xludf.DUMMYFUNCTION("GOOGLETRANSLATE(A1911,""en"",""pt-br"")"),"excêntrico")</f>
        <v>excêntrico</v>
      </c>
      <c r="D1911" s="1" t="str">
        <f>IFERROR(__xludf.DUMMYFUNCTION("GOOGLETRANSLATE(B1911,""en"",""pt-br"")"),"negativo")</f>
        <v>negativo</v>
      </c>
    </row>
    <row r="1912" ht="15.75" customHeight="1">
      <c r="A1912" s="2" t="s">
        <v>1914</v>
      </c>
      <c r="B1912" s="2" t="s">
        <v>3</v>
      </c>
      <c r="C1912" s="1" t="str">
        <f>IFERROR(__xludf.DUMMYFUNCTION("GOOGLETRANSLATE(A1912,""en"",""pt-br"")"),"excentricidade")</f>
        <v>excentricidade</v>
      </c>
      <c r="D1912" s="1" t="str">
        <f>IFERROR(__xludf.DUMMYFUNCTION("GOOGLETRANSLATE(B1912,""en"",""pt-br"")"),"negativo")</f>
        <v>negativo</v>
      </c>
    </row>
    <row r="1913" ht="15.75" customHeight="1">
      <c r="A1913" s="2" t="s">
        <v>1915</v>
      </c>
      <c r="B1913" s="2" t="s">
        <v>14</v>
      </c>
      <c r="C1913" s="1" t="str">
        <f>IFERROR(__xludf.DUMMYFUNCTION("GOOGLETRANSLATE(A1913,""en"",""pt-br"")"),"ecenomical")</f>
        <v>ecenomical</v>
      </c>
      <c r="D1913" s="1" t="str">
        <f>IFERROR(__xludf.DUMMYFUNCTION("GOOGLETRANSLATE(B1913,""en"",""pt-br"")"),"positivo")</f>
        <v>positivo</v>
      </c>
    </row>
    <row r="1914" ht="15.75" customHeight="1">
      <c r="A1914" s="2" t="s">
        <v>1916</v>
      </c>
      <c r="B1914" s="2" t="s">
        <v>14</v>
      </c>
      <c r="C1914" s="1" t="str">
        <f>IFERROR(__xludf.DUMMYFUNCTION("GOOGLETRANSLATE(A1914,""en"",""pt-br"")"),"econômico")</f>
        <v>econômico</v>
      </c>
      <c r="D1914" s="1" t="str">
        <f>IFERROR(__xludf.DUMMYFUNCTION("GOOGLETRANSLATE(B1914,""en"",""pt-br"")"),"positivo")</f>
        <v>positivo</v>
      </c>
    </row>
    <row r="1915" ht="15.75" customHeight="1">
      <c r="A1915" s="2" t="s">
        <v>1917</v>
      </c>
      <c r="B1915" s="2" t="s">
        <v>14</v>
      </c>
      <c r="C1915" s="1" t="str">
        <f>IFERROR(__xludf.DUMMYFUNCTION("GOOGLETRANSLATE(A1915,""en"",""pt-br"")"),"êxtases")</f>
        <v>êxtases</v>
      </c>
      <c r="D1915" s="1" t="str">
        <f>IFERROR(__xludf.DUMMYFUNCTION("GOOGLETRANSLATE(B1915,""en"",""pt-br"")"),"positivo")</f>
        <v>positivo</v>
      </c>
    </row>
    <row r="1916" ht="15.75" customHeight="1">
      <c r="A1916" s="2" t="s">
        <v>1918</v>
      </c>
      <c r="B1916" s="2" t="s">
        <v>14</v>
      </c>
      <c r="C1916" s="1" t="str">
        <f>IFERROR(__xludf.DUMMYFUNCTION("GOOGLETRANSLATE(A1916,""en"",""pt-br"")"),"êxtase")</f>
        <v>êxtase</v>
      </c>
      <c r="D1916" s="1" t="str">
        <f>IFERROR(__xludf.DUMMYFUNCTION("GOOGLETRANSLATE(B1916,""en"",""pt-br"")"),"positivo")</f>
        <v>positivo</v>
      </c>
    </row>
    <row r="1917" ht="15.75" customHeight="1">
      <c r="A1917" s="2" t="s">
        <v>1919</v>
      </c>
      <c r="B1917" s="2" t="s">
        <v>14</v>
      </c>
      <c r="C1917" s="1" t="str">
        <f>IFERROR(__xludf.DUMMYFUNCTION("GOOGLETRANSLATE(A1917,""en"",""pt-br"")"),"extático")</f>
        <v>extático</v>
      </c>
      <c r="D1917" s="1" t="str">
        <f>IFERROR(__xludf.DUMMYFUNCTION("GOOGLETRANSLATE(B1917,""en"",""pt-br"")"),"positivo")</f>
        <v>positivo</v>
      </c>
    </row>
    <row r="1918" ht="15.75" customHeight="1">
      <c r="A1918" s="2" t="s">
        <v>1920</v>
      </c>
      <c r="B1918" s="2" t="s">
        <v>14</v>
      </c>
      <c r="C1918" s="1" t="str">
        <f>IFERROR(__xludf.DUMMYFUNCTION("GOOGLETRANSLATE(A1918,""en"",""pt-br"")"),"ecstatically")</f>
        <v>ecstatically</v>
      </c>
      <c r="D1918" s="1" t="str">
        <f>IFERROR(__xludf.DUMMYFUNCTION("GOOGLETRANSLATE(B1918,""en"",""pt-br"")"),"positivo")</f>
        <v>positivo</v>
      </c>
    </row>
    <row r="1919" ht="15.75" customHeight="1">
      <c r="A1919" s="2" t="s">
        <v>1921</v>
      </c>
      <c r="B1919" s="2" t="s">
        <v>14</v>
      </c>
      <c r="C1919" s="1" t="str">
        <f>IFERROR(__xludf.DUMMYFUNCTION("GOOGLETRANSLATE(A1919,""en"",""pt-br"")"),"edificar")</f>
        <v>edificar</v>
      </c>
      <c r="D1919" s="1" t="str">
        <f>IFERROR(__xludf.DUMMYFUNCTION("GOOGLETRANSLATE(B1919,""en"",""pt-br"")"),"positivo")</f>
        <v>positivo</v>
      </c>
    </row>
    <row r="1920" ht="15.75" customHeight="1">
      <c r="A1920" s="2" t="s">
        <v>1922</v>
      </c>
      <c r="B1920" s="2" t="s">
        <v>14</v>
      </c>
      <c r="C1920" s="1" t="str">
        <f>IFERROR(__xludf.DUMMYFUNCTION("GOOGLETRANSLATE(A1920,""en"",""pt-br"")"),"educado")</f>
        <v>educado</v>
      </c>
      <c r="D1920" s="1" t="str">
        <f>IFERROR(__xludf.DUMMYFUNCTION("GOOGLETRANSLATE(B1920,""en"",""pt-br"")"),"positivo")</f>
        <v>positivo</v>
      </c>
    </row>
    <row r="1921" ht="15.75" customHeight="1">
      <c r="A1921" s="2" t="s">
        <v>1923</v>
      </c>
      <c r="B1921" s="2" t="s">
        <v>14</v>
      </c>
      <c r="C1921" s="1" t="str">
        <f>IFERROR(__xludf.DUMMYFUNCTION("GOOGLETRANSLATE(A1921,""en"",""pt-br"")"),"eficaz")</f>
        <v>eficaz</v>
      </c>
      <c r="D1921" s="1" t="str">
        <f>IFERROR(__xludf.DUMMYFUNCTION("GOOGLETRANSLATE(B1921,""en"",""pt-br"")"),"positivo")</f>
        <v>positivo</v>
      </c>
    </row>
    <row r="1922" ht="15.75" customHeight="1">
      <c r="A1922" s="2" t="s">
        <v>1924</v>
      </c>
      <c r="B1922" s="2" t="s">
        <v>14</v>
      </c>
      <c r="C1922" s="1" t="str">
        <f>IFERROR(__xludf.DUMMYFUNCTION("GOOGLETRANSLATE(A1922,""en"",""pt-br"")"),"eficazmente")</f>
        <v>eficazmente</v>
      </c>
      <c r="D1922" s="1" t="str">
        <f>IFERROR(__xludf.DUMMYFUNCTION("GOOGLETRANSLATE(B1922,""en"",""pt-br"")"),"positivo")</f>
        <v>positivo</v>
      </c>
    </row>
    <row r="1923" ht="15.75" customHeight="1">
      <c r="A1923" s="2" t="s">
        <v>1925</v>
      </c>
      <c r="B1923" s="2" t="s">
        <v>14</v>
      </c>
      <c r="C1923" s="1" t="str">
        <f>IFERROR(__xludf.DUMMYFUNCTION("GOOGLETRANSLATE(A1923,""en"",""pt-br"")"),"eficácia")</f>
        <v>eficácia</v>
      </c>
      <c r="D1923" s="1" t="str">
        <f>IFERROR(__xludf.DUMMYFUNCTION("GOOGLETRANSLATE(B1923,""en"",""pt-br"")"),"positivo")</f>
        <v>positivo</v>
      </c>
    </row>
    <row r="1924" ht="15.75" customHeight="1">
      <c r="A1924" s="2" t="s">
        <v>1926</v>
      </c>
      <c r="B1924" s="2" t="s">
        <v>14</v>
      </c>
      <c r="C1924" s="1" t="str">
        <f>IFERROR(__xludf.DUMMYFUNCTION("GOOGLETRANSLATE(A1924,""en"",""pt-br"")"),"eficaz")</f>
        <v>eficaz</v>
      </c>
      <c r="D1924" s="1" t="str">
        <f>IFERROR(__xludf.DUMMYFUNCTION("GOOGLETRANSLATE(B1924,""en"",""pt-br"")"),"positivo")</f>
        <v>positivo</v>
      </c>
    </row>
    <row r="1925" ht="15.75" customHeight="1">
      <c r="A1925" s="2" t="s">
        <v>1927</v>
      </c>
      <c r="B1925" s="2" t="s">
        <v>14</v>
      </c>
      <c r="C1925" s="1" t="str">
        <f>IFERROR(__xludf.DUMMYFUNCTION("GOOGLETRANSLATE(A1925,""en"",""pt-br"")"),"eficaz")</f>
        <v>eficaz</v>
      </c>
      <c r="D1925" s="1" t="str">
        <f>IFERROR(__xludf.DUMMYFUNCTION("GOOGLETRANSLATE(B1925,""en"",""pt-br"")"),"positivo")</f>
        <v>positivo</v>
      </c>
    </row>
    <row r="1926" ht="15.75" customHeight="1">
      <c r="A1926" s="2" t="s">
        <v>1928</v>
      </c>
      <c r="B1926" s="2" t="s">
        <v>14</v>
      </c>
      <c r="C1926" s="1" t="str">
        <f>IFERROR(__xludf.DUMMYFUNCTION("GOOGLETRANSLATE(A1926,""en"",""pt-br"")"),"eficiente")</f>
        <v>eficiente</v>
      </c>
      <c r="D1926" s="1" t="str">
        <f>IFERROR(__xludf.DUMMYFUNCTION("GOOGLETRANSLATE(B1926,""en"",""pt-br"")"),"positivo")</f>
        <v>positivo</v>
      </c>
    </row>
    <row r="1927" ht="15.75" customHeight="1">
      <c r="A1927" s="2" t="s">
        <v>1929</v>
      </c>
      <c r="B1927" s="2" t="s">
        <v>14</v>
      </c>
      <c r="C1927" s="1" t="str">
        <f>IFERROR(__xludf.DUMMYFUNCTION("GOOGLETRANSLATE(A1927,""en"",""pt-br"")"),"eficientemente")</f>
        <v>eficientemente</v>
      </c>
      <c r="D1927" s="1" t="str">
        <f>IFERROR(__xludf.DUMMYFUNCTION("GOOGLETRANSLATE(B1927,""en"",""pt-br"")"),"positivo")</f>
        <v>positivo</v>
      </c>
    </row>
    <row r="1928" ht="15.75" customHeight="1">
      <c r="A1928" s="2" t="s">
        <v>1930</v>
      </c>
      <c r="B1928" s="2" t="s">
        <v>3</v>
      </c>
      <c r="C1928" s="1" t="str">
        <f>IFERROR(__xludf.DUMMYFUNCTION("GOOGLETRANSLATE(A1928,""en"",""pt-br"")"),"efígie")</f>
        <v>efígie</v>
      </c>
      <c r="D1928" s="1" t="str">
        <f>IFERROR(__xludf.DUMMYFUNCTION("GOOGLETRANSLATE(B1928,""en"",""pt-br"")"),"negativo")</f>
        <v>negativo</v>
      </c>
    </row>
    <row r="1929" ht="15.75" customHeight="1">
      <c r="A1929" s="2" t="s">
        <v>1931</v>
      </c>
      <c r="B1929" s="2" t="s">
        <v>14</v>
      </c>
      <c r="C1929" s="1" t="str">
        <f>IFERROR(__xludf.DUMMYFUNCTION("GOOGLETRANSLATE(A1929,""en"",""pt-br"")"),"sem esforço")</f>
        <v>sem esforço</v>
      </c>
      <c r="D1929" s="1" t="str">
        <f>IFERROR(__xludf.DUMMYFUNCTION("GOOGLETRANSLATE(B1929,""en"",""pt-br"")"),"positivo")</f>
        <v>positivo</v>
      </c>
    </row>
    <row r="1930" ht="15.75" customHeight="1">
      <c r="A1930" s="2" t="s">
        <v>1932</v>
      </c>
      <c r="B1930" s="2" t="s">
        <v>14</v>
      </c>
      <c r="C1930" s="1" t="str">
        <f>IFERROR(__xludf.DUMMYFUNCTION("GOOGLETRANSLATE(A1930,""en"",""pt-br"")"),"sem esforço")</f>
        <v>sem esforço</v>
      </c>
      <c r="D1930" s="1" t="str">
        <f>IFERROR(__xludf.DUMMYFUNCTION("GOOGLETRANSLATE(B1930,""en"",""pt-br"")"),"positivo")</f>
        <v>positivo</v>
      </c>
    </row>
    <row r="1931" ht="15.75" customHeight="1">
      <c r="A1931" s="2" t="s">
        <v>1933</v>
      </c>
      <c r="B1931" s="2" t="s">
        <v>3</v>
      </c>
      <c r="C1931" s="1" t="str">
        <f>IFERROR(__xludf.DUMMYFUNCTION("GOOGLETRANSLATE(A1931,""en"",""pt-br"")"),"descaramento")</f>
        <v>descaramento</v>
      </c>
      <c r="D1931" s="1" t="str">
        <f>IFERROR(__xludf.DUMMYFUNCTION("GOOGLETRANSLATE(B1931,""en"",""pt-br"")"),"negativo")</f>
        <v>negativo</v>
      </c>
    </row>
    <row r="1932" ht="15.75" customHeight="1">
      <c r="A1932" s="2" t="s">
        <v>1934</v>
      </c>
      <c r="B1932" s="2" t="s">
        <v>14</v>
      </c>
      <c r="C1932" s="1" t="str">
        <f>IFERROR(__xludf.DUMMYFUNCTION("GOOGLETRANSLATE(A1932,""en"",""pt-br"")"),"efusão")</f>
        <v>efusão</v>
      </c>
      <c r="D1932" s="1" t="str">
        <f>IFERROR(__xludf.DUMMYFUNCTION("GOOGLETRANSLATE(B1932,""en"",""pt-br"")"),"positivo")</f>
        <v>positivo</v>
      </c>
    </row>
    <row r="1933" ht="15.75" customHeight="1">
      <c r="A1933" s="2" t="s">
        <v>1935</v>
      </c>
      <c r="B1933" s="2" t="s">
        <v>14</v>
      </c>
      <c r="C1933" s="1" t="str">
        <f>IFERROR(__xludf.DUMMYFUNCTION("GOOGLETRANSLATE(A1933,""en"",""pt-br"")"),"efusivo")</f>
        <v>efusivo</v>
      </c>
      <c r="D1933" s="1" t="str">
        <f>IFERROR(__xludf.DUMMYFUNCTION("GOOGLETRANSLATE(B1933,""en"",""pt-br"")"),"positivo")</f>
        <v>positivo</v>
      </c>
    </row>
    <row r="1934" ht="15.75" customHeight="1">
      <c r="A1934" s="2" t="s">
        <v>1936</v>
      </c>
      <c r="B1934" s="2" t="s">
        <v>14</v>
      </c>
      <c r="C1934" s="1" t="str">
        <f>IFERROR(__xludf.DUMMYFUNCTION("GOOGLETRANSLATE(A1934,""en"",""pt-br"")"),"efusivamente")</f>
        <v>efusivamente</v>
      </c>
      <c r="D1934" s="1" t="str">
        <f>IFERROR(__xludf.DUMMYFUNCTION("GOOGLETRANSLATE(B1934,""en"",""pt-br"")"),"positivo")</f>
        <v>positivo</v>
      </c>
    </row>
    <row r="1935" ht="15.75" customHeight="1">
      <c r="A1935" s="2" t="s">
        <v>1937</v>
      </c>
      <c r="B1935" s="2" t="s">
        <v>14</v>
      </c>
      <c r="C1935" s="1" t="str">
        <f>IFERROR(__xludf.DUMMYFUNCTION("GOOGLETRANSLATE(A1935,""en"",""pt-br"")"),"effusiveness")</f>
        <v>effusiveness</v>
      </c>
      <c r="D1935" s="1" t="str">
        <f>IFERROR(__xludf.DUMMYFUNCTION("GOOGLETRANSLATE(B1935,""en"",""pt-br"")"),"positivo")</f>
        <v>positivo</v>
      </c>
    </row>
    <row r="1936" ht="15.75" customHeight="1">
      <c r="A1936" s="2" t="s">
        <v>1938</v>
      </c>
      <c r="B1936" s="2" t="s">
        <v>3</v>
      </c>
      <c r="C1936" s="1" t="str">
        <f>IFERROR(__xludf.DUMMYFUNCTION("GOOGLETRANSLATE(A1936,""en"",""pt-br"")"),"egocêntrico")</f>
        <v>egocêntrico</v>
      </c>
      <c r="D1936" s="1" t="str">
        <f>IFERROR(__xludf.DUMMYFUNCTION("GOOGLETRANSLATE(B1936,""en"",""pt-br"")"),"negativo")</f>
        <v>negativo</v>
      </c>
    </row>
    <row r="1937" ht="15.75" customHeight="1">
      <c r="A1937" s="2" t="s">
        <v>1939</v>
      </c>
      <c r="B1937" s="2" t="s">
        <v>3</v>
      </c>
      <c r="C1937" s="1" t="str">
        <f>IFERROR(__xludf.DUMMYFUNCTION("GOOGLETRANSLATE(A1937,""en"",""pt-br"")"),"egomania")</f>
        <v>egomania</v>
      </c>
      <c r="D1937" s="1" t="str">
        <f>IFERROR(__xludf.DUMMYFUNCTION("GOOGLETRANSLATE(B1937,""en"",""pt-br"")"),"negativo")</f>
        <v>negativo</v>
      </c>
    </row>
    <row r="1938" ht="15.75" customHeight="1">
      <c r="A1938" s="2" t="s">
        <v>1940</v>
      </c>
      <c r="B1938" s="2" t="s">
        <v>3</v>
      </c>
      <c r="C1938" s="1" t="str">
        <f>IFERROR(__xludf.DUMMYFUNCTION("GOOGLETRANSLATE(A1938,""en"",""pt-br"")"),"egotismo")</f>
        <v>egotismo</v>
      </c>
      <c r="D1938" s="1" t="str">
        <f>IFERROR(__xludf.DUMMYFUNCTION("GOOGLETRANSLATE(B1938,""en"",""pt-br"")"),"negativo")</f>
        <v>negativo</v>
      </c>
    </row>
    <row r="1939" ht="15.75" customHeight="1">
      <c r="A1939" s="2" t="s">
        <v>1941</v>
      </c>
      <c r="B1939" s="2" t="s">
        <v>3</v>
      </c>
      <c r="C1939" s="1" t="str">
        <f>IFERROR(__xludf.DUMMYFUNCTION("GOOGLETRANSLATE(A1939,""en"",""pt-br"")"),"egoísta")</f>
        <v>egoísta</v>
      </c>
      <c r="D1939" s="1" t="str">
        <f>IFERROR(__xludf.DUMMYFUNCTION("GOOGLETRANSLATE(B1939,""en"",""pt-br"")"),"negativo")</f>
        <v>negativo</v>
      </c>
    </row>
    <row r="1940" ht="15.75" customHeight="1">
      <c r="A1940" s="2" t="s">
        <v>1942</v>
      </c>
      <c r="B1940" s="2" t="s">
        <v>3</v>
      </c>
      <c r="C1940" s="1" t="str">
        <f>IFERROR(__xludf.DUMMYFUNCTION("GOOGLETRANSLATE(A1940,""en"",""pt-br"")"),"egotisticamente")</f>
        <v>egotisticamente</v>
      </c>
      <c r="D1940" s="1" t="str">
        <f>IFERROR(__xludf.DUMMYFUNCTION("GOOGLETRANSLATE(B1940,""en"",""pt-br"")"),"negativo")</f>
        <v>negativo</v>
      </c>
    </row>
    <row r="1941" ht="15.75" customHeight="1">
      <c r="A1941" s="2" t="s">
        <v>1943</v>
      </c>
      <c r="B1941" s="2" t="s">
        <v>3</v>
      </c>
      <c r="C1941" s="1" t="str">
        <f>IFERROR(__xludf.DUMMYFUNCTION("GOOGLETRANSLATE(A1941,""en"",""pt-br"")"),"egrégio")</f>
        <v>egrégio</v>
      </c>
      <c r="D1941" s="1" t="str">
        <f>IFERROR(__xludf.DUMMYFUNCTION("GOOGLETRANSLATE(B1941,""en"",""pt-br"")"),"negativo")</f>
        <v>negativo</v>
      </c>
    </row>
    <row r="1942" ht="15.75" customHeight="1">
      <c r="A1942" s="2" t="s">
        <v>1944</v>
      </c>
      <c r="B1942" s="2" t="s">
        <v>3</v>
      </c>
      <c r="C1942" s="1" t="str">
        <f>IFERROR(__xludf.DUMMYFUNCTION("GOOGLETRANSLATE(A1942,""en"",""pt-br"")"),"egregiously")</f>
        <v>egregiously</v>
      </c>
      <c r="D1942" s="1" t="str">
        <f>IFERROR(__xludf.DUMMYFUNCTION("GOOGLETRANSLATE(B1942,""en"",""pt-br"")"),"negativo")</f>
        <v>negativo</v>
      </c>
    </row>
    <row r="1943" ht="15.75" customHeight="1">
      <c r="A1943" s="2" t="s">
        <v>1945</v>
      </c>
      <c r="B1943" s="2" t="s">
        <v>14</v>
      </c>
      <c r="C1943" s="1" t="str">
        <f>IFERROR(__xludf.DUMMYFUNCTION("GOOGLETRANSLATE(A1943,""en"",""pt-br"")"),"impulso")</f>
        <v>impulso</v>
      </c>
      <c r="D1943" s="1" t="str">
        <f>IFERROR(__xludf.DUMMYFUNCTION("GOOGLETRANSLATE(B1943,""en"",""pt-br"")"),"positivo")</f>
        <v>positivo</v>
      </c>
    </row>
    <row r="1944" ht="15.75" customHeight="1">
      <c r="A1944" s="2" t="s">
        <v>1946</v>
      </c>
      <c r="B1944" s="2" t="s">
        <v>14</v>
      </c>
      <c r="C1944" s="1" t="str">
        <f>IFERROR(__xludf.DUMMYFUNCTION("GOOGLETRANSLATE(A1944,""en"",""pt-br"")"),"Elate")</f>
        <v>Elate</v>
      </c>
      <c r="D1944" s="1" t="str">
        <f>IFERROR(__xludf.DUMMYFUNCTION("GOOGLETRANSLATE(B1944,""en"",""pt-br"")"),"positivo")</f>
        <v>positivo</v>
      </c>
    </row>
    <row r="1945" ht="15.75" customHeight="1">
      <c r="A1945" s="2" t="s">
        <v>1947</v>
      </c>
      <c r="B1945" s="2" t="s">
        <v>14</v>
      </c>
      <c r="C1945" s="1" t="str">
        <f>IFERROR(__xludf.DUMMYFUNCTION("GOOGLETRANSLATE(A1945,""en"",""pt-br"")"),"exaltado")</f>
        <v>exaltado</v>
      </c>
      <c r="D1945" s="1" t="str">
        <f>IFERROR(__xludf.DUMMYFUNCTION("GOOGLETRANSLATE(B1945,""en"",""pt-br"")"),"positivo")</f>
        <v>positivo</v>
      </c>
    </row>
    <row r="1946" ht="15.75" customHeight="1">
      <c r="A1946" s="2" t="s">
        <v>1948</v>
      </c>
      <c r="B1946" s="2" t="s">
        <v>14</v>
      </c>
      <c r="C1946" s="1" t="str">
        <f>IFERROR(__xludf.DUMMYFUNCTION("GOOGLETRANSLATE(A1946,""en"",""pt-br"")"),"elatedly")</f>
        <v>elatedly</v>
      </c>
      <c r="D1946" s="1" t="str">
        <f>IFERROR(__xludf.DUMMYFUNCTION("GOOGLETRANSLATE(B1946,""en"",""pt-br"")"),"positivo")</f>
        <v>positivo</v>
      </c>
    </row>
    <row r="1947" ht="15.75" customHeight="1">
      <c r="A1947" s="2" t="s">
        <v>1949</v>
      </c>
      <c r="B1947" s="2" t="s">
        <v>14</v>
      </c>
      <c r="C1947" s="1" t="str">
        <f>IFERROR(__xludf.DUMMYFUNCTION("GOOGLETRANSLATE(A1947,""en"",""pt-br"")"),"elação")</f>
        <v>elação</v>
      </c>
      <c r="D1947" s="1" t="str">
        <f>IFERROR(__xludf.DUMMYFUNCTION("GOOGLETRANSLATE(B1947,""en"",""pt-br"")"),"positivo")</f>
        <v>positivo</v>
      </c>
    </row>
    <row r="1948" ht="15.75" customHeight="1">
      <c r="A1948" s="2" t="s">
        <v>1950</v>
      </c>
      <c r="B1948" s="2" t="s">
        <v>3</v>
      </c>
      <c r="C1948" s="1" t="str">
        <f>IFERROR(__xludf.DUMMYFUNCTION("GOOGLETRANSLATE(A1948,""en"",""pt-br"")"),"eleição-rigger")</f>
        <v>eleição-rigger</v>
      </c>
      <c r="D1948" s="1" t="str">
        <f>IFERROR(__xludf.DUMMYFUNCTION("GOOGLETRANSLATE(B1948,""en"",""pt-br"")"),"negativo")</f>
        <v>negativo</v>
      </c>
    </row>
    <row r="1949" ht="15.75" customHeight="1">
      <c r="A1949" s="2" t="s">
        <v>1951</v>
      </c>
      <c r="B1949" s="2" t="s">
        <v>14</v>
      </c>
      <c r="C1949" s="1" t="str">
        <f>IFERROR(__xludf.DUMMYFUNCTION("GOOGLETRANSLATE(A1949,""en"",""pt-br"")"),"eletrificar")</f>
        <v>eletrificar</v>
      </c>
      <c r="D1949" s="1" t="str">
        <f>IFERROR(__xludf.DUMMYFUNCTION("GOOGLETRANSLATE(B1949,""en"",""pt-br"")"),"positivo")</f>
        <v>positivo</v>
      </c>
    </row>
    <row r="1950" ht="15.75" customHeight="1">
      <c r="A1950" s="2" t="s">
        <v>1952</v>
      </c>
      <c r="B1950" s="2" t="s">
        <v>14</v>
      </c>
      <c r="C1950" s="1" t="str">
        <f>IFERROR(__xludf.DUMMYFUNCTION("GOOGLETRANSLATE(A1950,""en"",""pt-br"")"),"elegância")</f>
        <v>elegância</v>
      </c>
      <c r="D1950" s="1" t="str">
        <f>IFERROR(__xludf.DUMMYFUNCTION("GOOGLETRANSLATE(B1950,""en"",""pt-br"")"),"positivo")</f>
        <v>positivo</v>
      </c>
    </row>
    <row r="1951" ht="15.75" customHeight="1">
      <c r="A1951" s="2" t="s">
        <v>1953</v>
      </c>
      <c r="B1951" s="2" t="s">
        <v>14</v>
      </c>
      <c r="C1951" s="1" t="str">
        <f>IFERROR(__xludf.DUMMYFUNCTION("GOOGLETRANSLATE(A1951,""en"",""pt-br"")"),"elegante")</f>
        <v>elegante</v>
      </c>
      <c r="D1951" s="1" t="str">
        <f>IFERROR(__xludf.DUMMYFUNCTION("GOOGLETRANSLATE(B1951,""en"",""pt-br"")"),"positivo")</f>
        <v>positivo</v>
      </c>
    </row>
    <row r="1952" ht="15.75" customHeight="1">
      <c r="A1952" s="2" t="s">
        <v>1954</v>
      </c>
      <c r="B1952" s="2" t="s">
        <v>14</v>
      </c>
      <c r="C1952" s="1" t="str">
        <f>IFERROR(__xludf.DUMMYFUNCTION("GOOGLETRANSLATE(A1952,""en"",""pt-br"")"),"elegantemente")</f>
        <v>elegantemente</v>
      </c>
      <c r="D1952" s="1" t="str">
        <f>IFERROR(__xludf.DUMMYFUNCTION("GOOGLETRANSLATE(B1952,""en"",""pt-br"")"),"positivo")</f>
        <v>positivo</v>
      </c>
    </row>
    <row r="1953" ht="15.75" customHeight="1">
      <c r="A1953" s="2" t="s">
        <v>1955</v>
      </c>
      <c r="B1953" s="2" t="s">
        <v>14</v>
      </c>
      <c r="C1953" s="1" t="str">
        <f>IFERROR(__xludf.DUMMYFUNCTION("GOOGLETRANSLATE(A1953,""en"",""pt-br"")"),"elevar")</f>
        <v>elevar</v>
      </c>
      <c r="D1953" s="1" t="str">
        <f>IFERROR(__xludf.DUMMYFUNCTION("GOOGLETRANSLATE(B1953,""en"",""pt-br"")"),"positivo")</f>
        <v>positivo</v>
      </c>
    </row>
    <row r="1954" ht="15.75" customHeight="1">
      <c r="A1954" s="2" t="s">
        <v>1956</v>
      </c>
      <c r="B1954" s="2" t="s">
        <v>3</v>
      </c>
      <c r="C1954" s="1" t="str">
        <f>IFERROR(__xludf.DUMMYFUNCTION("GOOGLETRANSLATE(A1954,""en"",""pt-br"")"),"eliminação")</f>
        <v>eliminação</v>
      </c>
      <c r="D1954" s="1" t="str">
        <f>IFERROR(__xludf.DUMMYFUNCTION("GOOGLETRANSLATE(B1954,""en"",""pt-br"")"),"negativo")</f>
        <v>negativo</v>
      </c>
    </row>
    <row r="1955" ht="15.75" customHeight="1">
      <c r="A1955" s="2" t="s">
        <v>1957</v>
      </c>
      <c r="B1955" s="2" t="s">
        <v>14</v>
      </c>
      <c r="C1955" s="1" t="str">
        <f>IFERROR(__xludf.DUMMYFUNCTION("GOOGLETRANSLATE(A1955,""en"",""pt-br"")"),"elite")</f>
        <v>elite</v>
      </c>
      <c r="D1955" s="1" t="str">
        <f>IFERROR(__xludf.DUMMYFUNCTION("GOOGLETRANSLATE(B1955,""en"",""pt-br"")"),"positivo")</f>
        <v>positivo</v>
      </c>
    </row>
    <row r="1956" ht="15.75" customHeight="1">
      <c r="A1956" s="2" t="s">
        <v>1958</v>
      </c>
      <c r="B1956" s="2" t="s">
        <v>14</v>
      </c>
      <c r="C1956" s="1" t="str">
        <f>IFERROR(__xludf.DUMMYFUNCTION("GOOGLETRANSLATE(A1956,""en"",""pt-br"")"),"eloquência")</f>
        <v>eloquência</v>
      </c>
      <c r="D1956" s="1" t="str">
        <f>IFERROR(__xludf.DUMMYFUNCTION("GOOGLETRANSLATE(B1956,""en"",""pt-br"")"),"positivo")</f>
        <v>positivo</v>
      </c>
    </row>
    <row r="1957" ht="15.75" customHeight="1">
      <c r="A1957" s="2" t="s">
        <v>1959</v>
      </c>
      <c r="B1957" s="2" t="s">
        <v>14</v>
      </c>
      <c r="C1957" s="1" t="str">
        <f>IFERROR(__xludf.DUMMYFUNCTION("GOOGLETRANSLATE(A1957,""en"",""pt-br"")"),"eloquente")</f>
        <v>eloquente</v>
      </c>
      <c r="D1957" s="1" t="str">
        <f>IFERROR(__xludf.DUMMYFUNCTION("GOOGLETRANSLATE(B1957,""en"",""pt-br"")"),"positivo")</f>
        <v>positivo</v>
      </c>
    </row>
    <row r="1958" ht="15.75" customHeight="1">
      <c r="A1958" s="2" t="s">
        <v>1960</v>
      </c>
      <c r="B1958" s="2" t="s">
        <v>14</v>
      </c>
      <c r="C1958" s="1" t="str">
        <f>IFERROR(__xludf.DUMMYFUNCTION("GOOGLETRANSLATE(A1958,""en"",""pt-br"")"),"eloqüentemente")</f>
        <v>eloqüentemente</v>
      </c>
      <c r="D1958" s="1" t="str">
        <f>IFERROR(__xludf.DUMMYFUNCTION("GOOGLETRANSLATE(B1958,""en"",""pt-br"")"),"positivo")</f>
        <v>positivo</v>
      </c>
    </row>
    <row r="1959" ht="15.75" customHeight="1">
      <c r="A1959" s="2" t="s">
        <v>1961</v>
      </c>
      <c r="B1959" s="2" t="s">
        <v>3</v>
      </c>
      <c r="C1959" s="1" t="str">
        <f>IFERROR(__xludf.DUMMYFUNCTION("GOOGLETRANSLATE(A1959,""en"",""pt-br"")"),"emaciado")</f>
        <v>emaciado</v>
      </c>
      <c r="D1959" s="1" t="str">
        <f>IFERROR(__xludf.DUMMYFUNCTION("GOOGLETRANSLATE(B1959,""en"",""pt-br"")"),"negativo")</f>
        <v>negativo</v>
      </c>
    </row>
    <row r="1960" ht="15.75" customHeight="1">
      <c r="A1960" s="2" t="s">
        <v>1962</v>
      </c>
      <c r="B1960" s="2" t="s">
        <v>3</v>
      </c>
      <c r="C1960" s="1" t="str">
        <f>IFERROR(__xludf.DUMMYFUNCTION("GOOGLETRANSLATE(A1960,""en"",""pt-br"")"),"castrar")</f>
        <v>castrar</v>
      </c>
      <c r="D1960" s="1" t="str">
        <f>IFERROR(__xludf.DUMMYFUNCTION("GOOGLETRANSLATE(B1960,""en"",""pt-br"")"),"negativo")</f>
        <v>negativo</v>
      </c>
    </row>
    <row r="1961" ht="15.75" customHeight="1">
      <c r="A1961" s="2" t="s">
        <v>1963</v>
      </c>
      <c r="B1961" s="2" t="s">
        <v>3</v>
      </c>
      <c r="C1961" s="1" t="str">
        <f>IFERROR(__xludf.DUMMYFUNCTION("GOOGLETRANSLATE(A1961,""en"",""pt-br"")"),"embaraçar")</f>
        <v>embaraçar</v>
      </c>
      <c r="D1961" s="1" t="str">
        <f>IFERROR(__xludf.DUMMYFUNCTION("GOOGLETRANSLATE(B1961,""en"",""pt-br"")"),"negativo")</f>
        <v>negativo</v>
      </c>
    </row>
    <row r="1962" ht="15.75" customHeight="1">
      <c r="A1962" s="2" t="s">
        <v>1964</v>
      </c>
      <c r="B1962" s="2" t="s">
        <v>3</v>
      </c>
      <c r="C1962" s="1" t="str">
        <f>IFERROR(__xludf.DUMMYFUNCTION("GOOGLETRANSLATE(A1962,""en"",""pt-br"")"),"embaraçoso")</f>
        <v>embaraçoso</v>
      </c>
      <c r="D1962" s="1" t="str">
        <f>IFERROR(__xludf.DUMMYFUNCTION("GOOGLETRANSLATE(B1962,""en"",""pt-br"")"),"negativo")</f>
        <v>negativo</v>
      </c>
    </row>
    <row r="1963" ht="15.75" customHeight="1">
      <c r="A1963" s="2" t="s">
        <v>1965</v>
      </c>
      <c r="B1963" s="2" t="s">
        <v>3</v>
      </c>
      <c r="C1963" s="1" t="str">
        <f>IFERROR(__xludf.DUMMYFUNCTION("GOOGLETRANSLATE(A1963,""en"",""pt-br"")"),"embaraçosamente")</f>
        <v>embaraçosamente</v>
      </c>
      <c r="D1963" s="1" t="str">
        <f>IFERROR(__xludf.DUMMYFUNCTION("GOOGLETRANSLATE(B1963,""en"",""pt-br"")"),"negativo")</f>
        <v>negativo</v>
      </c>
    </row>
    <row r="1964" ht="15.75" customHeight="1">
      <c r="A1964" s="2" t="s">
        <v>1966</v>
      </c>
      <c r="B1964" s="2" t="s">
        <v>3</v>
      </c>
      <c r="C1964" s="1" t="str">
        <f>IFERROR(__xludf.DUMMYFUNCTION("GOOGLETRANSLATE(A1964,""en"",""pt-br"")"),"embaraço")</f>
        <v>embaraço</v>
      </c>
      <c r="D1964" s="1" t="str">
        <f>IFERROR(__xludf.DUMMYFUNCTION("GOOGLETRANSLATE(B1964,""en"",""pt-br"")"),"negativo")</f>
        <v>negativo</v>
      </c>
    </row>
    <row r="1965" ht="15.75" customHeight="1">
      <c r="A1965" s="2" t="s">
        <v>1967</v>
      </c>
      <c r="B1965" s="2" t="s">
        <v>3</v>
      </c>
      <c r="C1965" s="1" t="str">
        <f>IFERROR(__xludf.DUMMYFUNCTION("GOOGLETRANSLATE(A1965,""en"",""pt-br"")"),"preparado para combate")</f>
        <v>preparado para combate</v>
      </c>
      <c r="D1965" s="1" t="str">
        <f>IFERROR(__xludf.DUMMYFUNCTION("GOOGLETRANSLATE(B1965,""en"",""pt-br"")"),"negativo")</f>
        <v>negativo</v>
      </c>
    </row>
    <row r="1966" ht="15.75" customHeight="1">
      <c r="A1966" s="2" t="s">
        <v>1968</v>
      </c>
      <c r="B1966" s="2" t="s">
        <v>14</v>
      </c>
      <c r="C1966" s="1" t="str">
        <f>IFERROR(__xludf.DUMMYFUNCTION("GOOGLETRANSLATE(A1966,""en"",""pt-br"")"),"embolden")</f>
        <v>embolden</v>
      </c>
      <c r="D1966" s="1" t="str">
        <f>IFERROR(__xludf.DUMMYFUNCTION("GOOGLETRANSLATE(B1966,""en"",""pt-br"")"),"positivo")</f>
        <v>positivo</v>
      </c>
    </row>
    <row r="1967" ht="15.75" customHeight="1">
      <c r="A1967" s="2" t="s">
        <v>1969</v>
      </c>
      <c r="B1967" s="2" t="s">
        <v>3</v>
      </c>
      <c r="C1967" s="1" t="str">
        <f>IFERROR(__xludf.DUMMYFUNCTION("GOOGLETRANSLATE(A1967,""en"",""pt-br"")"),"embroil")</f>
        <v>embroil</v>
      </c>
      <c r="D1967" s="1" t="str">
        <f>IFERROR(__xludf.DUMMYFUNCTION("GOOGLETRANSLATE(B1967,""en"",""pt-br"")"),"negativo")</f>
        <v>negativo</v>
      </c>
    </row>
    <row r="1968" ht="15.75" customHeight="1">
      <c r="A1968" s="2" t="s">
        <v>1970</v>
      </c>
      <c r="B1968" s="2" t="s">
        <v>3</v>
      </c>
      <c r="C1968" s="1" t="str">
        <f>IFERROR(__xludf.DUMMYFUNCTION("GOOGLETRANSLATE(A1968,""en"",""pt-br"")"),"enredado")</f>
        <v>enredado</v>
      </c>
      <c r="D1968" s="1" t="str">
        <f>IFERROR(__xludf.DUMMYFUNCTION("GOOGLETRANSLATE(B1968,""en"",""pt-br"")"),"negativo")</f>
        <v>negativo</v>
      </c>
    </row>
    <row r="1969" ht="15.75" customHeight="1">
      <c r="A1969" s="2" t="s">
        <v>1971</v>
      </c>
      <c r="B1969" s="2" t="s">
        <v>3</v>
      </c>
      <c r="C1969" s="1" t="str">
        <f>IFERROR(__xludf.DUMMYFUNCTION("GOOGLETRANSLATE(A1969,""en"",""pt-br"")"),"embrulhada")</f>
        <v>embrulhada</v>
      </c>
      <c r="D1969" s="1" t="str">
        <f>IFERROR(__xludf.DUMMYFUNCTION("GOOGLETRANSLATE(B1969,""en"",""pt-br"")"),"negativo")</f>
        <v>negativo</v>
      </c>
    </row>
    <row r="1970" ht="15.75" customHeight="1">
      <c r="A1970" s="2" t="s">
        <v>1972</v>
      </c>
      <c r="B1970" s="2" t="s">
        <v>3</v>
      </c>
      <c r="C1970" s="1" t="str">
        <f>IFERROR(__xludf.DUMMYFUNCTION("GOOGLETRANSLATE(A1970,""en"",""pt-br"")"),"emergência")</f>
        <v>emergência</v>
      </c>
      <c r="D1970" s="1" t="str">
        <f>IFERROR(__xludf.DUMMYFUNCTION("GOOGLETRANSLATE(B1970,""en"",""pt-br"")"),"negativo")</f>
        <v>negativo</v>
      </c>
    </row>
    <row r="1971" ht="15.75" customHeight="1">
      <c r="A1971" s="2" t="s">
        <v>1973</v>
      </c>
      <c r="B1971" s="2" t="s">
        <v>14</v>
      </c>
      <c r="C1971" s="1" t="str">
        <f>IFERROR(__xludf.DUMMYFUNCTION("GOOGLETRANSLATE(A1971,""en"",""pt-br"")"),"eminência")</f>
        <v>eminência</v>
      </c>
      <c r="D1971" s="1" t="str">
        <f>IFERROR(__xludf.DUMMYFUNCTION("GOOGLETRANSLATE(B1971,""en"",""pt-br"")"),"positivo")</f>
        <v>positivo</v>
      </c>
    </row>
    <row r="1972" ht="15.75" customHeight="1">
      <c r="A1972" s="2" t="s">
        <v>1974</v>
      </c>
      <c r="B1972" s="2" t="s">
        <v>14</v>
      </c>
      <c r="C1972" s="1" t="str">
        <f>IFERROR(__xludf.DUMMYFUNCTION("GOOGLETRANSLATE(A1972,""en"",""pt-br"")"),"eminente")</f>
        <v>eminente</v>
      </c>
      <c r="D1972" s="1" t="str">
        <f>IFERROR(__xludf.DUMMYFUNCTION("GOOGLETRANSLATE(B1972,""en"",""pt-br"")"),"positivo")</f>
        <v>positivo</v>
      </c>
    </row>
    <row r="1973" ht="15.75" customHeight="1">
      <c r="A1973" s="2" t="s">
        <v>1975</v>
      </c>
      <c r="B1973" s="2" t="s">
        <v>14</v>
      </c>
      <c r="C1973" s="1" t="str">
        <f>IFERROR(__xludf.DUMMYFUNCTION("GOOGLETRANSLATE(A1973,""en"",""pt-br"")"),"Simpatize")</f>
        <v>Simpatize</v>
      </c>
      <c r="D1973" s="1" t="str">
        <f>IFERROR(__xludf.DUMMYFUNCTION("GOOGLETRANSLATE(B1973,""en"",""pt-br"")"),"positivo")</f>
        <v>positivo</v>
      </c>
    </row>
    <row r="1974" ht="15.75" customHeight="1">
      <c r="A1974" s="2" t="s">
        <v>1976</v>
      </c>
      <c r="B1974" s="2" t="s">
        <v>14</v>
      </c>
      <c r="C1974" s="1" t="str">
        <f>IFERROR(__xludf.DUMMYFUNCTION("GOOGLETRANSLATE(A1974,""en"",""pt-br"")"),"empatia")</f>
        <v>empatia</v>
      </c>
      <c r="D1974" s="1" t="str">
        <f>IFERROR(__xludf.DUMMYFUNCTION("GOOGLETRANSLATE(B1974,""en"",""pt-br"")"),"positivo")</f>
        <v>positivo</v>
      </c>
    </row>
    <row r="1975" ht="15.75" customHeight="1">
      <c r="A1975" s="2" t="s">
        <v>1977</v>
      </c>
      <c r="B1975" s="2" t="s">
        <v>3</v>
      </c>
      <c r="C1975" s="1" t="str">
        <f>IFERROR(__xludf.DUMMYFUNCTION("GOOGLETRANSLATE(A1975,""en"",""pt-br"")"),"enfático")</f>
        <v>enfático</v>
      </c>
      <c r="D1975" s="1" t="str">
        <f>IFERROR(__xludf.DUMMYFUNCTION("GOOGLETRANSLATE(B1975,""en"",""pt-br"")"),"negativo")</f>
        <v>negativo</v>
      </c>
    </row>
    <row r="1976" ht="15.75" customHeight="1">
      <c r="A1976" s="2" t="s">
        <v>1978</v>
      </c>
      <c r="B1976" s="2" t="s">
        <v>3</v>
      </c>
      <c r="C1976" s="1" t="str">
        <f>IFERROR(__xludf.DUMMYFUNCTION("GOOGLETRANSLATE(A1976,""en"",""pt-br"")"),"enfaticamente")</f>
        <v>enfaticamente</v>
      </c>
      <c r="D1976" s="1" t="str">
        <f>IFERROR(__xludf.DUMMYFUNCTION("GOOGLETRANSLATE(B1976,""en"",""pt-br"")"),"negativo")</f>
        <v>negativo</v>
      </c>
    </row>
    <row r="1977" ht="15.75" customHeight="1">
      <c r="A1977" s="2" t="s">
        <v>1979</v>
      </c>
      <c r="B1977" s="2" t="s">
        <v>14</v>
      </c>
      <c r="C1977" s="1" t="str">
        <f>IFERROR(__xludf.DUMMYFUNCTION("GOOGLETRANSLATE(A1977,""en"",""pt-br"")"),"empoderamento")</f>
        <v>empoderamento</v>
      </c>
      <c r="D1977" s="1" t="str">
        <f>IFERROR(__xludf.DUMMYFUNCTION("GOOGLETRANSLATE(B1977,""en"",""pt-br"")"),"positivo")</f>
        <v>positivo</v>
      </c>
    </row>
    <row r="1978" ht="15.75" customHeight="1">
      <c r="A1978" s="2" t="s">
        <v>1980</v>
      </c>
      <c r="B1978" s="2" t="s">
        <v>14</v>
      </c>
      <c r="C1978" s="1" t="str">
        <f>IFERROR(__xludf.DUMMYFUNCTION("GOOGLETRANSLATE(A1978,""en"",""pt-br"")"),"fortalecimento")</f>
        <v>fortalecimento</v>
      </c>
      <c r="D1978" s="1" t="str">
        <f>IFERROR(__xludf.DUMMYFUNCTION("GOOGLETRANSLATE(B1978,""en"",""pt-br"")"),"positivo")</f>
        <v>positivo</v>
      </c>
    </row>
    <row r="1979" ht="15.75" customHeight="1">
      <c r="A1979" s="2" t="s">
        <v>1981</v>
      </c>
      <c r="B1979" s="2" t="s">
        <v>3</v>
      </c>
      <c r="C1979" s="1" t="str">
        <f>IFERROR(__xludf.DUMMYFUNCTION("GOOGLETRANSLATE(A1979,""en"",""pt-br"")"),"vazio")</f>
        <v>vazio</v>
      </c>
      <c r="D1979" s="1" t="str">
        <f>IFERROR(__xludf.DUMMYFUNCTION("GOOGLETRANSLATE(B1979,""en"",""pt-br"")"),"negativo")</f>
        <v>negativo</v>
      </c>
    </row>
    <row r="1980" ht="15.75" customHeight="1">
      <c r="A1980" s="2" t="s">
        <v>1982</v>
      </c>
      <c r="B1980" s="2" t="s">
        <v>14</v>
      </c>
      <c r="C1980" s="1" t="str">
        <f>IFERROR(__xludf.DUMMYFUNCTION("GOOGLETRANSLATE(A1980,""en"",""pt-br"")"),"encantar")</f>
        <v>encantar</v>
      </c>
      <c r="D1980" s="1" t="str">
        <f>IFERROR(__xludf.DUMMYFUNCTION("GOOGLETRANSLATE(B1980,""en"",""pt-br"")"),"positivo")</f>
        <v>positivo</v>
      </c>
    </row>
    <row r="1981" ht="15.75" customHeight="1">
      <c r="A1981" s="2" t="s">
        <v>1983</v>
      </c>
      <c r="B1981" s="2" t="s">
        <v>14</v>
      </c>
      <c r="C1981" s="1" t="str">
        <f>IFERROR(__xludf.DUMMYFUNCTION("GOOGLETRANSLATE(A1981,""en"",""pt-br"")"),"encantada")</f>
        <v>encantada</v>
      </c>
      <c r="D1981" s="1" t="str">
        <f>IFERROR(__xludf.DUMMYFUNCTION("GOOGLETRANSLATE(B1981,""en"",""pt-br"")"),"positivo")</f>
        <v>positivo</v>
      </c>
    </row>
    <row r="1982" ht="15.75" customHeight="1">
      <c r="A1982" s="2" t="s">
        <v>1984</v>
      </c>
      <c r="B1982" s="2" t="s">
        <v>14</v>
      </c>
      <c r="C1982" s="1" t="str">
        <f>IFERROR(__xludf.DUMMYFUNCTION("GOOGLETRANSLATE(A1982,""en"",""pt-br"")"),"encantador")</f>
        <v>encantador</v>
      </c>
      <c r="D1982" s="1" t="str">
        <f>IFERROR(__xludf.DUMMYFUNCTION("GOOGLETRANSLATE(B1982,""en"",""pt-br"")"),"positivo")</f>
        <v>positivo</v>
      </c>
    </row>
    <row r="1983" ht="15.75" customHeight="1">
      <c r="A1983" s="2" t="s">
        <v>1985</v>
      </c>
      <c r="B1983" s="2" t="s">
        <v>14</v>
      </c>
      <c r="C1983" s="1" t="str">
        <f>IFERROR(__xludf.DUMMYFUNCTION("GOOGLETRANSLATE(A1983,""en"",""pt-br"")"),"enchantingly")</f>
        <v>enchantingly</v>
      </c>
      <c r="D1983" s="1" t="str">
        <f>IFERROR(__xludf.DUMMYFUNCTION("GOOGLETRANSLATE(B1983,""en"",""pt-br"")"),"positivo")</f>
        <v>positivo</v>
      </c>
    </row>
    <row r="1984" ht="15.75" customHeight="1">
      <c r="A1984" s="2" t="s">
        <v>1986</v>
      </c>
      <c r="B1984" s="2" t="s">
        <v>14</v>
      </c>
      <c r="C1984" s="1" t="str">
        <f>IFERROR(__xludf.DUMMYFUNCTION("GOOGLETRANSLATE(A1984,""en"",""pt-br"")"),"encorajar")</f>
        <v>encorajar</v>
      </c>
      <c r="D1984" s="1" t="str">
        <f>IFERROR(__xludf.DUMMYFUNCTION("GOOGLETRANSLATE(B1984,""en"",""pt-br"")"),"positivo")</f>
        <v>positivo</v>
      </c>
    </row>
    <row r="1985" ht="15.75" customHeight="1">
      <c r="A1985" s="2" t="s">
        <v>1987</v>
      </c>
      <c r="B1985" s="2" t="s">
        <v>14</v>
      </c>
      <c r="C1985" s="1" t="str">
        <f>IFERROR(__xludf.DUMMYFUNCTION("GOOGLETRANSLATE(A1985,""en"",""pt-br"")"),"encorajamento")</f>
        <v>encorajamento</v>
      </c>
      <c r="D1985" s="1" t="str">
        <f>IFERROR(__xludf.DUMMYFUNCTION("GOOGLETRANSLATE(B1985,""en"",""pt-br"")"),"positivo")</f>
        <v>positivo</v>
      </c>
    </row>
    <row r="1986" ht="15.75" customHeight="1">
      <c r="A1986" s="2" t="s">
        <v>1988</v>
      </c>
      <c r="B1986" s="2" t="s">
        <v>14</v>
      </c>
      <c r="C1986" s="1" t="str">
        <f>IFERROR(__xludf.DUMMYFUNCTION("GOOGLETRANSLATE(A1986,""en"",""pt-br"")"),"encorajando")</f>
        <v>encorajando</v>
      </c>
      <c r="D1986" s="1" t="str">
        <f>IFERROR(__xludf.DUMMYFUNCTION("GOOGLETRANSLATE(B1986,""en"",""pt-br"")"),"positivo")</f>
        <v>positivo</v>
      </c>
    </row>
    <row r="1987" ht="15.75" customHeight="1">
      <c r="A1987" s="2" t="s">
        <v>1989</v>
      </c>
      <c r="B1987" s="2" t="s">
        <v>14</v>
      </c>
      <c r="C1987" s="1" t="str">
        <f>IFERROR(__xludf.DUMMYFUNCTION("GOOGLETRANSLATE(A1987,""en"",""pt-br"")"),"Encorajadoramente")</f>
        <v>Encorajadoramente</v>
      </c>
      <c r="D1987" s="1" t="str">
        <f>IFERROR(__xludf.DUMMYFUNCTION("GOOGLETRANSLATE(B1987,""en"",""pt-br"")"),"positivo")</f>
        <v>positivo</v>
      </c>
    </row>
    <row r="1988" ht="15.75" customHeight="1">
      <c r="A1988" s="2" t="s">
        <v>1990</v>
      </c>
      <c r="B1988" s="2" t="s">
        <v>3</v>
      </c>
      <c r="C1988" s="1" t="str">
        <f>IFERROR(__xludf.DUMMYFUNCTION("GOOGLETRANSLATE(A1988,""en"",""pt-br"")"),"encroach")</f>
        <v>encroach</v>
      </c>
      <c r="D1988" s="1" t="str">
        <f>IFERROR(__xludf.DUMMYFUNCTION("GOOGLETRANSLATE(B1988,""en"",""pt-br"")"),"negativo")</f>
        <v>negativo</v>
      </c>
    </row>
    <row r="1989" ht="15.75" customHeight="1">
      <c r="A1989" s="2" t="s">
        <v>1991</v>
      </c>
      <c r="B1989" s="2" t="s">
        <v>3</v>
      </c>
      <c r="C1989" s="1" t="str">
        <f>IFERROR(__xludf.DUMMYFUNCTION("GOOGLETRANSLATE(A1989,""en"",""pt-br"")"),"invasão")</f>
        <v>invasão</v>
      </c>
      <c r="D1989" s="1" t="str">
        <f>IFERROR(__xludf.DUMMYFUNCTION("GOOGLETRANSLATE(B1989,""en"",""pt-br"")"),"negativo")</f>
        <v>negativo</v>
      </c>
    </row>
    <row r="1990" ht="15.75" customHeight="1">
      <c r="A1990" s="2" t="s">
        <v>1992</v>
      </c>
      <c r="B1990" s="2" t="s">
        <v>3</v>
      </c>
      <c r="C1990" s="1" t="str">
        <f>IFERROR(__xludf.DUMMYFUNCTION("GOOGLETRANSLATE(A1990,""en"",""pt-br"")"),"pôr em perigo")</f>
        <v>pôr em perigo</v>
      </c>
      <c r="D1990" s="1" t="str">
        <f>IFERROR(__xludf.DUMMYFUNCTION("GOOGLETRANSLATE(B1990,""en"",""pt-br"")"),"negativo")</f>
        <v>negativo</v>
      </c>
    </row>
    <row r="1991" ht="15.75" customHeight="1">
      <c r="A1991" s="2" t="s">
        <v>1993</v>
      </c>
      <c r="B1991" s="2" t="s">
        <v>14</v>
      </c>
      <c r="C1991" s="1" t="str">
        <f>IFERROR(__xludf.DUMMYFUNCTION("GOOGLETRANSLATE(A1991,""en"",""pt-br"")"),"encarecer")</f>
        <v>encarecer</v>
      </c>
      <c r="D1991" s="1" t="str">
        <f>IFERROR(__xludf.DUMMYFUNCTION("GOOGLETRANSLATE(B1991,""en"",""pt-br"")"),"positivo")</f>
        <v>positivo</v>
      </c>
    </row>
    <row r="1992" ht="15.75" customHeight="1">
      <c r="A1992" s="2" t="s">
        <v>1994</v>
      </c>
      <c r="B1992" s="2" t="s">
        <v>14</v>
      </c>
      <c r="C1992" s="1" t="str">
        <f>IFERROR(__xludf.DUMMYFUNCTION("GOOGLETRANSLATE(A1992,""en"",""pt-br"")"),"cativante")</f>
        <v>cativante</v>
      </c>
      <c r="D1992" s="1" t="str">
        <f>IFERROR(__xludf.DUMMYFUNCTION("GOOGLETRANSLATE(B1992,""en"",""pt-br"")"),"positivo")</f>
        <v>positivo</v>
      </c>
    </row>
    <row r="1993" ht="15.75" customHeight="1">
      <c r="A1993" s="2" t="s">
        <v>1995</v>
      </c>
      <c r="B1993" s="2" t="s">
        <v>14</v>
      </c>
      <c r="C1993" s="1" t="str">
        <f>IFERROR(__xludf.DUMMYFUNCTION("GOOGLETRANSLATE(A1993,""en"",""pt-br"")"),"endossar")</f>
        <v>endossar</v>
      </c>
      <c r="D1993" s="1" t="str">
        <f>IFERROR(__xludf.DUMMYFUNCTION("GOOGLETRANSLATE(B1993,""en"",""pt-br"")"),"positivo")</f>
        <v>positivo</v>
      </c>
    </row>
    <row r="1994" ht="15.75" customHeight="1">
      <c r="A1994" s="2" t="s">
        <v>1996</v>
      </c>
      <c r="B1994" s="2" t="s">
        <v>14</v>
      </c>
      <c r="C1994" s="1" t="str">
        <f>IFERROR(__xludf.DUMMYFUNCTION("GOOGLETRANSLATE(A1994,""en"",""pt-br"")"),"endossado")</f>
        <v>endossado</v>
      </c>
      <c r="D1994" s="1" t="str">
        <f>IFERROR(__xludf.DUMMYFUNCTION("GOOGLETRANSLATE(B1994,""en"",""pt-br"")"),"positivo")</f>
        <v>positivo</v>
      </c>
    </row>
    <row r="1995" ht="15.75" customHeight="1">
      <c r="A1995" s="2" t="s">
        <v>1997</v>
      </c>
      <c r="B1995" s="2" t="s">
        <v>14</v>
      </c>
      <c r="C1995" s="1" t="str">
        <f>IFERROR(__xludf.DUMMYFUNCTION("GOOGLETRANSLATE(A1995,""en"",""pt-br"")"),"endosso")</f>
        <v>endosso</v>
      </c>
      <c r="D1995" s="1" t="str">
        <f>IFERROR(__xludf.DUMMYFUNCTION("GOOGLETRANSLATE(B1995,""en"",""pt-br"")"),"positivo")</f>
        <v>positivo</v>
      </c>
    </row>
    <row r="1996" ht="15.75" customHeight="1">
      <c r="A1996" s="2" t="s">
        <v>1998</v>
      </c>
      <c r="B1996" s="2" t="s">
        <v>14</v>
      </c>
      <c r="C1996" s="1" t="str">
        <f>IFERROR(__xludf.DUMMYFUNCTION("GOOGLETRANSLATE(A1996,""en"",""pt-br"")"),"Subscreve")</f>
        <v>Subscreve</v>
      </c>
      <c r="D1996" s="1" t="str">
        <f>IFERROR(__xludf.DUMMYFUNCTION("GOOGLETRANSLATE(B1996,""en"",""pt-br"")"),"positivo")</f>
        <v>positivo</v>
      </c>
    </row>
    <row r="1997" ht="15.75" customHeight="1">
      <c r="A1997" s="2" t="s">
        <v>1999</v>
      </c>
      <c r="B1997" s="2" t="s">
        <v>14</v>
      </c>
      <c r="C1997" s="1" t="str">
        <f>IFERROR(__xludf.DUMMYFUNCTION("GOOGLETRANSLATE(A1997,""en"",""pt-br"")"),"endossando")</f>
        <v>endossando</v>
      </c>
      <c r="D1997" s="1" t="str">
        <f>IFERROR(__xludf.DUMMYFUNCTION("GOOGLETRANSLATE(B1997,""en"",""pt-br"")"),"positivo")</f>
        <v>positivo</v>
      </c>
    </row>
    <row r="1998" ht="15.75" customHeight="1">
      <c r="A1998" s="2" t="s">
        <v>2000</v>
      </c>
      <c r="B1998" s="2" t="s">
        <v>3</v>
      </c>
      <c r="C1998" s="1" t="str">
        <f>IFERROR(__xludf.DUMMYFUNCTION("GOOGLETRANSLATE(A1998,""en"",""pt-br"")"),"inimigos")</f>
        <v>inimigos</v>
      </c>
      <c r="D1998" s="1" t="str">
        <f>IFERROR(__xludf.DUMMYFUNCTION("GOOGLETRANSLATE(B1998,""en"",""pt-br"")"),"negativo")</f>
        <v>negativo</v>
      </c>
    </row>
    <row r="1999" ht="15.75" customHeight="1">
      <c r="A1999" s="2" t="s">
        <v>2001</v>
      </c>
      <c r="B1999" s="2" t="s">
        <v>3</v>
      </c>
      <c r="C1999" s="1" t="str">
        <f>IFERROR(__xludf.DUMMYFUNCTION("GOOGLETRANSLATE(A1999,""en"",""pt-br"")"),"inimigo")</f>
        <v>inimigo</v>
      </c>
      <c r="D1999" s="1" t="str">
        <f>IFERROR(__xludf.DUMMYFUNCTION("GOOGLETRANSLATE(B1999,""en"",""pt-br"")"),"negativo")</f>
        <v>negativo</v>
      </c>
    </row>
    <row r="2000" ht="15.75" customHeight="1">
      <c r="A2000" s="2" t="s">
        <v>2002</v>
      </c>
      <c r="B2000" s="2" t="s">
        <v>14</v>
      </c>
      <c r="C2000" s="1" t="str">
        <f>IFERROR(__xludf.DUMMYFUNCTION("GOOGLETRANSLATE(A2000,""en"",""pt-br"")"),"enérgico")</f>
        <v>enérgico</v>
      </c>
      <c r="D2000" s="1" t="str">
        <f>IFERROR(__xludf.DUMMYFUNCTION("GOOGLETRANSLATE(B2000,""en"",""pt-br"")"),"positivo")</f>
        <v>positivo</v>
      </c>
    </row>
    <row r="2001" ht="15.75" customHeight="1">
      <c r="A2001" s="2" t="s">
        <v>2003</v>
      </c>
      <c r="B2001" s="2" t="s">
        <v>14</v>
      </c>
      <c r="C2001" s="1" t="str">
        <f>IFERROR(__xludf.DUMMYFUNCTION("GOOGLETRANSLATE(A2001,""en"",""pt-br"")"),"energizar")</f>
        <v>energizar</v>
      </c>
      <c r="D2001" s="1" t="str">
        <f>IFERROR(__xludf.DUMMYFUNCTION("GOOGLETRANSLATE(B2001,""en"",""pt-br"")"),"positivo")</f>
        <v>positivo</v>
      </c>
    </row>
    <row r="2002" ht="15.75" customHeight="1">
      <c r="A2002" s="2" t="s">
        <v>2004</v>
      </c>
      <c r="B2002" s="2" t="s">
        <v>14</v>
      </c>
      <c r="C2002" s="1" t="str">
        <f>IFERROR(__xludf.DUMMYFUNCTION("GOOGLETRANSLATE(A2002,""en"",""pt-br"")"),"energia eficiente")</f>
        <v>energia eficiente</v>
      </c>
      <c r="D2002" s="1" t="str">
        <f>IFERROR(__xludf.DUMMYFUNCTION("GOOGLETRANSLATE(B2002,""en"",""pt-br"")"),"positivo")</f>
        <v>positivo</v>
      </c>
    </row>
    <row r="2003" ht="15.75" customHeight="1">
      <c r="A2003" s="2" t="s">
        <v>2005</v>
      </c>
      <c r="B2003" s="2" t="s">
        <v>14</v>
      </c>
      <c r="C2003" s="1" t="str">
        <f>IFERROR(__xludf.DUMMYFUNCTION("GOOGLETRANSLATE(A2003,""en"",""pt-br"")"),"economia de energia")</f>
        <v>economia de energia</v>
      </c>
      <c r="D2003" s="1" t="str">
        <f>IFERROR(__xludf.DUMMYFUNCTION("GOOGLETRANSLATE(B2003,""en"",""pt-br"")"),"positivo")</f>
        <v>positivo</v>
      </c>
    </row>
    <row r="2004" ht="15.75" customHeight="1">
      <c r="A2004" s="2" t="s">
        <v>2006</v>
      </c>
      <c r="B2004" s="2" t="s">
        <v>3</v>
      </c>
      <c r="C2004" s="1" t="str">
        <f>IFERROR(__xludf.DUMMYFUNCTION("GOOGLETRANSLATE(A2004,""en"",""pt-br"")"),"enervar")</f>
        <v>enervar</v>
      </c>
      <c r="D2004" s="1" t="str">
        <f>IFERROR(__xludf.DUMMYFUNCTION("GOOGLETRANSLATE(B2004,""en"",""pt-br"")"),"negativo")</f>
        <v>negativo</v>
      </c>
    </row>
    <row r="2005" ht="15.75" customHeight="1">
      <c r="A2005" s="2" t="s">
        <v>2007</v>
      </c>
      <c r="B2005" s="2" t="s">
        <v>3</v>
      </c>
      <c r="C2005" s="1" t="str">
        <f>IFERROR(__xludf.DUMMYFUNCTION("GOOGLETRANSLATE(A2005,""en"",""pt-br"")"),"Enfeeble")</f>
        <v>Enfeeble</v>
      </c>
      <c r="D2005" s="1" t="str">
        <f>IFERROR(__xludf.DUMMYFUNCTION("GOOGLETRANSLATE(B2005,""en"",""pt-br"")"),"negativo")</f>
        <v>negativo</v>
      </c>
    </row>
    <row r="2006" ht="15.75" customHeight="1">
      <c r="A2006" s="2" t="s">
        <v>2008</v>
      </c>
      <c r="B2006" s="2" t="s">
        <v>3</v>
      </c>
      <c r="C2006" s="1" t="str">
        <f>IFERROR(__xludf.DUMMYFUNCTION("GOOGLETRANSLATE(A2006,""en"",""pt-br"")"),"enflame")</f>
        <v>enflame</v>
      </c>
      <c r="D2006" s="1" t="str">
        <f>IFERROR(__xludf.DUMMYFUNCTION("GOOGLETRANSLATE(B2006,""en"",""pt-br"")"),"negativo")</f>
        <v>negativo</v>
      </c>
    </row>
    <row r="2007" ht="15.75" customHeight="1">
      <c r="A2007" s="2" t="s">
        <v>2009</v>
      </c>
      <c r="B2007" s="2" t="s">
        <v>14</v>
      </c>
      <c r="C2007" s="1" t="str">
        <f>IFERROR(__xludf.DUMMYFUNCTION("GOOGLETRANSLATE(A2007,""en"",""pt-br"")"),"noivando")</f>
        <v>noivando</v>
      </c>
      <c r="D2007" s="1" t="str">
        <f>IFERROR(__xludf.DUMMYFUNCTION("GOOGLETRANSLATE(B2007,""en"",""pt-br"")"),"positivo")</f>
        <v>positivo</v>
      </c>
    </row>
    <row r="2008" ht="15.75" customHeight="1">
      <c r="A2008" s="2" t="s">
        <v>2010</v>
      </c>
      <c r="B2008" s="2" t="s">
        <v>14</v>
      </c>
      <c r="C2008" s="1" t="str">
        <f>IFERROR(__xludf.DUMMYFUNCTION("GOOGLETRANSLATE(A2008,""en"",""pt-br"")"),"cativante")</f>
        <v>cativante</v>
      </c>
      <c r="D2008" s="1" t="str">
        <f>IFERROR(__xludf.DUMMYFUNCTION("GOOGLETRANSLATE(B2008,""en"",""pt-br"")"),"positivo")</f>
        <v>positivo</v>
      </c>
    </row>
    <row r="2009" ht="15.75" customHeight="1">
      <c r="A2009" s="2" t="s">
        <v>2011</v>
      </c>
      <c r="B2009" s="2" t="s">
        <v>3</v>
      </c>
      <c r="C2009" s="1" t="str">
        <f>IFERROR(__xludf.DUMMYFUNCTION("GOOGLETRANSLATE(A2009,""en"",""pt-br"")"),"engulf")</f>
        <v>engulf</v>
      </c>
      <c r="D2009" s="1" t="str">
        <f>IFERROR(__xludf.DUMMYFUNCTION("GOOGLETRANSLATE(B2009,""en"",""pt-br"")"),"negativo")</f>
        <v>negativo</v>
      </c>
    </row>
    <row r="2010" ht="15.75" customHeight="1">
      <c r="A2010" s="2" t="s">
        <v>2012</v>
      </c>
      <c r="B2010" s="2" t="s">
        <v>14</v>
      </c>
      <c r="C2010" s="1" t="str">
        <f>IFERROR(__xludf.DUMMYFUNCTION("GOOGLETRANSLATE(A2010,""en"",""pt-br"")"),"realçar")</f>
        <v>realçar</v>
      </c>
      <c r="D2010" s="1" t="str">
        <f>IFERROR(__xludf.DUMMYFUNCTION("GOOGLETRANSLATE(B2010,""en"",""pt-br"")"),"positivo")</f>
        <v>positivo</v>
      </c>
    </row>
    <row r="2011" ht="15.75" customHeight="1">
      <c r="A2011" s="2" t="s">
        <v>2013</v>
      </c>
      <c r="B2011" s="2" t="s">
        <v>14</v>
      </c>
      <c r="C2011" s="1" t="str">
        <f>IFERROR(__xludf.DUMMYFUNCTION("GOOGLETRANSLATE(A2011,""en"",""pt-br"")"),"melhorada")</f>
        <v>melhorada</v>
      </c>
      <c r="D2011" s="1" t="str">
        <f>IFERROR(__xludf.DUMMYFUNCTION("GOOGLETRANSLATE(B2011,""en"",""pt-br"")"),"positivo")</f>
        <v>positivo</v>
      </c>
    </row>
    <row r="2012" ht="15.75" customHeight="1">
      <c r="A2012" s="2" t="s">
        <v>2014</v>
      </c>
      <c r="B2012" s="2" t="s">
        <v>14</v>
      </c>
      <c r="C2012" s="1" t="str">
        <f>IFERROR(__xludf.DUMMYFUNCTION("GOOGLETRANSLATE(A2012,""en"",""pt-br"")"),"Aprimoramento")</f>
        <v>Aprimoramento</v>
      </c>
      <c r="D2012" s="1" t="str">
        <f>IFERROR(__xludf.DUMMYFUNCTION("GOOGLETRANSLATE(B2012,""en"",""pt-br"")"),"positivo")</f>
        <v>positivo</v>
      </c>
    </row>
    <row r="2013" ht="15.75" customHeight="1">
      <c r="A2013" s="2" t="s">
        <v>2015</v>
      </c>
      <c r="B2013" s="2" t="s">
        <v>14</v>
      </c>
      <c r="C2013" s="1" t="str">
        <f>IFERROR(__xludf.DUMMYFUNCTION("GOOGLETRANSLATE(A2013,""en"",""pt-br"")"),"Melhora")</f>
        <v>Melhora</v>
      </c>
      <c r="D2013" s="1" t="str">
        <f>IFERROR(__xludf.DUMMYFUNCTION("GOOGLETRANSLATE(B2013,""en"",""pt-br"")"),"positivo")</f>
        <v>positivo</v>
      </c>
    </row>
    <row r="2014" ht="15.75" customHeight="1">
      <c r="A2014" s="2" t="s">
        <v>2016</v>
      </c>
      <c r="B2014" s="2" t="s">
        <v>3</v>
      </c>
      <c r="C2014" s="1" t="str">
        <f>IFERROR(__xludf.DUMMYFUNCTION("GOOGLETRANSLATE(A2014,""en"",""pt-br"")"),"enjoin")</f>
        <v>enjoin</v>
      </c>
      <c r="D2014" s="1" t="str">
        <f>IFERROR(__xludf.DUMMYFUNCTION("GOOGLETRANSLATE(B2014,""en"",""pt-br"")"),"negativo")</f>
        <v>negativo</v>
      </c>
    </row>
    <row r="2015" ht="15.75" customHeight="1">
      <c r="A2015" s="2" t="s">
        <v>2017</v>
      </c>
      <c r="B2015" s="2" t="s">
        <v>14</v>
      </c>
      <c r="C2015" s="1" t="str">
        <f>IFERROR(__xludf.DUMMYFUNCTION("GOOGLETRANSLATE(A2015,""en"",""pt-br"")"),"desfrutar")</f>
        <v>desfrutar</v>
      </c>
      <c r="D2015" s="1" t="str">
        <f>IFERROR(__xludf.DUMMYFUNCTION("GOOGLETRANSLATE(B2015,""en"",""pt-br"")"),"positivo")</f>
        <v>positivo</v>
      </c>
    </row>
    <row r="2016" ht="15.75" customHeight="1">
      <c r="A2016" s="2" t="s">
        <v>2018</v>
      </c>
      <c r="B2016" s="2" t="s">
        <v>14</v>
      </c>
      <c r="C2016" s="1" t="str">
        <f>IFERROR(__xludf.DUMMYFUNCTION("GOOGLETRANSLATE(A2016,""en"",""pt-br"")"),"agradável")</f>
        <v>agradável</v>
      </c>
      <c r="D2016" s="1" t="str">
        <f>IFERROR(__xludf.DUMMYFUNCTION("GOOGLETRANSLATE(B2016,""en"",""pt-br"")"),"positivo")</f>
        <v>positivo</v>
      </c>
    </row>
    <row r="2017" ht="15.75" customHeight="1">
      <c r="A2017" s="2" t="s">
        <v>2019</v>
      </c>
      <c r="B2017" s="2" t="s">
        <v>14</v>
      </c>
      <c r="C2017" s="1" t="str">
        <f>IFERROR(__xludf.DUMMYFUNCTION("GOOGLETRANSLATE(A2017,""en"",""pt-br"")"),"enjoyably")</f>
        <v>enjoyably</v>
      </c>
      <c r="D2017" s="1" t="str">
        <f>IFERROR(__xludf.DUMMYFUNCTION("GOOGLETRANSLATE(B2017,""en"",""pt-br"")"),"positivo")</f>
        <v>positivo</v>
      </c>
    </row>
    <row r="2018" ht="15.75" customHeight="1">
      <c r="A2018" s="2" t="s">
        <v>2020</v>
      </c>
      <c r="B2018" s="2" t="s">
        <v>14</v>
      </c>
      <c r="C2018" s="1" t="str">
        <f>IFERROR(__xludf.DUMMYFUNCTION("GOOGLETRANSLATE(A2018,""en"",""pt-br"")"),"desfrutado")</f>
        <v>desfrutado</v>
      </c>
      <c r="D2018" s="1" t="str">
        <f>IFERROR(__xludf.DUMMYFUNCTION("GOOGLETRANSLATE(B2018,""en"",""pt-br"")"),"positivo")</f>
        <v>positivo</v>
      </c>
    </row>
    <row r="2019" ht="15.75" customHeight="1">
      <c r="A2019" s="2" t="s">
        <v>2021</v>
      </c>
      <c r="B2019" s="2" t="s">
        <v>14</v>
      </c>
      <c r="C2019" s="1" t="str">
        <f>IFERROR(__xludf.DUMMYFUNCTION("GOOGLETRANSLATE(A2019,""en"",""pt-br"")"),"desfrutando")</f>
        <v>desfrutando</v>
      </c>
      <c r="D2019" s="1" t="str">
        <f>IFERROR(__xludf.DUMMYFUNCTION("GOOGLETRANSLATE(B2019,""en"",""pt-br"")"),"positivo")</f>
        <v>positivo</v>
      </c>
    </row>
    <row r="2020" ht="15.75" customHeight="1">
      <c r="A2020" s="2" t="s">
        <v>2022</v>
      </c>
      <c r="B2020" s="2" t="s">
        <v>14</v>
      </c>
      <c r="C2020" s="1" t="str">
        <f>IFERROR(__xludf.DUMMYFUNCTION("GOOGLETRANSLATE(A2020,""en"",""pt-br"")"),"prazer")</f>
        <v>prazer</v>
      </c>
      <c r="D2020" s="1" t="str">
        <f>IFERROR(__xludf.DUMMYFUNCTION("GOOGLETRANSLATE(B2020,""en"",""pt-br"")"),"positivo")</f>
        <v>positivo</v>
      </c>
    </row>
    <row r="2021" ht="15.75" customHeight="1">
      <c r="A2021" s="2" t="s">
        <v>2023</v>
      </c>
      <c r="B2021" s="2" t="s">
        <v>14</v>
      </c>
      <c r="C2021" s="1" t="str">
        <f>IFERROR(__xludf.DUMMYFUNCTION("GOOGLETRANSLATE(A2021,""en"",""pt-br"")"),"goza")</f>
        <v>goza</v>
      </c>
      <c r="D2021" s="1" t="str">
        <f>IFERROR(__xludf.DUMMYFUNCTION("GOOGLETRANSLATE(B2021,""en"",""pt-br"")"),"positivo")</f>
        <v>positivo</v>
      </c>
    </row>
    <row r="2022" ht="15.75" customHeight="1">
      <c r="A2022" s="2" t="s">
        <v>2024</v>
      </c>
      <c r="B2022" s="2" t="s">
        <v>14</v>
      </c>
      <c r="C2022" s="1" t="str">
        <f>IFERROR(__xludf.DUMMYFUNCTION("GOOGLETRANSLATE(A2022,""en"",""pt-br"")"),"iluminar")</f>
        <v>iluminar</v>
      </c>
      <c r="D2022" s="1" t="str">
        <f>IFERROR(__xludf.DUMMYFUNCTION("GOOGLETRANSLATE(B2022,""en"",""pt-br"")"),"positivo")</f>
        <v>positivo</v>
      </c>
    </row>
    <row r="2023" ht="15.75" customHeight="1">
      <c r="A2023" s="2" t="s">
        <v>2025</v>
      </c>
      <c r="B2023" s="2" t="s">
        <v>14</v>
      </c>
      <c r="C2023" s="1" t="str">
        <f>IFERROR(__xludf.DUMMYFUNCTION("GOOGLETRANSLATE(A2023,""en"",""pt-br"")"),"iluminação")</f>
        <v>iluminação</v>
      </c>
      <c r="D2023" s="1" t="str">
        <f>IFERROR(__xludf.DUMMYFUNCTION("GOOGLETRANSLATE(B2023,""en"",""pt-br"")"),"positivo")</f>
        <v>positivo</v>
      </c>
    </row>
    <row r="2024" ht="15.75" customHeight="1">
      <c r="A2024" s="2" t="s">
        <v>2026</v>
      </c>
      <c r="B2024" s="2" t="s">
        <v>14</v>
      </c>
      <c r="C2024" s="1" t="str">
        <f>IFERROR(__xludf.DUMMYFUNCTION("GOOGLETRANSLATE(A2024,""en"",""pt-br"")"),"animar")</f>
        <v>animar</v>
      </c>
      <c r="D2024" s="1" t="str">
        <f>IFERROR(__xludf.DUMMYFUNCTION("GOOGLETRANSLATE(B2024,""en"",""pt-br"")"),"positivo")</f>
        <v>positivo</v>
      </c>
    </row>
    <row r="2025" ht="15.75" customHeight="1">
      <c r="A2025" s="2" t="s">
        <v>2027</v>
      </c>
      <c r="B2025" s="2" t="s">
        <v>3</v>
      </c>
      <c r="C2025" s="1" t="str">
        <f>IFERROR(__xludf.DUMMYFUNCTION("GOOGLETRANSLATE(A2025,""en"",""pt-br"")"),"inimizade")</f>
        <v>inimizade</v>
      </c>
      <c r="D2025" s="1" t="str">
        <f>IFERROR(__xludf.DUMMYFUNCTION("GOOGLETRANSLATE(B2025,""en"",""pt-br"")"),"negativo")</f>
        <v>negativo</v>
      </c>
    </row>
    <row r="2026" ht="15.75" customHeight="1">
      <c r="A2026" s="2" t="s">
        <v>2028</v>
      </c>
      <c r="B2026" s="2" t="s">
        <v>14</v>
      </c>
      <c r="C2026" s="1" t="str">
        <f>IFERROR(__xludf.DUMMYFUNCTION("GOOGLETRANSLATE(A2026,""en"",""pt-br"")"),"enobrecer")</f>
        <v>enobrecer</v>
      </c>
      <c r="D2026" s="1" t="str">
        <f>IFERROR(__xludf.DUMMYFUNCTION("GOOGLETRANSLATE(B2026,""en"",""pt-br"")"),"positivo")</f>
        <v>positivo</v>
      </c>
    </row>
    <row r="2027" ht="15.75" customHeight="1">
      <c r="A2027" s="2" t="s">
        <v>2029</v>
      </c>
      <c r="B2027" s="2" t="s">
        <v>14</v>
      </c>
      <c r="C2027" s="1" t="str">
        <f>IFERROR(__xludf.DUMMYFUNCTION("GOOGLETRANSLATE(A2027,""en"",""pt-br"")"),"o suficiente")</f>
        <v>o suficiente</v>
      </c>
      <c r="D2027" s="1" t="str">
        <f>IFERROR(__xludf.DUMMYFUNCTION("GOOGLETRANSLATE(B2027,""en"",""pt-br"")"),"positivo")</f>
        <v>positivo</v>
      </c>
    </row>
    <row r="2028" ht="15.75" customHeight="1">
      <c r="A2028" s="2" t="s">
        <v>2030</v>
      </c>
      <c r="B2028" s="2" t="s">
        <v>3</v>
      </c>
      <c r="C2028" s="1" t="str">
        <f>IFERROR(__xludf.DUMMYFUNCTION("GOOGLETRANSLATE(A2028,""en"",""pt-br"")"),"enrage")</f>
        <v>enrage</v>
      </c>
      <c r="D2028" s="1" t="str">
        <f>IFERROR(__xludf.DUMMYFUNCTION("GOOGLETRANSLATE(B2028,""en"",""pt-br"")"),"negativo")</f>
        <v>negativo</v>
      </c>
    </row>
    <row r="2029" ht="15.75" customHeight="1">
      <c r="A2029" s="2" t="s">
        <v>2031</v>
      </c>
      <c r="B2029" s="2" t="s">
        <v>3</v>
      </c>
      <c r="C2029" s="1" t="str">
        <f>IFERROR(__xludf.DUMMYFUNCTION("GOOGLETRANSLATE(A2029,""en"",""pt-br"")"),"enfurecido")</f>
        <v>enfurecido</v>
      </c>
      <c r="D2029" s="1" t="str">
        <f>IFERROR(__xludf.DUMMYFUNCTION("GOOGLETRANSLATE(B2029,""en"",""pt-br"")"),"negativo")</f>
        <v>negativo</v>
      </c>
    </row>
    <row r="2030" ht="15.75" customHeight="1">
      <c r="A2030" s="2" t="s">
        <v>2032</v>
      </c>
      <c r="B2030" s="2" t="s">
        <v>3</v>
      </c>
      <c r="C2030" s="1" t="str">
        <f>IFERROR(__xludf.DUMMYFUNCTION("GOOGLETRANSLATE(A2030,""en"",""pt-br"")"),"enraging")</f>
        <v>enraging</v>
      </c>
      <c r="D2030" s="1" t="str">
        <f>IFERROR(__xludf.DUMMYFUNCTION("GOOGLETRANSLATE(B2030,""en"",""pt-br"")"),"negativo")</f>
        <v>negativo</v>
      </c>
    </row>
    <row r="2031" ht="15.75" customHeight="1">
      <c r="A2031" s="2" t="s">
        <v>2033</v>
      </c>
      <c r="B2031" s="2" t="s">
        <v>14</v>
      </c>
      <c r="C2031" s="1" t="str">
        <f>IFERROR(__xludf.DUMMYFUNCTION("GOOGLETRANSLATE(A2031,""en"",""pt-br"")"),"enrapt")</f>
        <v>enrapt</v>
      </c>
      <c r="D2031" s="1" t="str">
        <f>IFERROR(__xludf.DUMMYFUNCTION("GOOGLETRANSLATE(B2031,""en"",""pt-br"")"),"positivo")</f>
        <v>positivo</v>
      </c>
    </row>
    <row r="2032" ht="15.75" customHeight="1">
      <c r="A2032" s="2" t="s">
        <v>2034</v>
      </c>
      <c r="B2032" s="2" t="s">
        <v>14</v>
      </c>
      <c r="C2032" s="1" t="str">
        <f>IFERROR(__xludf.DUMMYFUNCTION("GOOGLETRANSLATE(A2032,""en"",""pt-br"")"),"arrebatamento")</f>
        <v>arrebatamento</v>
      </c>
      <c r="D2032" s="1" t="str">
        <f>IFERROR(__xludf.DUMMYFUNCTION("GOOGLETRANSLATE(B2032,""en"",""pt-br"")"),"positivo")</f>
        <v>positivo</v>
      </c>
    </row>
    <row r="2033" ht="15.75" customHeight="1">
      <c r="A2033" s="2" t="s">
        <v>2035</v>
      </c>
      <c r="B2033" s="2" t="s">
        <v>14</v>
      </c>
      <c r="C2033" s="1" t="str">
        <f>IFERROR(__xludf.DUMMYFUNCTION("GOOGLETRANSLATE(A2033,""en"",""pt-br"")"),"enraptured")</f>
        <v>enraptured</v>
      </c>
      <c r="D2033" s="1" t="str">
        <f>IFERROR(__xludf.DUMMYFUNCTION("GOOGLETRANSLATE(B2033,""en"",""pt-br"")"),"positivo")</f>
        <v>positivo</v>
      </c>
    </row>
    <row r="2034" ht="15.75" customHeight="1">
      <c r="A2034" s="2" t="s">
        <v>2036</v>
      </c>
      <c r="B2034" s="2" t="s">
        <v>14</v>
      </c>
      <c r="C2034" s="1" t="str">
        <f>IFERROR(__xludf.DUMMYFUNCTION("GOOGLETRANSLATE(A2034,""en"",""pt-br"")"),"enriquecer")</f>
        <v>enriquecer</v>
      </c>
      <c r="D2034" s="1" t="str">
        <f>IFERROR(__xludf.DUMMYFUNCTION("GOOGLETRANSLATE(B2034,""en"",""pt-br"")"),"positivo")</f>
        <v>positivo</v>
      </c>
    </row>
    <row r="2035" ht="15.75" customHeight="1">
      <c r="A2035" s="2" t="s">
        <v>2037</v>
      </c>
      <c r="B2035" s="2" t="s">
        <v>14</v>
      </c>
      <c r="C2035" s="1" t="str">
        <f>IFERROR(__xludf.DUMMYFUNCTION("GOOGLETRANSLATE(A2035,""en"",""pt-br"")"),"enriquecimento")</f>
        <v>enriquecimento</v>
      </c>
      <c r="D2035" s="1" t="str">
        <f>IFERROR(__xludf.DUMMYFUNCTION("GOOGLETRANSLATE(B2035,""en"",""pt-br"")"),"positivo")</f>
        <v>positivo</v>
      </c>
    </row>
    <row r="2036" ht="15.75" customHeight="1">
      <c r="A2036" s="2" t="s">
        <v>2038</v>
      </c>
      <c r="B2036" s="2" t="s">
        <v>3</v>
      </c>
      <c r="C2036" s="1" t="str">
        <f>IFERROR(__xludf.DUMMYFUNCTION("GOOGLETRANSLATE(A2036,""en"",""pt-br"")"),"escravizar")</f>
        <v>escravizar</v>
      </c>
      <c r="D2036" s="1" t="str">
        <f>IFERROR(__xludf.DUMMYFUNCTION("GOOGLETRANSLATE(B2036,""en"",""pt-br"")"),"negativo")</f>
        <v>negativo</v>
      </c>
    </row>
    <row r="2037" ht="15.75" customHeight="1">
      <c r="A2037" s="2" t="s">
        <v>2039</v>
      </c>
      <c r="B2037" s="2" t="s">
        <v>3</v>
      </c>
      <c r="C2037" s="1" t="str">
        <f>IFERROR(__xludf.DUMMYFUNCTION("GOOGLETRANSLATE(A2037,""en"",""pt-br"")"),"entangle")</f>
        <v>entangle</v>
      </c>
      <c r="D2037" s="1" t="str">
        <f>IFERROR(__xludf.DUMMYFUNCTION("GOOGLETRANSLATE(B2037,""en"",""pt-br"")"),"negativo")</f>
        <v>negativo</v>
      </c>
    </row>
    <row r="2038" ht="15.75" customHeight="1">
      <c r="A2038" s="2" t="s">
        <v>2040</v>
      </c>
      <c r="B2038" s="2" t="s">
        <v>3</v>
      </c>
      <c r="C2038" s="1" t="str">
        <f>IFERROR(__xludf.DUMMYFUNCTION("GOOGLETRANSLATE(A2038,""en"",""pt-br"")"),"emaranhamento")</f>
        <v>emaranhamento</v>
      </c>
      <c r="D2038" s="1" t="str">
        <f>IFERROR(__xludf.DUMMYFUNCTION("GOOGLETRANSLATE(B2038,""en"",""pt-br"")"),"negativo")</f>
        <v>negativo</v>
      </c>
    </row>
    <row r="2039" ht="15.75" customHeight="1">
      <c r="A2039" s="2" t="s">
        <v>2041</v>
      </c>
      <c r="B2039" s="2" t="s">
        <v>14</v>
      </c>
      <c r="C2039" s="1" t="str">
        <f>IFERROR(__xludf.DUMMYFUNCTION("GOOGLETRANSLATE(A2039,""en"",""pt-br"")"),"empreendedor")</f>
        <v>empreendedor</v>
      </c>
      <c r="D2039" s="1" t="str">
        <f>IFERROR(__xludf.DUMMYFUNCTION("GOOGLETRANSLATE(B2039,""en"",""pt-br"")"),"positivo")</f>
        <v>positivo</v>
      </c>
    </row>
    <row r="2040" ht="15.75" customHeight="1">
      <c r="A2040" s="2" t="s">
        <v>2042</v>
      </c>
      <c r="B2040" s="2" t="s">
        <v>14</v>
      </c>
      <c r="C2040" s="1" t="str">
        <f>IFERROR(__xludf.DUMMYFUNCTION("GOOGLETRANSLATE(A2040,""en"",""pt-br"")"),"entreter")</f>
        <v>entreter</v>
      </c>
      <c r="D2040" s="1" t="str">
        <f>IFERROR(__xludf.DUMMYFUNCTION("GOOGLETRANSLATE(B2040,""en"",""pt-br"")"),"positivo")</f>
        <v>positivo</v>
      </c>
    </row>
    <row r="2041" ht="15.75" customHeight="1">
      <c r="A2041" s="2" t="s">
        <v>2043</v>
      </c>
      <c r="B2041" s="2" t="s">
        <v>14</v>
      </c>
      <c r="C2041" s="1" t="str">
        <f>IFERROR(__xludf.DUMMYFUNCTION("GOOGLETRANSLATE(A2041,""en"",""pt-br"")"),"divertido")</f>
        <v>divertido</v>
      </c>
      <c r="D2041" s="1" t="str">
        <f>IFERROR(__xludf.DUMMYFUNCTION("GOOGLETRANSLATE(B2041,""en"",""pt-br"")"),"positivo")</f>
        <v>positivo</v>
      </c>
    </row>
    <row r="2042" ht="15.75" customHeight="1">
      <c r="A2042" s="2" t="s">
        <v>2044</v>
      </c>
      <c r="B2042" s="2" t="s">
        <v>14</v>
      </c>
      <c r="C2042" s="1" t="str">
        <f>IFERROR(__xludf.DUMMYFUNCTION("GOOGLETRANSLATE(A2042,""en"",""pt-br"")"),"entretém")</f>
        <v>entretém</v>
      </c>
      <c r="D2042" s="1" t="str">
        <f>IFERROR(__xludf.DUMMYFUNCTION("GOOGLETRANSLATE(B2042,""en"",""pt-br"")"),"positivo")</f>
        <v>positivo</v>
      </c>
    </row>
    <row r="2043" ht="15.75" customHeight="1">
      <c r="A2043" s="2" t="s">
        <v>2045</v>
      </c>
      <c r="B2043" s="2" t="s">
        <v>14</v>
      </c>
      <c r="C2043" s="1" t="str">
        <f>IFERROR(__xludf.DUMMYFUNCTION("GOOGLETRANSLATE(A2043,""en"",""pt-br"")"),"encantar")</f>
        <v>encantar</v>
      </c>
      <c r="D2043" s="1" t="str">
        <f>IFERROR(__xludf.DUMMYFUNCTION("GOOGLETRANSLATE(B2043,""en"",""pt-br"")"),"positivo")</f>
        <v>positivo</v>
      </c>
    </row>
    <row r="2044" ht="15.75" customHeight="1">
      <c r="A2044" s="2" t="s">
        <v>2046</v>
      </c>
      <c r="B2044" s="2" t="s">
        <v>14</v>
      </c>
      <c r="C2044" s="1" t="str">
        <f>IFERROR(__xludf.DUMMYFUNCTION("GOOGLETRANSLATE(A2044,""en"",""pt-br"")"),"encantar")</f>
        <v>encantar</v>
      </c>
      <c r="D2044" s="1" t="str">
        <f>IFERROR(__xludf.DUMMYFUNCTION("GOOGLETRANSLATE(B2044,""en"",""pt-br"")"),"positivo")</f>
        <v>positivo</v>
      </c>
    </row>
    <row r="2045" ht="15.75" customHeight="1">
      <c r="A2045" s="2" t="s">
        <v>2047</v>
      </c>
      <c r="B2045" s="2" t="s">
        <v>14</v>
      </c>
      <c r="C2045" s="1" t="str">
        <f>IFERROR(__xludf.DUMMYFUNCTION("GOOGLETRANSLATE(A2045,""en"",""pt-br"")"),"encantado")</f>
        <v>encantado</v>
      </c>
      <c r="D2045" s="1" t="str">
        <f>IFERROR(__xludf.DUMMYFUNCTION("GOOGLETRANSLATE(B2045,""en"",""pt-br"")"),"positivo")</f>
        <v>positivo</v>
      </c>
    </row>
    <row r="2046" ht="15.75" customHeight="1">
      <c r="A2046" s="2" t="s">
        <v>2048</v>
      </c>
      <c r="B2046" s="2" t="s">
        <v>14</v>
      </c>
      <c r="C2046" s="1" t="str">
        <f>IFERROR(__xludf.DUMMYFUNCTION("GOOGLETRANSLATE(A2046,""en"",""pt-br"")"),"Enthuse")</f>
        <v>Enthuse</v>
      </c>
      <c r="D2046" s="1" t="str">
        <f>IFERROR(__xludf.DUMMYFUNCTION("GOOGLETRANSLATE(B2046,""en"",""pt-br"")"),"positivo")</f>
        <v>positivo</v>
      </c>
    </row>
    <row r="2047" ht="15.75" customHeight="1">
      <c r="A2047" s="2" t="s">
        <v>2049</v>
      </c>
      <c r="B2047" s="2" t="s">
        <v>14</v>
      </c>
      <c r="C2047" s="1" t="str">
        <f>IFERROR(__xludf.DUMMYFUNCTION("GOOGLETRANSLATE(A2047,""en"",""pt-br"")"),"entusiasmo")</f>
        <v>entusiasmo</v>
      </c>
      <c r="D2047" s="1" t="str">
        <f>IFERROR(__xludf.DUMMYFUNCTION("GOOGLETRANSLATE(B2047,""en"",""pt-br"")"),"positivo")</f>
        <v>positivo</v>
      </c>
    </row>
    <row r="2048" ht="15.75" customHeight="1">
      <c r="A2048" s="2" t="s">
        <v>2050</v>
      </c>
      <c r="B2048" s="2" t="s">
        <v>14</v>
      </c>
      <c r="C2048" s="1" t="str">
        <f>IFERROR(__xludf.DUMMYFUNCTION("GOOGLETRANSLATE(A2048,""en"",""pt-br"")"),"entusiasta")</f>
        <v>entusiasta</v>
      </c>
      <c r="D2048" s="1" t="str">
        <f>IFERROR(__xludf.DUMMYFUNCTION("GOOGLETRANSLATE(B2048,""en"",""pt-br"")"),"positivo")</f>
        <v>positivo</v>
      </c>
    </row>
    <row r="2049" ht="15.75" customHeight="1">
      <c r="A2049" s="2" t="s">
        <v>2051</v>
      </c>
      <c r="B2049" s="2" t="s">
        <v>14</v>
      </c>
      <c r="C2049" s="1" t="str">
        <f>IFERROR(__xludf.DUMMYFUNCTION("GOOGLETRANSLATE(A2049,""en"",""pt-br"")"),"entusiasmado")</f>
        <v>entusiasmado</v>
      </c>
      <c r="D2049" s="1" t="str">
        <f>IFERROR(__xludf.DUMMYFUNCTION("GOOGLETRANSLATE(B2049,""en"",""pt-br"")"),"positivo")</f>
        <v>positivo</v>
      </c>
    </row>
    <row r="2050" ht="15.75" customHeight="1">
      <c r="A2050" s="2" t="s">
        <v>2052</v>
      </c>
      <c r="B2050" s="2" t="s">
        <v>14</v>
      </c>
      <c r="C2050" s="1" t="str">
        <f>IFERROR(__xludf.DUMMYFUNCTION("GOOGLETRANSLATE(A2050,""en"",""pt-br"")"),"entusiasticamente")</f>
        <v>entusiasticamente</v>
      </c>
      <c r="D2050" s="1" t="str">
        <f>IFERROR(__xludf.DUMMYFUNCTION("GOOGLETRANSLATE(B2050,""en"",""pt-br"")"),"positivo")</f>
        <v>positivo</v>
      </c>
    </row>
    <row r="2051" ht="15.75" customHeight="1">
      <c r="A2051" s="2" t="s">
        <v>2053</v>
      </c>
      <c r="B2051" s="2" t="s">
        <v>14</v>
      </c>
      <c r="C2051" s="1" t="str">
        <f>IFERROR(__xludf.DUMMYFUNCTION("GOOGLETRANSLATE(A2051,""en"",""pt-br"")"),"seduzi")</f>
        <v>seduzi</v>
      </c>
      <c r="D2051" s="1" t="str">
        <f>IFERROR(__xludf.DUMMYFUNCTION("GOOGLETRANSLATE(B2051,""en"",""pt-br"")"),"positivo")</f>
        <v>positivo</v>
      </c>
    </row>
    <row r="2052" ht="15.75" customHeight="1">
      <c r="A2052" s="2" t="s">
        <v>2054</v>
      </c>
      <c r="B2052" s="2" t="s">
        <v>14</v>
      </c>
      <c r="C2052" s="1" t="str">
        <f>IFERROR(__xludf.DUMMYFUNCTION("GOOGLETRANSLATE(A2052,""en"",""pt-br"")"),"seduzidos")</f>
        <v>seduzidos</v>
      </c>
      <c r="D2052" s="1" t="str">
        <f>IFERROR(__xludf.DUMMYFUNCTION("GOOGLETRANSLATE(B2052,""en"",""pt-br"")"),"positivo")</f>
        <v>positivo</v>
      </c>
    </row>
    <row r="2053" ht="15.75" customHeight="1">
      <c r="A2053" s="2" t="s">
        <v>2055</v>
      </c>
      <c r="B2053" s="2" t="s">
        <v>14</v>
      </c>
      <c r="C2053" s="1" t="str">
        <f>IFERROR(__xludf.DUMMYFUNCTION("GOOGLETRANSLATE(A2053,""en"",""pt-br"")"),"sedutor")</f>
        <v>sedutor</v>
      </c>
      <c r="D2053" s="1" t="str">
        <f>IFERROR(__xludf.DUMMYFUNCTION("GOOGLETRANSLATE(B2053,""en"",""pt-br"")"),"positivo")</f>
        <v>positivo</v>
      </c>
    </row>
    <row r="2054" ht="15.75" customHeight="1">
      <c r="A2054" s="2" t="s">
        <v>2056</v>
      </c>
      <c r="B2054" s="2" t="s">
        <v>14</v>
      </c>
      <c r="C2054" s="1" t="str">
        <f>IFERROR(__xludf.DUMMYFUNCTION("GOOGLETRANSLATE(A2054,""en"",""pt-br"")"),"sedutoramente")</f>
        <v>sedutoramente</v>
      </c>
      <c r="D2054" s="1" t="str">
        <f>IFERROR(__xludf.DUMMYFUNCTION("GOOGLETRANSLATE(B2054,""en"",""pt-br"")"),"positivo")</f>
        <v>positivo</v>
      </c>
    </row>
    <row r="2055" ht="15.75" customHeight="1">
      <c r="A2055" s="2" t="s">
        <v>2057</v>
      </c>
      <c r="B2055" s="2" t="s">
        <v>14</v>
      </c>
      <c r="C2055" s="1" t="str">
        <f>IFERROR(__xludf.DUMMYFUNCTION("GOOGLETRANSLATE(A2055,""en"",""pt-br"")"),"extasiado")</f>
        <v>extasiado</v>
      </c>
      <c r="D2055" s="1" t="str">
        <f>IFERROR(__xludf.DUMMYFUNCTION("GOOGLETRANSLATE(B2055,""en"",""pt-br"")"),"positivo")</f>
        <v>positivo</v>
      </c>
    </row>
    <row r="2056" ht="15.75" customHeight="1">
      <c r="A2056" s="2" t="s">
        <v>2058</v>
      </c>
      <c r="B2056" s="2" t="s">
        <v>14</v>
      </c>
      <c r="C2056" s="1" t="str">
        <f>IFERROR(__xludf.DUMMYFUNCTION("GOOGLETRANSLATE(A2056,""en"",""pt-br"")"),"extasiante")</f>
        <v>extasiante</v>
      </c>
      <c r="D2056" s="1" t="str">
        <f>IFERROR(__xludf.DUMMYFUNCTION("GOOGLETRANSLATE(B2056,""en"",""pt-br"")"),"positivo")</f>
        <v>positivo</v>
      </c>
    </row>
    <row r="2057" ht="15.75" customHeight="1">
      <c r="A2057" s="2" t="s">
        <v>2059</v>
      </c>
      <c r="B2057" s="2" t="s">
        <v>3</v>
      </c>
      <c r="C2057" s="1" t="str">
        <f>IFERROR(__xludf.DUMMYFUNCTION("GOOGLETRANSLATE(A2057,""en"",""pt-br"")"),"entrap")</f>
        <v>entrap</v>
      </c>
      <c r="D2057" s="1" t="str">
        <f>IFERROR(__xludf.DUMMYFUNCTION("GOOGLETRANSLATE(B2057,""en"",""pt-br"")"),"negativo")</f>
        <v>negativo</v>
      </c>
    </row>
    <row r="2058" ht="15.75" customHeight="1">
      <c r="A2058" s="2" t="s">
        <v>2060</v>
      </c>
      <c r="B2058" s="2" t="s">
        <v>3</v>
      </c>
      <c r="C2058" s="1" t="str">
        <f>IFERROR(__xludf.DUMMYFUNCTION("GOOGLETRANSLATE(A2058,""en"",""pt-br"")"),"aprisionamento")</f>
        <v>aprisionamento</v>
      </c>
      <c r="D2058" s="1" t="str">
        <f>IFERROR(__xludf.DUMMYFUNCTION("GOOGLETRANSLATE(B2058,""en"",""pt-br"")"),"negativo")</f>
        <v>negativo</v>
      </c>
    </row>
    <row r="2059" ht="15.75" customHeight="1">
      <c r="A2059" s="2" t="s">
        <v>2061</v>
      </c>
      <c r="B2059" s="2" t="s">
        <v>14</v>
      </c>
      <c r="C2059" s="1" t="str">
        <f>IFERROR(__xludf.DUMMYFUNCTION("GOOGLETRANSLATE(A2059,""en"",""pt-br"")"),"confiar")</f>
        <v>confiar</v>
      </c>
      <c r="D2059" s="1" t="str">
        <f>IFERROR(__xludf.DUMMYFUNCTION("GOOGLETRANSLATE(B2059,""en"",""pt-br"")"),"positivo")</f>
        <v>positivo</v>
      </c>
    </row>
    <row r="2060" ht="15.75" customHeight="1">
      <c r="A2060" s="2" t="s">
        <v>2062</v>
      </c>
      <c r="B2060" s="2" t="s">
        <v>14</v>
      </c>
      <c r="C2060" s="1" t="str">
        <f>IFERROR(__xludf.DUMMYFUNCTION("GOOGLETRANSLATE(A2060,""en"",""pt-br"")"),"invejável")</f>
        <v>invejável</v>
      </c>
      <c r="D2060" s="1" t="str">
        <f>IFERROR(__xludf.DUMMYFUNCTION("GOOGLETRANSLATE(B2060,""en"",""pt-br"")"),"positivo")</f>
        <v>positivo</v>
      </c>
    </row>
    <row r="2061" ht="15.75" customHeight="1">
      <c r="A2061" s="2" t="s">
        <v>2063</v>
      </c>
      <c r="B2061" s="2" t="s">
        <v>14</v>
      </c>
      <c r="C2061" s="1" t="str">
        <f>IFERROR(__xludf.DUMMYFUNCTION("GOOGLETRANSLATE(A2061,""en"",""pt-br"")"),"invejavelmente")</f>
        <v>invejavelmente</v>
      </c>
      <c r="D2061" s="1" t="str">
        <f>IFERROR(__xludf.DUMMYFUNCTION("GOOGLETRANSLATE(B2061,""en"",""pt-br"")"),"positivo")</f>
        <v>positivo</v>
      </c>
    </row>
    <row r="2062" ht="15.75" customHeight="1">
      <c r="A2062" s="2" t="s">
        <v>2064</v>
      </c>
      <c r="B2062" s="2" t="s">
        <v>14</v>
      </c>
      <c r="C2062" s="1" t="str">
        <f>IFERROR(__xludf.DUMMYFUNCTION("GOOGLETRANSLATE(A2062,""en"",""pt-br"")"),"invejoso")</f>
        <v>invejoso</v>
      </c>
      <c r="D2062" s="1" t="str">
        <f>IFERROR(__xludf.DUMMYFUNCTION("GOOGLETRANSLATE(B2062,""en"",""pt-br"")"),"positivo")</f>
        <v>positivo</v>
      </c>
    </row>
    <row r="2063" ht="15.75" customHeight="1">
      <c r="A2063" s="2" t="s">
        <v>2064</v>
      </c>
      <c r="B2063" s="2" t="s">
        <v>3</v>
      </c>
      <c r="C2063" s="1" t="str">
        <f>IFERROR(__xludf.DUMMYFUNCTION("GOOGLETRANSLATE(A2063,""en"",""pt-br"")"),"invejoso")</f>
        <v>invejoso</v>
      </c>
      <c r="D2063" s="1" t="str">
        <f>IFERROR(__xludf.DUMMYFUNCTION("GOOGLETRANSLATE(B2063,""en"",""pt-br"")"),"negativo")</f>
        <v>negativo</v>
      </c>
    </row>
    <row r="2064" ht="15.75" customHeight="1">
      <c r="A2064" s="2" t="s">
        <v>2065</v>
      </c>
      <c r="B2064" s="2" t="s">
        <v>14</v>
      </c>
      <c r="C2064" s="1" t="str">
        <f>IFERROR(__xludf.DUMMYFUNCTION("GOOGLETRANSLATE(A2064,""en"",""pt-br"")"),"enviously")</f>
        <v>enviously</v>
      </c>
      <c r="D2064" s="1" t="str">
        <f>IFERROR(__xludf.DUMMYFUNCTION("GOOGLETRANSLATE(B2064,""en"",""pt-br"")"),"positivo")</f>
        <v>positivo</v>
      </c>
    </row>
    <row r="2065" ht="15.75" customHeight="1">
      <c r="A2065" s="2" t="s">
        <v>2065</v>
      </c>
      <c r="B2065" s="2" t="s">
        <v>3</v>
      </c>
      <c r="C2065" s="1" t="str">
        <f>IFERROR(__xludf.DUMMYFUNCTION("GOOGLETRANSLATE(A2065,""en"",""pt-br"")"),"enviously")</f>
        <v>enviously</v>
      </c>
      <c r="D2065" s="1" t="str">
        <f>IFERROR(__xludf.DUMMYFUNCTION("GOOGLETRANSLATE(B2065,""en"",""pt-br"")"),"negativo")</f>
        <v>negativo</v>
      </c>
    </row>
    <row r="2066" ht="15.75" customHeight="1">
      <c r="A2066" s="2" t="s">
        <v>2066</v>
      </c>
      <c r="B2066" s="2" t="s">
        <v>14</v>
      </c>
      <c r="C2066" s="1" t="str">
        <f>IFERROR(__xludf.DUMMYFUNCTION("GOOGLETRANSLATE(A2066,""en"",""pt-br"")"),"enviousness")</f>
        <v>enviousness</v>
      </c>
      <c r="D2066" s="1" t="str">
        <f>IFERROR(__xludf.DUMMYFUNCTION("GOOGLETRANSLATE(B2066,""en"",""pt-br"")"),"positivo")</f>
        <v>positivo</v>
      </c>
    </row>
    <row r="2067" ht="15.75" customHeight="1">
      <c r="A2067" s="2" t="s">
        <v>2066</v>
      </c>
      <c r="B2067" s="2" t="s">
        <v>3</v>
      </c>
      <c r="C2067" s="1" t="str">
        <f>IFERROR(__xludf.DUMMYFUNCTION("GOOGLETRANSLATE(A2067,""en"",""pt-br"")"),"enviousness")</f>
        <v>enviousness</v>
      </c>
      <c r="D2067" s="1" t="str">
        <f>IFERROR(__xludf.DUMMYFUNCTION("GOOGLETRANSLATE(B2067,""en"",""pt-br"")"),"negativo")</f>
        <v>negativo</v>
      </c>
    </row>
    <row r="2068" ht="15.75" customHeight="1">
      <c r="A2068" s="2" t="s">
        <v>2067</v>
      </c>
      <c r="B2068" s="2" t="s">
        <v>14</v>
      </c>
      <c r="C2068" s="1" t="str">
        <f>IFERROR(__xludf.DUMMYFUNCTION("GOOGLETRANSLATE(A2068,""en"",""pt-br"")"),"inveja")</f>
        <v>inveja</v>
      </c>
      <c r="D2068" s="1" t="str">
        <f>IFERROR(__xludf.DUMMYFUNCTION("GOOGLETRANSLATE(B2068,""en"",""pt-br"")"),"positivo")</f>
        <v>positivo</v>
      </c>
    </row>
    <row r="2069" ht="15.75" customHeight="1">
      <c r="A2069" s="2" t="s">
        <v>2068</v>
      </c>
      <c r="B2069" s="2" t="s">
        <v>3</v>
      </c>
      <c r="C2069" s="1" t="str">
        <f>IFERROR(__xludf.DUMMYFUNCTION("GOOGLETRANSLATE(A2069,""en"",""pt-br"")"),"epidemia")</f>
        <v>epidemia</v>
      </c>
      <c r="D2069" s="1" t="str">
        <f>IFERROR(__xludf.DUMMYFUNCTION("GOOGLETRANSLATE(B2069,""en"",""pt-br"")"),"negativo")</f>
        <v>negativo</v>
      </c>
    </row>
    <row r="2070" ht="15.75" customHeight="1">
      <c r="A2070" s="2" t="s">
        <v>2069</v>
      </c>
      <c r="B2070" s="2" t="s">
        <v>14</v>
      </c>
      <c r="C2070" s="1" t="str">
        <f>IFERROR(__xludf.DUMMYFUNCTION("GOOGLETRANSLATE(A2070,""en"",""pt-br"")"),"equitativo")</f>
        <v>equitativo</v>
      </c>
      <c r="D2070" s="1" t="str">
        <f>IFERROR(__xludf.DUMMYFUNCTION("GOOGLETRANSLATE(B2070,""en"",""pt-br"")"),"positivo")</f>
        <v>positivo</v>
      </c>
    </row>
    <row r="2071" ht="15.75" customHeight="1">
      <c r="A2071" s="2" t="s">
        <v>2070</v>
      </c>
      <c r="B2071" s="2" t="s">
        <v>3</v>
      </c>
      <c r="C2071" s="1" t="str">
        <f>IFERROR(__xludf.DUMMYFUNCTION("GOOGLETRANSLATE(A2071,""en"",""pt-br"")"),"equívoco")</f>
        <v>equívoco</v>
      </c>
      <c r="D2071" s="1" t="str">
        <f>IFERROR(__xludf.DUMMYFUNCTION("GOOGLETRANSLATE(B2071,""en"",""pt-br"")"),"negativo")</f>
        <v>negativo</v>
      </c>
    </row>
    <row r="2072" ht="15.75" customHeight="1">
      <c r="A2072" s="2" t="s">
        <v>2071</v>
      </c>
      <c r="B2072" s="2" t="s">
        <v>3</v>
      </c>
      <c r="C2072" s="1" t="str">
        <f>IFERROR(__xludf.DUMMYFUNCTION("GOOGLETRANSLATE(A2072,""en"",""pt-br"")"),"apagar")</f>
        <v>apagar</v>
      </c>
      <c r="D2072" s="1" t="str">
        <f>IFERROR(__xludf.DUMMYFUNCTION("GOOGLETRANSLATE(B2072,""en"",""pt-br"")"),"negativo")</f>
        <v>negativo</v>
      </c>
    </row>
    <row r="2073" ht="15.75" customHeight="1">
      <c r="A2073" s="2" t="s">
        <v>2072</v>
      </c>
      <c r="B2073" s="2" t="s">
        <v>14</v>
      </c>
      <c r="C2073" s="1" t="str">
        <f>IFERROR(__xludf.DUMMYFUNCTION("GOOGLETRANSLATE(A2073,""en"",""pt-br"")"),"ergonomical")</f>
        <v>ergonomical</v>
      </c>
      <c r="D2073" s="1" t="str">
        <f>IFERROR(__xludf.DUMMYFUNCTION("GOOGLETRANSLATE(B2073,""en"",""pt-br"")"),"positivo")</f>
        <v>positivo</v>
      </c>
    </row>
    <row r="2074" ht="15.75" customHeight="1">
      <c r="A2074" s="2" t="s">
        <v>2073</v>
      </c>
      <c r="B2074" s="2" t="s">
        <v>3</v>
      </c>
      <c r="C2074" s="1" t="str">
        <f>IFERROR(__xludf.DUMMYFUNCTION("GOOGLETRANSLATE(A2074,""en"",""pt-br"")"),"corroer")</f>
        <v>corroer</v>
      </c>
      <c r="D2074" s="1" t="str">
        <f>IFERROR(__xludf.DUMMYFUNCTION("GOOGLETRANSLATE(B2074,""en"",""pt-br"")"),"negativo")</f>
        <v>negativo</v>
      </c>
    </row>
    <row r="2075" ht="15.75" customHeight="1">
      <c r="A2075" s="2" t="s">
        <v>2074</v>
      </c>
      <c r="B2075" s="2" t="s">
        <v>3</v>
      </c>
      <c r="C2075" s="1" t="str">
        <f>IFERROR(__xludf.DUMMYFUNCTION("GOOGLETRANSLATE(A2075,""en"",""pt-br"")"),"corrói")</f>
        <v>corrói</v>
      </c>
      <c r="D2075" s="1" t="str">
        <f>IFERROR(__xludf.DUMMYFUNCTION("GOOGLETRANSLATE(B2075,""en"",""pt-br"")"),"negativo")</f>
        <v>negativo</v>
      </c>
    </row>
    <row r="2076" ht="15.75" customHeight="1">
      <c r="A2076" s="2" t="s">
        <v>2075</v>
      </c>
      <c r="B2076" s="2" t="s">
        <v>3</v>
      </c>
      <c r="C2076" s="1" t="str">
        <f>IFERROR(__xludf.DUMMYFUNCTION("GOOGLETRANSLATE(A2076,""en"",""pt-br"")"),"erosão")</f>
        <v>erosão</v>
      </c>
      <c r="D2076" s="1" t="str">
        <f>IFERROR(__xludf.DUMMYFUNCTION("GOOGLETRANSLATE(B2076,""en"",""pt-br"")"),"negativo")</f>
        <v>negativo</v>
      </c>
    </row>
    <row r="2077" ht="15.75" customHeight="1">
      <c r="A2077" s="2" t="s">
        <v>2076</v>
      </c>
      <c r="B2077" s="2" t="s">
        <v>3</v>
      </c>
      <c r="C2077" s="1" t="str">
        <f>IFERROR(__xludf.DUMMYFUNCTION("GOOGLETRANSLATE(A2077,""en"",""pt-br"")"),"errar")</f>
        <v>errar</v>
      </c>
      <c r="D2077" s="1" t="str">
        <f>IFERROR(__xludf.DUMMYFUNCTION("GOOGLETRANSLATE(B2077,""en"",""pt-br"")"),"negativo")</f>
        <v>negativo</v>
      </c>
    </row>
    <row r="2078" ht="15.75" customHeight="1">
      <c r="A2078" s="2" t="s">
        <v>2077</v>
      </c>
      <c r="B2078" s="2" t="s">
        <v>14</v>
      </c>
      <c r="C2078" s="1" t="str">
        <f>IFERROR(__xludf.DUMMYFUNCTION("GOOGLETRANSLATE(A2078,""en"",""pt-br"")"),"err-livre")</f>
        <v>err-livre</v>
      </c>
      <c r="D2078" s="1" t="str">
        <f>IFERROR(__xludf.DUMMYFUNCTION("GOOGLETRANSLATE(B2078,""en"",""pt-br"")"),"positivo")</f>
        <v>positivo</v>
      </c>
    </row>
    <row r="2079" ht="15.75" customHeight="1">
      <c r="A2079" s="2" t="s">
        <v>2078</v>
      </c>
      <c r="B2079" s="2" t="s">
        <v>3</v>
      </c>
      <c r="C2079" s="1" t="str">
        <f>IFERROR(__xludf.DUMMYFUNCTION("GOOGLETRANSLATE(A2079,""en"",""pt-br"")"),"errante")</f>
        <v>errante</v>
      </c>
      <c r="D2079" s="1" t="str">
        <f>IFERROR(__xludf.DUMMYFUNCTION("GOOGLETRANSLATE(B2079,""en"",""pt-br"")"),"negativo")</f>
        <v>negativo</v>
      </c>
    </row>
    <row r="2080" ht="15.75" customHeight="1">
      <c r="A2080" s="2" t="s">
        <v>2079</v>
      </c>
      <c r="B2080" s="2" t="s">
        <v>3</v>
      </c>
      <c r="C2080" s="1" t="str">
        <f>IFERROR(__xludf.DUMMYFUNCTION("GOOGLETRANSLATE(A2080,""en"",""pt-br"")"),"errático")</f>
        <v>errático</v>
      </c>
      <c r="D2080" s="1" t="str">
        <f>IFERROR(__xludf.DUMMYFUNCTION("GOOGLETRANSLATE(B2080,""en"",""pt-br"")"),"negativo")</f>
        <v>negativo</v>
      </c>
    </row>
    <row r="2081" ht="15.75" customHeight="1">
      <c r="A2081" s="2" t="s">
        <v>2080</v>
      </c>
      <c r="B2081" s="2" t="s">
        <v>3</v>
      </c>
      <c r="C2081" s="1" t="str">
        <f>IFERROR(__xludf.DUMMYFUNCTION("GOOGLETRANSLATE(A2081,""en"",""pt-br"")"),"erraticamente")</f>
        <v>erraticamente</v>
      </c>
      <c r="D2081" s="1" t="str">
        <f>IFERROR(__xludf.DUMMYFUNCTION("GOOGLETRANSLATE(B2081,""en"",""pt-br"")"),"negativo")</f>
        <v>negativo</v>
      </c>
    </row>
    <row r="2082" ht="15.75" customHeight="1">
      <c r="A2082" s="2" t="s">
        <v>2081</v>
      </c>
      <c r="B2082" s="2" t="s">
        <v>3</v>
      </c>
      <c r="C2082" s="1" t="str">
        <f>IFERROR(__xludf.DUMMYFUNCTION("GOOGLETRANSLATE(A2082,""en"",""pt-br"")"),"errôneo")</f>
        <v>errôneo</v>
      </c>
      <c r="D2082" s="1" t="str">
        <f>IFERROR(__xludf.DUMMYFUNCTION("GOOGLETRANSLATE(B2082,""en"",""pt-br"")"),"negativo")</f>
        <v>negativo</v>
      </c>
    </row>
    <row r="2083" ht="15.75" customHeight="1">
      <c r="A2083" s="2" t="s">
        <v>2082</v>
      </c>
      <c r="B2083" s="2" t="s">
        <v>3</v>
      </c>
      <c r="C2083" s="1" t="str">
        <f>IFERROR(__xludf.DUMMYFUNCTION("GOOGLETRANSLATE(A2083,""en"",""pt-br"")"),"erroneamente")</f>
        <v>erroneamente</v>
      </c>
      <c r="D2083" s="1" t="str">
        <f>IFERROR(__xludf.DUMMYFUNCTION("GOOGLETRANSLATE(B2083,""en"",""pt-br"")"),"negativo")</f>
        <v>negativo</v>
      </c>
    </row>
    <row r="2084" ht="15.75" customHeight="1">
      <c r="A2084" s="2" t="s">
        <v>2083</v>
      </c>
      <c r="B2084" s="2" t="s">
        <v>3</v>
      </c>
      <c r="C2084" s="1" t="str">
        <f>IFERROR(__xludf.DUMMYFUNCTION("GOOGLETRANSLATE(A2084,""en"",""pt-br"")"),"erro")</f>
        <v>erro</v>
      </c>
      <c r="D2084" s="1" t="str">
        <f>IFERROR(__xludf.DUMMYFUNCTION("GOOGLETRANSLATE(B2084,""en"",""pt-br"")"),"negativo")</f>
        <v>negativo</v>
      </c>
    </row>
    <row r="2085" ht="15.75" customHeight="1">
      <c r="A2085" s="2" t="s">
        <v>2084</v>
      </c>
      <c r="B2085" s="2" t="s">
        <v>3</v>
      </c>
      <c r="C2085" s="1" t="str">
        <f>IFERROR(__xludf.DUMMYFUNCTION("GOOGLETRANSLATE(A2085,""en"",""pt-br"")"),"erros")</f>
        <v>erros</v>
      </c>
      <c r="D2085" s="1" t="str">
        <f>IFERROR(__xludf.DUMMYFUNCTION("GOOGLETRANSLATE(B2085,""en"",""pt-br"")"),"negativo")</f>
        <v>negativo</v>
      </c>
    </row>
    <row r="2086" ht="15.75" customHeight="1">
      <c r="A2086" s="2" t="s">
        <v>2085</v>
      </c>
      <c r="B2086" s="2" t="s">
        <v>14</v>
      </c>
      <c r="C2086" s="1" t="str">
        <f>IFERROR(__xludf.DUMMYFUNCTION("GOOGLETRANSLATE(A2086,""en"",""pt-br"")"),"erudito")</f>
        <v>erudito</v>
      </c>
      <c r="D2086" s="1" t="str">
        <f>IFERROR(__xludf.DUMMYFUNCTION("GOOGLETRANSLATE(B2086,""en"",""pt-br"")"),"positivo")</f>
        <v>positivo</v>
      </c>
    </row>
    <row r="2087" ht="15.75" customHeight="1">
      <c r="A2087" s="2" t="s">
        <v>2086</v>
      </c>
      <c r="B2087" s="2" t="s">
        <v>3</v>
      </c>
      <c r="C2087" s="1" t="str">
        <f>IFERROR(__xludf.DUMMYFUNCTION("GOOGLETRANSLATE(A2087,""en"",""pt-br"")"),"erupções")</f>
        <v>erupções</v>
      </c>
      <c r="D2087" s="1" t="str">
        <f>IFERROR(__xludf.DUMMYFUNCTION("GOOGLETRANSLATE(B2087,""en"",""pt-br"")"),"negativo")</f>
        <v>negativo</v>
      </c>
    </row>
    <row r="2088" ht="15.75" customHeight="1">
      <c r="A2088" s="2" t="s">
        <v>2087</v>
      </c>
      <c r="B2088" s="2" t="s">
        <v>3</v>
      </c>
      <c r="C2088" s="1" t="str">
        <f>IFERROR(__xludf.DUMMYFUNCTION("GOOGLETRANSLATE(A2088,""en"",""pt-br"")"),"escapada")</f>
        <v>escapada</v>
      </c>
      <c r="D2088" s="1" t="str">
        <f>IFERROR(__xludf.DUMMYFUNCTION("GOOGLETRANSLATE(B2088,""en"",""pt-br"")"),"negativo")</f>
        <v>negativo</v>
      </c>
    </row>
    <row r="2089" ht="15.75" customHeight="1">
      <c r="A2089" s="2" t="s">
        <v>2088</v>
      </c>
      <c r="B2089" s="2" t="s">
        <v>3</v>
      </c>
      <c r="C2089" s="1" t="str">
        <f>IFERROR(__xludf.DUMMYFUNCTION("GOOGLETRANSLATE(A2089,""en"",""pt-br"")"),"evitar")</f>
        <v>evitar</v>
      </c>
      <c r="D2089" s="1" t="str">
        <f>IFERROR(__xludf.DUMMYFUNCTION("GOOGLETRANSLATE(B2089,""en"",""pt-br"")"),"negativo")</f>
        <v>negativo</v>
      </c>
    </row>
    <row r="2090" ht="15.75" customHeight="1">
      <c r="A2090" s="2" t="s">
        <v>2089</v>
      </c>
      <c r="B2090" s="2" t="s">
        <v>3</v>
      </c>
      <c r="C2090" s="1" t="str">
        <f>IFERROR(__xludf.DUMMYFUNCTION("GOOGLETRANSLATE(A2090,""en"",""pt-br"")"),"distante")</f>
        <v>distante</v>
      </c>
      <c r="D2090" s="1" t="str">
        <f>IFERROR(__xludf.DUMMYFUNCTION("GOOGLETRANSLATE(B2090,""en"",""pt-br"")"),"negativo")</f>
        <v>negativo</v>
      </c>
    </row>
    <row r="2091" ht="15.75" customHeight="1">
      <c r="A2091" s="2" t="s">
        <v>2090</v>
      </c>
      <c r="B2091" s="2" t="s">
        <v>14</v>
      </c>
      <c r="C2091" s="1" t="str">
        <f>IFERROR(__xludf.DUMMYFUNCTION("GOOGLETRANSLATE(A2091,""en"",""pt-br"")"),"ético")</f>
        <v>ético</v>
      </c>
      <c r="D2091" s="1" t="str">
        <f>IFERROR(__xludf.DUMMYFUNCTION("GOOGLETRANSLATE(B2091,""en"",""pt-br"")"),"positivo")</f>
        <v>positivo</v>
      </c>
    </row>
    <row r="2092" ht="15.75" customHeight="1">
      <c r="A2092" s="2" t="s">
        <v>2091</v>
      </c>
      <c r="B2092" s="2" t="s">
        <v>14</v>
      </c>
      <c r="C2092" s="1" t="str">
        <f>IFERROR(__xludf.DUMMYFUNCTION("GOOGLETRANSLATE(A2092,""en"",""pt-br"")"),"elogiar")</f>
        <v>elogiar</v>
      </c>
      <c r="D2092" s="1" t="str">
        <f>IFERROR(__xludf.DUMMYFUNCTION("GOOGLETRANSLATE(B2092,""en"",""pt-br"")"),"positivo")</f>
        <v>positivo</v>
      </c>
    </row>
    <row r="2093" ht="15.75" customHeight="1">
      <c r="A2093" s="2" t="s">
        <v>2092</v>
      </c>
      <c r="B2093" s="2" t="s">
        <v>14</v>
      </c>
      <c r="C2093" s="1" t="str">
        <f>IFERROR(__xludf.DUMMYFUNCTION("GOOGLETRANSLATE(A2093,""en"",""pt-br"")"),"euforia")</f>
        <v>euforia</v>
      </c>
      <c r="D2093" s="1" t="str">
        <f>IFERROR(__xludf.DUMMYFUNCTION("GOOGLETRANSLATE(B2093,""en"",""pt-br"")"),"positivo")</f>
        <v>positivo</v>
      </c>
    </row>
    <row r="2094" ht="15.75" customHeight="1">
      <c r="A2094" s="2" t="s">
        <v>2093</v>
      </c>
      <c r="B2094" s="2" t="s">
        <v>14</v>
      </c>
      <c r="C2094" s="1" t="str">
        <f>IFERROR(__xludf.DUMMYFUNCTION("GOOGLETRANSLATE(A2094,""en"",""pt-br"")"),"eufórico")</f>
        <v>eufórico</v>
      </c>
      <c r="D2094" s="1" t="str">
        <f>IFERROR(__xludf.DUMMYFUNCTION("GOOGLETRANSLATE(B2094,""en"",""pt-br"")"),"positivo")</f>
        <v>positivo</v>
      </c>
    </row>
    <row r="2095" ht="15.75" customHeight="1">
      <c r="A2095" s="2" t="s">
        <v>2094</v>
      </c>
      <c r="B2095" s="2" t="s">
        <v>14</v>
      </c>
      <c r="C2095" s="1" t="str">
        <f>IFERROR(__xludf.DUMMYFUNCTION("GOOGLETRANSLATE(A2095,""en"",""pt-br"")"),"euforicamente")</f>
        <v>euforicamente</v>
      </c>
      <c r="D2095" s="1" t="str">
        <f>IFERROR(__xludf.DUMMYFUNCTION("GOOGLETRANSLATE(B2095,""en"",""pt-br"")"),"positivo")</f>
        <v>positivo</v>
      </c>
    </row>
    <row r="2096" ht="15.75" customHeight="1">
      <c r="A2096" s="2" t="s">
        <v>2095</v>
      </c>
      <c r="B2096" s="2" t="s">
        <v>3</v>
      </c>
      <c r="C2096" s="1" t="str">
        <f>IFERROR(__xludf.DUMMYFUNCTION("GOOGLETRANSLATE(A2096,""en"",""pt-br"")"),"evade")</f>
        <v>evade</v>
      </c>
      <c r="D2096" s="1" t="str">
        <f>IFERROR(__xludf.DUMMYFUNCTION("GOOGLETRANSLATE(B2096,""en"",""pt-br"")"),"negativo")</f>
        <v>negativo</v>
      </c>
    </row>
    <row r="2097" ht="15.75" customHeight="1">
      <c r="A2097" s="2" t="s">
        <v>2096</v>
      </c>
      <c r="B2097" s="2" t="s">
        <v>14</v>
      </c>
      <c r="C2097" s="1" t="str">
        <f>IFERROR(__xludf.DUMMYFUNCTION("GOOGLETRANSLATE(A2097,""en"",""pt-br"")"),"avaliativo")</f>
        <v>avaliativo</v>
      </c>
      <c r="D2097" s="1" t="str">
        <f>IFERROR(__xludf.DUMMYFUNCTION("GOOGLETRANSLATE(B2097,""en"",""pt-br"")"),"positivo")</f>
        <v>positivo</v>
      </c>
    </row>
    <row r="2098" ht="15.75" customHeight="1">
      <c r="A2098" s="2" t="s">
        <v>2097</v>
      </c>
      <c r="B2098" s="2" t="s">
        <v>3</v>
      </c>
      <c r="C2098" s="1" t="str">
        <f>IFERROR(__xludf.DUMMYFUNCTION("GOOGLETRANSLATE(A2098,""en"",""pt-br"")"),"evasão")</f>
        <v>evasão</v>
      </c>
      <c r="D2098" s="1" t="str">
        <f>IFERROR(__xludf.DUMMYFUNCTION("GOOGLETRANSLATE(B2098,""en"",""pt-br"")"),"negativo")</f>
        <v>negativo</v>
      </c>
    </row>
    <row r="2099" ht="15.75" customHeight="1">
      <c r="A2099" s="2" t="s">
        <v>2098</v>
      </c>
      <c r="B2099" s="2" t="s">
        <v>3</v>
      </c>
      <c r="C2099" s="1" t="str">
        <f>IFERROR(__xludf.DUMMYFUNCTION("GOOGLETRANSLATE(A2099,""en"",""pt-br"")"),"evasivo")</f>
        <v>evasivo</v>
      </c>
      <c r="D2099" s="1" t="str">
        <f>IFERROR(__xludf.DUMMYFUNCTION("GOOGLETRANSLATE(B2099,""en"",""pt-br"")"),"negativo")</f>
        <v>negativo</v>
      </c>
    </row>
    <row r="2100" ht="15.75" customHeight="1">
      <c r="A2100" s="2" t="s">
        <v>2099</v>
      </c>
      <c r="B2100" s="2" t="s">
        <v>14</v>
      </c>
      <c r="C2100" s="1" t="str">
        <f>IFERROR(__xludf.DUMMYFUNCTION("GOOGLETRANSLATE(A2100,""en"",""pt-br"")"),"uniformemente")</f>
        <v>uniformemente</v>
      </c>
      <c r="D2100" s="1" t="str">
        <f>IFERROR(__xludf.DUMMYFUNCTION("GOOGLETRANSLATE(B2100,""en"",""pt-br"")"),"positivo")</f>
        <v>positivo</v>
      </c>
    </row>
    <row r="2101" ht="15.75" customHeight="1">
      <c r="A2101" s="2" t="s">
        <v>2100</v>
      </c>
      <c r="B2101" s="2" t="s">
        <v>14</v>
      </c>
      <c r="C2101" s="1" t="str">
        <f>IFERROR(__xludf.DUMMYFUNCTION("GOOGLETRANSLATE(A2101,""en"",""pt-br"")"),"agitado")</f>
        <v>agitado</v>
      </c>
      <c r="D2101" s="1" t="str">
        <f>IFERROR(__xludf.DUMMYFUNCTION("GOOGLETRANSLATE(B2101,""en"",""pt-br"")"),"positivo")</f>
        <v>positivo</v>
      </c>
    </row>
    <row r="2102" ht="15.75" customHeight="1">
      <c r="A2102" s="2" t="s">
        <v>2101</v>
      </c>
      <c r="B2102" s="2" t="s">
        <v>14</v>
      </c>
      <c r="C2102" s="1" t="str">
        <f>IFERROR(__xludf.DUMMYFUNCTION("GOOGLETRANSLATE(A2102,""en"",""pt-br"")"),"eterno")</f>
        <v>eterno</v>
      </c>
      <c r="D2102" s="1" t="str">
        <f>IFERROR(__xludf.DUMMYFUNCTION("GOOGLETRANSLATE(B2102,""en"",""pt-br"")"),"positivo")</f>
        <v>positivo</v>
      </c>
    </row>
    <row r="2103" ht="15.75" customHeight="1">
      <c r="A2103" s="2" t="s">
        <v>2102</v>
      </c>
      <c r="B2103" s="2" t="s">
        <v>3</v>
      </c>
      <c r="C2103" s="1" t="str">
        <f>IFERROR(__xludf.DUMMYFUNCTION("GOOGLETRANSLATE(A2103,""en"",""pt-br"")"),"mal")</f>
        <v>mal</v>
      </c>
      <c r="D2103" s="1" t="str">
        <f>IFERROR(__xludf.DUMMYFUNCTION("GOOGLETRANSLATE(B2103,""en"",""pt-br"")"),"negativo")</f>
        <v>negativo</v>
      </c>
    </row>
    <row r="2104" ht="15.75" customHeight="1">
      <c r="A2104" s="2" t="s">
        <v>2103</v>
      </c>
      <c r="B2104" s="2" t="s">
        <v>3</v>
      </c>
      <c r="C2104" s="1" t="str">
        <f>IFERROR(__xludf.DUMMYFUNCTION("GOOGLETRANSLATE(A2104,""en"",""pt-br"")"),"malfeitor")</f>
        <v>malfeitor</v>
      </c>
      <c r="D2104" s="1" t="str">
        <f>IFERROR(__xludf.DUMMYFUNCTION("GOOGLETRANSLATE(B2104,""en"",""pt-br"")"),"negativo")</f>
        <v>negativo</v>
      </c>
    </row>
    <row r="2105" ht="15.75" customHeight="1">
      <c r="A2105" s="2" t="s">
        <v>2104</v>
      </c>
      <c r="B2105" s="2" t="s">
        <v>3</v>
      </c>
      <c r="C2105" s="1" t="str">
        <f>IFERROR(__xludf.DUMMYFUNCTION("GOOGLETRANSLATE(A2105,""en"",""pt-br"")"),"males")</f>
        <v>males</v>
      </c>
      <c r="D2105" s="1" t="str">
        <f>IFERROR(__xludf.DUMMYFUNCTION("GOOGLETRANSLATE(B2105,""en"",""pt-br"")"),"negativo")</f>
        <v>negativo</v>
      </c>
    </row>
    <row r="2106" ht="15.75" customHeight="1">
      <c r="A2106" s="2" t="s">
        <v>2105</v>
      </c>
      <c r="B2106" s="2" t="s">
        <v>3</v>
      </c>
      <c r="C2106" s="1" t="str">
        <f>IFERROR(__xludf.DUMMYFUNCTION("GOOGLETRANSLATE(A2106,""en"",""pt-br"")"),"Eviscerate")</f>
        <v>Eviscerate</v>
      </c>
      <c r="D2106" s="1" t="str">
        <f>IFERROR(__xludf.DUMMYFUNCTION("GOOGLETRANSLATE(B2106,""en"",""pt-br"")"),"negativo")</f>
        <v>negativo</v>
      </c>
    </row>
    <row r="2107" ht="15.75" customHeight="1">
      <c r="A2107" s="2" t="s">
        <v>2106</v>
      </c>
      <c r="B2107" s="2" t="s">
        <v>14</v>
      </c>
      <c r="C2107" s="1" t="str">
        <f>IFERROR(__xludf.DUMMYFUNCTION("GOOGLETRANSLATE(A2107,""en"",""pt-br"")"),"evocativo")</f>
        <v>evocativo</v>
      </c>
      <c r="D2107" s="1" t="str">
        <f>IFERROR(__xludf.DUMMYFUNCTION("GOOGLETRANSLATE(B2107,""en"",""pt-br"")"),"positivo")</f>
        <v>positivo</v>
      </c>
    </row>
    <row r="2108" ht="15.75" customHeight="1">
      <c r="A2108" s="2" t="s">
        <v>2107</v>
      </c>
      <c r="B2108" s="2" t="s">
        <v>3</v>
      </c>
      <c r="C2108" s="1" t="str">
        <f>IFERROR(__xludf.DUMMYFUNCTION("GOOGLETRANSLATE(A2108,""en"",""pt-br"")"),"exacerbar")</f>
        <v>exacerbar</v>
      </c>
      <c r="D2108" s="1" t="str">
        <f>IFERROR(__xludf.DUMMYFUNCTION("GOOGLETRANSLATE(B2108,""en"",""pt-br"")"),"negativo")</f>
        <v>negativo</v>
      </c>
    </row>
    <row r="2109" ht="15.75" customHeight="1">
      <c r="A2109" s="2" t="s">
        <v>2108</v>
      </c>
      <c r="B2109" s="2" t="s">
        <v>3</v>
      </c>
      <c r="C2109" s="1" t="str">
        <f>IFERROR(__xludf.DUMMYFUNCTION("GOOGLETRANSLATE(A2109,""en"",""pt-br"")"),"exagerate")</f>
        <v>exagerate</v>
      </c>
      <c r="D2109" s="1" t="str">
        <f>IFERROR(__xludf.DUMMYFUNCTION("GOOGLETRANSLATE(B2109,""en"",""pt-br"")"),"negativo")</f>
        <v>negativo</v>
      </c>
    </row>
    <row r="2110" ht="15.75" customHeight="1">
      <c r="A2110" s="2" t="s">
        <v>2109</v>
      </c>
      <c r="B2110" s="2" t="s">
        <v>3</v>
      </c>
      <c r="C2110" s="1" t="str">
        <f>IFERROR(__xludf.DUMMYFUNCTION("GOOGLETRANSLATE(A2110,""en"",""pt-br"")"),"exagerado")</f>
        <v>exagerado</v>
      </c>
      <c r="D2110" s="1" t="str">
        <f>IFERROR(__xludf.DUMMYFUNCTION("GOOGLETRANSLATE(B2110,""en"",""pt-br"")"),"negativo")</f>
        <v>negativo</v>
      </c>
    </row>
    <row r="2111" ht="15.75" customHeight="1">
      <c r="A2111" s="2" t="s">
        <v>2110</v>
      </c>
      <c r="B2111" s="2" t="s">
        <v>3</v>
      </c>
      <c r="C2111" s="1" t="str">
        <f>IFERROR(__xludf.DUMMYFUNCTION("GOOGLETRANSLATE(A2111,""en"",""pt-br"")"),"exagerates")</f>
        <v>exagerates</v>
      </c>
      <c r="D2111" s="1" t="str">
        <f>IFERROR(__xludf.DUMMYFUNCTION("GOOGLETRANSLATE(B2111,""en"",""pt-br"")"),"negativo")</f>
        <v>negativo</v>
      </c>
    </row>
    <row r="2112" ht="15.75" customHeight="1">
      <c r="A2112" s="2" t="s">
        <v>2111</v>
      </c>
      <c r="B2112" s="2" t="s">
        <v>3</v>
      </c>
      <c r="C2112" s="1" t="str">
        <f>IFERROR(__xludf.DUMMYFUNCTION("GOOGLETRANSLATE(A2112,""en"",""pt-br"")"),"exagerar")</f>
        <v>exagerar</v>
      </c>
      <c r="D2112" s="1" t="str">
        <f>IFERROR(__xludf.DUMMYFUNCTION("GOOGLETRANSLATE(B2112,""en"",""pt-br"")"),"negativo")</f>
        <v>negativo</v>
      </c>
    </row>
    <row r="2113" ht="15.75" customHeight="1">
      <c r="A2113" s="2" t="s">
        <v>2112</v>
      </c>
      <c r="B2113" s="2" t="s">
        <v>3</v>
      </c>
      <c r="C2113" s="1" t="str">
        <f>IFERROR(__xludf.DUMMYFUNCTION("GOOGLETRANSLATE(A2113,""en"",""pt-br"")"),"exagero")</f>
        <v>exagero</v>
      </c>
      <c r="D2113" s="1" t="str">
        <f>IFERROR(__xludf.DUMMYFUNCTION("GOOGLETRANSLATE(B2113,""en"",""pt-br"")"),"negativo")</f>
        <v>negativo</v>
      </c>
    </row>
    <row r="2114" ht="15.75" customHeight="1">
      <c r="A2114" s="2" t="s">
        <v>2113</v>
      </c>
      <c r="B2114" s="2" t="s">
        <v>14</v>
      </c>
      <c r="C2114" s="1" t="str">
        <f>IFERROR(__xludf.DUMMYFUNCTION("GOOGLETRANSLATE(A2114,""en"",""pt-br"")"),"exaltar")</f>
        <v>exaltar</v>
      </c>
      <c r="D2114" s="1" t="str">
        <f>IFERROR(__xludf.DUMMYFUNCTION("GOOGLETRANSLATE(B2114,""en"",""pt-br"")"),"positivo")</f>
        <v>positivo</v>
      </c>
    </row>
    <row r="2115" ht="15.75" customHeight="1">
      <c r="A2115" s="2" t="s">
        <v>2114</v>
      </c>
      <c r="B2115" s="2" t="s">
        <v>14</v>
      </c>
      <c r="C2115" s="1" t="str">
        <f>IFERROR(__xludf.DUMMYFUNCTION("GOOGLETRANSLATE(A2115,""en"",""pt-br"")"),"exaltação")</f>
        <v>exaltação</v>
      </c>
      <c r="D2115" s="1" t="str">
        <f>IFERROR(__xludf.DUMMYFUNCTION("GOOGLETRANSLATE(B2115,""en"",""pt-br"")"),"positivo")</f>
        <v>positivo</v>
      </c>
    </row>
    <row r="2116" ht="15.75" customHeight="1">
      <c r="A2116" s="2" t="s">
        <v>2115</v>
      </c>
      <c r="B2116" s="2" t="s">
        <v>14</v>
      </c>
      <c r="C2116" s="1" t="str">
        <f>IFERROR(__xludf.DUMMYFUNCTION("GOOGLETRANSLATE(A2116,""en"",""pt-br"")"),"exaltado")</f>
        <v>exaltado</v>
      </c>
      <c r="D2116" s="1" t="str">
        <f>IFERROR(__xludf.DUMMYFUNCTION("GOOGLETRANSLATE(B2116,""en"",""pt-br"")"),"positivo")</f>
        <v>positivo</v>
      </c>
    </row>
    <row r="2117" ht="15.75" customHeight="1">
      <c r="A2117" s="2" t="s">
        <v>2116</v>
      </c>
      <c r="B2117" s="2" t="s">
        <v>14</v>
      </c>
      <c r="C2117" s="1" t="str">
        <f>IFERROR(__xludf.DUMMYFUNCTION("GOOGLETRANSLATE(A2117,""en"",""pt-br"")"),"exaltadamente")</f>
        <v>exaltadamente</v>
      </c>
      <c r="D2117" s="1" t="str">
        <f>IFERROR(__xludf.DUMMYFUNCTION("GOOGLETRANSLATE(B2117,""en"",""pt-br"")"),"positivo")</f>
        <v>positivo</v>
      </c>
    </row>
    <row r="2118" ht="15.75" customHeight="1">
      <c r="A2118" s="2" t="s">
        <v>2117</v>
      </c>
      <c r="B2118" s="2" t="s">
        <v>14</v>
      </c>
      <c r="C2118" s="1" t="str">
        <f>IFERROR(__xludf.DUMMYFUNCTION("GOOGLETRANSLATE(A2118,""en"",""pt-br"")"),"exaltando")</f>
        <v>exaltando</v>
      </c>
      <c r="D2118" s="1" t="str">
        <f>IFERROR(__xludf.DUMMYFUNCTION("GOOGLETRANSLATE(B2118,""en"",""pt-br"")"),"positivo")</f>
        <v>positivo</v>
      </c>
    </row>
    <row r="2119" ht="15.75" customHeight="1">
      <c r="A2119" s="2" t="s">
        <v>2118</v>
      </c>
      <c r="B2119" s="2" t="s">
        <v>14</v>
      </c>
      <c r="C2119" s="1" t="str">
        <f>IFERROR(__xludf.DUMMYFUNCTION("GOOGLETRANSLATE(A2119,""en"",""pt-br"")"),"exaltingly")</f>
        <v>exaltingly</v>
      </c>
      <c r="D2119" s="1" t="str">
        <f>IFERROR(__xludf.DUMMYFUNCTION("GOOGLETRANSLATE(B2119,""en"",""pt-br"")"),"positivo")</f>
        <v>positivo</v>
      </c>
    </row>
    <row r="2120" ht="15.75" customHeight="1">
      <c r="A2120" s="2" t="s">
        <v>2119</v>
      </c>
      <c r="B2120" s="2" t="s">
        <v>14</v>
      </c>
      <c r="C2120" s="1" t="str">
        <f>IFERROR(__xludf.DUMMYFUNCTION("GOOGLETRANSLATE(A2120,""en"",""pt-br"")"),"examplar")</f>
        <v>examplar</v>
      </c>
      <c r="D2120" s="1" t="str">
        <f>IFERROR(__xludf.DUMMYFUNCTION("GOOGLETRANSLATE(B2120,""en"",""pt-br"")"),"positivo")</f>
        <v>positivo</v>
      </c>
    </row>
    <row r="2121" ht="15.75" customHeight="1">
      <c r="A2121" s="2" t="s">
        <v>2120</v>
      </c>
      <c r="B2121" s="2" t="s">
        <v>14</v>
      </c>
      <c r="C2121" s="1" t="str">
        <f>IFERROR(__xludf.DUMMYFUNCTION("GOOGLETRANSLATE(A2121,""en"",""pt-br"")"),"examplary")</f>
        <v>examplary</v>
      </c>
      <c r="D2121" s="1" t="str">
        <f>IFERROR(__xludf.DUMMYFUNCTION("GOOGLETRANSLATE(B2121,""en"",""pt-br"")"),"positivo")</f>
        <v>positivo</v>
      </c>
    </row>
    <row r="2122" ht="15.75" customHeight="1">
      <c r="A2122" s="2" t="s">
        <v>2121</v>
      </c>
      <c r="B2122" s="2" t="s">
        <v>3</v>
      </c>
      <c r="C2122" s="1" t="str">
        <f>IFERROR(__xludf.DUMMYFUNCTION("GOOGLETRANSLATE(A2122,""en"",""pt-br"")"),"exasperar")</f>
        <v>exasperar</v>
      </c>
      <c r="D2122" s="1" t="str">
        <f>IFERROR(__xludf.DUMMYFUNCTION("GOOGLETRANSLATE(B2122,""en"",""pt-br"")"),"negativo")</f>
        <v>negativo</v>
      </c>
    </row>
    <row r="2123" ht="15.75" customHeight="1">
      <c r="A2123" s="2" t="s">
        <v>2122</v>
      </c>
      <c r="B2123" s="2" t="s">
        <v>3</v>
      </c>
      <c r="C2123" s="1" t="str">
        <f>IFERROR(__xludf.DUMMYFUNCTION("GOOGLETRANSLATE(A2123,""en"",""pt-br"")"),"exasperado")</f>
        <v>exasperado</v>
      </c>
      <c r="D2123" s="1" t="str">
        <f>IFERROR(__xludf.DUMMYFUNCTION("GOOGLETRANSLATE(B2123,""en"",""pt-br"")"),"negativo")</f>
        <v>negativo</v>
      </c>
    </row>
    <row r="2124" ht="15.75" customHeight="1">
      <c r="A2124" s="2" t="s">
        <v>2123</v>
      </c>
      <c r="B2124" s="2" t="s">
        <v>3</v>
      </c>
      <c r="C2124" s="1" t="str">
        <f>IFERROR(__xludf.DUMMYFUNCTION("GOOGLETRANSLATE(A2124,""en"",""pt-br"")"),"exasperante")</f>
        <v>exasperante</v>
      </c>
      <c r="D2124" s="1" t="str">
        <f>IFERROR(__xludf.DUMMYFUNCTION("GOOGLETRANSLATE(B2124,""en"",""pt-br"")"),"negativo")</f>
        <v>negativo</v>
      </c>
    </row>
    <row r="2125" ht="15.75" customHeight="1">
      <c r="A2125" s="2" t="s">
        <v>2124</v>
      </c>
      <c r="B2125" s="2" t="s">
        <v>3</v>
      </c>
      <c r="C2125" s="1" t="str">
        <f>IFERROR(__xludf.DUMMYFUNCTION("GOOGLETRANSLATE(A2125,""en"",""pt-br"")"),"exasperatingly")</f>
        <v>exasperatingly</v>
      </c>
      <c r="D2125" s="1" t="str">
        <f>IFERROR(__xludf.DUMMYFUNCTION("GOOGLETRANSLATE(B2125,""en"",""pt-br"")"),"negativo")</f>
        <v>negativo</v>
      </c>
    </row>
    <row r="2126" ht="15.75" customHeight="1">
      <c r="A2126" s="2" t="s">
        <v>2125</v>
      </c>
      <c r="B2126" s="2" t="s">
        <v>3</v>
      </c>
      <c r="C2126" s="1" t="str">
        <f>IFERROR(__xludf.DUMMYFUNCTION("GOOGLETRANSLATE(A2126,""en"",""pt-br"")"),"exasperação")</f>
        <v>exasperação</v>
      </c>
      <c r="D2126" s="1" t="str">
        <f>IFERROR(__xludf.DUMMYFUNCTION("GOOGLETRANSLATE(B2126,""en"",""pt-br"")"),"negativo")</f>
        <v>negativo</v>
      </c>
    </row>
    <row r="2127" ht="15.75" customHeight="1">
      <c r="A2127" s="2" t="s">
        <v>2126</v>
      </c>
      <c r="B2127" s="2" t="s">
        <v>14</v>
      </c>
      <c r="C2127" s="1" t="str">
        <f>IFERROR(__xludf.DUMMYFUNCTION("GOOGLETRANSLATE(A2127,""en"",""pt-br"")"),"excallent")</f>
        <v>excallent</v>
      </c>
      <c r="D2127" s="1" t="str">
        <f>IFERROR(__xludf.DUMMYFUNCTION("GOOGLETRANSLATE(B2127,""en"",""pt-br"")"),"positivo")</f>
        <v>positivo</v>
      </c>
    </row>
    <row r="2128" ht="15.75" customHeight="1">
      <c r="A2128" s="2" t="s">
        <v>2127</v>
      </c>
      <c r="B2128" s="2" t="s">
        <v>14</v>
      </c>
      <c r="C2128" s="1" t="str">
        <f>IFERROR(__xludf.DUMMYFUNCTION("GOOGLETRANSLATE(A2128,""en"",""pt-br"")"),"ultrapassarem")</f>
        <v>ultrapassarem</v>
      </c>
      <c r="D2128" s="1" t="str">
        <f>IFERROR(__xludf.DUMMYFUNCTION("GOOGLETRANSLATE(B2128,""en"",""pt-br"")"),"positivo")</f>
        <v>positivo</v>
      </c>
    </row>
    <row r="2129" ht="15.75" customHeight="1">
      <c r="A2129" s="2" t="s">
        <v>2128</v>
      </c>
      <c r="B2129" s="2" t="s">
        <v>14</v>
      </c>
      <c r="C2129" s="1" t="str">
        <f>IFERROR(__xludf.DUMMYFUNCTION("GOOGLETRANSLATE(A2129,""en"",""pt-br"")"),"excedido")</f>
        <v>excedido</v>
      </c>
      <c r="D2129" s="1" t="str">
        <f>IFERROR(__xludf.DUMMYFUNCTION("GOOGLETRANSLATE(B2129,""en"",""pt-br"")"),"positivo")</f>
        <v>positivo</v>
      </c>
    </row>
    <row r="2130" ht="15.75" customHeight="1">
      <c r="A2130" s="2" t="s">
        <v>2129</v>
      </c>
      <c r="B2130" s="2" t="s">
        <v>14</v>
      </c>
      <c r="C2130" s="1" t="str">
        <f>IFERROR(__xludf.DUMMYFUNCTION("GOOGLETRANSLATE(A2130,""en"",""pt-br"")"),"superior")</f>
        <v>superior</v>
      </c>
      <c r="D2130" s="1" t="str">
        <f>IFERROR(__xludf.DUMMYFUNCTION("GOOGLETRANSLATE(B2130,""en"",""pt-br"")"),"positivo")</f>
        <v>positivo</v>
      </c>
    </row>
    <row r="2131" ht="15.75" customHeight="1">
      <c r="A2131" s="2" t="s">
        <v>2130</v>
      </c>
      <c r="B2131" s="2" t="s">
        <v>14</v>
      </c>
      <c r="C2131" s="1" t="str">
        <f>IFERROR(__xludf.DUMMYFUNCTION("GOOGLETRANSLATE(A2131,""en"",""pt-br"")"),"extremamente")</f>
        <v>extremamente</v>
      </c>
      <c r="D2131" s="1" t="str">
        <f>IFERROR(__xludf.DUMMYFUNCTION("GOOGLETRANSLATE(B2131,""en"",""pt-br"")"),"positivo")</f>
        <v>positivo</v>
      </c>
    </row>
    <row r="2132" ht="15.75" customHeight="1">
      <c r="A2132" s="2" t="s">
        <v>2131</v>
      </c>
      <c r="B2132" s="2" t="s">
        <v>14</v>
      </c>
      <c r="C2132" s="1" t="str">
        <f>IFERROR(__xludf.DUMMYFUNCTION("GOOGLETRANSLATE(A2132,""en"",""pt-br"")"),"excede")</f>
        <v>excede</v>
      </c>
      <c r="D2132" s="1" t="str">
        <f>IFERROR(__xludf.DUMMYFUNCTION("GOOGLETRANSLATE(B2132,""en"",""pt-br"")"),"positivo")</f>
        <v>positivo</v>
      </c>
    </row>
    <row r="2133" ht="15.75" customHeight="1">
      <c r="A2133" s="2" t="s">
        <v>2132</v>
      </c>
      <c r="B2133" s="2" t="s">
        <v>14</v>
      </c>
      <c r="C2133" s="1" t="str">
        <f>IFERROR(__xludf.DUMMYFUNCTION("GOOGLETRANSLATE(A2133,""en"",""pt-br"")"),"sobressair")</f>
        <v>sobressair</v>
      </c>
      <c r="D2133" s="1" t="str">
        <f>IFERROR(__xludf.DUMMYFUNCTION("GOOGLETRANSLATE(B2133,""en"",""pt-br"")"),"positivo")</f>
        <v>positivo</v>
      </c>
    </row>
    <row r="2134" ht="15.75" customHeight="1">
      <c r="A2134" s="2" t="s">
        <v>2133</v>
      </c>
      <c r="B2134" s="2" t="s">
        <v>14</v>
      </c>
      <c r="C2134" s="1" t="str">
        <f>IFERROR(__xludf.DUMMYFUNCTION("GOOGLETRANSLATE(A2134,""en"",""pt-br"")"),"exceled")</f>
        <v>exceled</v>
      </c>
      <c r="D2134" s="1" t="str">
        <f>IFERROR(__xludf.DUMMYFUNCTION("GOOGLETRANSLATE(B2134,""en"",""pt-br"")"),"positivo")</f>
        <v>positivo</v>
      </c>
    </row>
    <row r="2135" ht="15.75" customHeight="1">
      <c r="A2135" s="2" t="s">
        <v>2134</v>
      </c>
      <c r="B2135" s="2" t="s">
        <v>14</v>
      </c>
      <c r="C2135" s="1" t="str">
        <f>IFERROR(__xludf.DUMMYFUNCTION("GOOGLETRANSLATE(A2135,""en"",""pt-br"")"),"excelente")</f>
        <v>excelente</v>
      </c>
      <c r="D2135" s="1" t="str">
        <f>IFERROR(__xludf.DUMMYFUNCTION("GOOGLETRANSLATE(B2135,""en"",""pt-br"")"),"positivo")</f>
        <v>positivo</v>
      </c>
    </row>
    <row r="2136" ht="15.75" customHeight="1">
      <c r="A2136" s="2" t="s">
        <v>2135</v>
      </c>
      <c r="B2136" s="2" t="s">
        <v>14</v>
      </c>
      <c r="C2136" s="1" t="str">
        <f>IFERROR(__xludf.DUMMYFUNCTION("GOOGLETRANSLATE(A2136,""en"",""pt-br"")"),"Boa localização")</f>
        <v>Boa localização</v>
      </c>
      <c r="D2136" s="1" t="str">
        <f>IFERROR(__xludf.DUMMYFUNCTION("GOOGLETRANSLATE(B2136,""en"",""pt-br"")"),"positivo")</f>
        <v>positivo</v>
      </c>
    </row>
    <row r="2137" ht="15.75" customHeight="1">
      <c r="A2137" s="2" t="s">
        <v>2136</v>
      </c>
      <c r="B2137" s="2" t="s">
        <v>14</v>
      </c>
      <c r="C2137" s="1" t="str">
        <f>IFERROR(__xludf.DUMMYFUNCTION("GOOGLETRANSLATE(A2137,""en"",""pt-br"")"),"Excelled")</f>
        <v>Excelled</v>
      </c>
      <c r="D2137" s="1" t="str">
        <f>IFERROR(__xludf.DUMMYFUNCTION("GOOGLETRANSLATE(B2137,""en"",""pt-br"")"),"positivo")</f>
        <v>positivo</v>
      </c>
    </row>
    <row r="2138" ht="15.75" customHeight="1">
      <c r="A2138" s="2" t="s">
        <v>2137</v>
      </c>
      <c r="B2138" s="2" t="s">
        <v>14</v>
      </c>
      <c r="C2138" s="1" t="str">
        <f>IFERROR(__xludf.DUMMYFUNCTION("GOOGLETRANSLATE(A2138,""en"",""pt-br"")"),"excelência")</f>
        <v>excelência</v>
      </c>
      <c r="D2138" s="1" t="str">
        <f>IFERROR(__xludf.DUMMYFUNCTION("GOOGLETRANSLATE(B2138,""en"",""pt-br"")"),"positivo")</f>
        <v>positivo</v>
      </c>
    </row>
    <row r="2139" ht="15.75" customHeight="1">
      <c r="A2139" s="2" t="s">
        <v>2138</v>
      </c>
      <c r="B2139" s="2" t="s">
        <v>14</v>
      </c>
      <c r="C2139" s="1" t="str">
        <f>IFERROR(__xludf.DUMMYFUNCTION("GOOGLETRANSLATE(A2139,""en"",""pt-br"")"),"excelência")</f>
        <v>excelência</v>
      </c>
      <c r="D2139" s="1" t="str">
        <f>IFERROR(__xludf.DUMMYFUNCTION("GOOGLETRANSLATE(B2139,""en"",""pt-br"")"),"positivo")</f>
        <v>positivo</v>
      </c>
    </row>
    <row r="2140" ht="15.75" customHeight="1">
      <c r="A2140" s="2" t="s">
        <v>2139</v>
      </c>
      <c r="B2140" s="2" t="s">
        <v>14</v>
      </c>
      <c r="C2140" s="1" t="str">
        <f>IFERROR(__xludf.DUMMYFUNCTION("GOOGLETRANSLATE(A2140,""en"",""pt-br"")"),"excelente")</f>
        <v>excelente</v>
      </c>
      <c r="D2140" s="1" t="str">
        <f>IFERROR(__xludf.DUMMYFUNCTION("GOOGLETRANSLATE(B2140,""en"",""pt-br"")"),"positivo")</f>
        <v>positivo</v>
      </c>
    </row>
    <row r="2141" ht="15.75" customHeight="1">
      <c r="A2141" s="2" t="s">
        <v>2140</v>
      </c>
      <c r="B2141" s="2" t="s">
        <v>14</v>
      </c>
      <c r="C2141" s="1" t="str">
        <f>IFERROR(__xludf.DUMMYFUNCTION("GOOGLETRANSLATE(A2141,""en"",""pt-br"")"),"excelentemente")</f>
        <v>excelentemente</v>
      </c>
      <c r="D2141" s="1" t="str">
        <f>IFERROR(__xludf.DUMMYFUNCTION("GOOGLETRANSLATE(B2141,""en"",""pt-br"")"),"positivo")</f>
        <v>positivo</v>
      </c>
    </row>
    <row r="2142" ht="15.75" customHeight="1">
      <c r="A2142" s="2" t="s">
        <v>2141</v>
      </c>
      <c r="B2142" s="2" t="s">
        <v>14</v>
      </c>
      <c r="C2142" s="1" t="str">
        <f>IFERROR(__xludf.DUMMYFUNCTION("GOOGLETRANSLATE(A2142,""en"",""pt-br"")"),"sobressai")</f>
        <v>sobressai</v>
      </c>
      <c r="D2142" s="1" t="str">
        <f>IFERROR(__xludf.DUMMYFUNCTION("GOOGLETRANSLATE(B2142,""en"",""pt-br"")"),"positivo")</f>
        <v>positivo</v>
      </c>
    </row>
    <row r="2143" ht="15.75" customHeight="1">
      <c r="A2143" s="2" t="s">
        <v>2142</v>
      </c>
      <c r="B2143" s="2" t="s">
        <v>14</v>
      </c>
      <c r="C2143" s="1" t="str">
        <f>IFERROR(__xludf.DUMMYFUNCTION("GOOGLETRANSLATE(A2143,""en"",""pt-br"")"),"excepcional")</f>
        <v>excepcional</v>
      </c>
      <c r="D2143" s="1" t="str">
        <f>IFERROR(__xludf.DUMMYFUNCTION("GOOGLETRANSLATE(B2143,""en"",""pt-br"")"),"positivo")</f>
        <v>positivo</v>
      </c>
    </row>
    <row r="2144" ht="15.75" customHeight="1">
      <c r="A2144" s="2" t="s">
        <v>2143</v>
      </c>
      <c r="B2144" s="2" t="s">
        <v>14</v>
      </c>
      <c r="C2144" s="1" t="str">
        <f>IFERROR(__xludf.DUMMYFUNCTION("GOOGLETRANSLATE(A2144,""en"",""pt-br"")"),"excepcionalmente")</f>
        <v>excepcionalmente</v>
      </c>
      <c r="D2144" s="1" t="str">
        <f>IFERROR(__xludf.DUMMYFUNCTION("GOOGLETRANSLATE(B2144,""en"",""pt-br"")"),"positivo")</f>
        <v>positivo</v>
      </c>
    </row>
    <row r="2145" ht="15.75" customHeight="1">
      <c r="A2145" s="2" t="s">
        <v>2144</v>
      </c>
      <c r="B2145" s="2" t="s">
        <v>3</v>
      </c>
      <c r="C2145" s="1" t="str">
        <f>IFERROR(__xludf.DUMMYFUNCTION("GOOGLETRANSLATE(A2145,""en"",""pt-br"")"),"excessivo")</f>
        <v>excessivo</v>
      </c>
      <c r="D2145" s="1" t="str">
        <f>IFERROR(__xludf.DUMMYFUNCTION("GOOGLETRANSLATE(B2145,""en"",""pt-br"")"),"negativo")</f>
        <v>negativo</v>
      </c>
    </row>
    <row r="2146" ht="15.75" customHeight="1">
      <c r="A2146" s="2" t="s">
        <v>2145</v>
      </c>
      <c r="B2146" s="2" t="s">
        <v>3</v>
      </c>
      <c r="C2146" s="1" t="str">
        <f>IFERROR(__xludf.DUMMYFUNCTION("GOOGLETRANSLATE(A2146,""en"",""pt-br"")"),"excessivamente")</f>
        <v>excessivamente</v>
      </c>
      <c r="D2146" s="1" t="str">
        <f>IFERROR(__xludf.DUMMYFUNCTION("GOOGLETRANSLATE(B2146,""en"",""pt-br"")"),"negativo")</f>
        <v>negativo</v>
      </c>
    </row>
    <row r="2147" ht="15.75" customHeight="1">
      <c r="A2147" s="2" t="s">
        <v>2146</v>
      </c>
      <c r="B2147" s="2" t="s">
        <v>14</v>
      </c>
      <c r="C2147" s="1" t="str">
        <f>IFERROR(__xludf.DUMMYFUNCTION("GOOGLETRANSLATE(A2147,""en"",""pt-br"")"),"excitar")</f>
        <v>excitar</v>
      </c>
      <c r="D2147" s="1" t="str">
        <f>IFERROR(__xludf.DUMMYFUNCTION("GOOGLETRANSLATE(B2147,""en"",""pt-br"")"),"positivo")</f>
        <v>positivo</v>
      </c>
    </row>
    <row r="2148" ht="15.75" customHeight="1">
      <c r="A2148" s="2" t="s">
        <v>2147</v>
      </c>
      <c r="B2148" s="2" t="s">
        <v>14</v>
      </c>
      <c r="C2148" s="1" t="str">
        <f>IFERROR(__xludf.DUMMYFUNCTION("GOOGLETRANSLATE(A2148,""en"",""pt-br"")"),"animado")</f>
        <v>animado</v>
      </c>
      <c r="D2148" s="1" t="str">
        <f>IFERROR(__xludf.DUMMYFUNCTION("GOOGLETRANSLATE(B2148,""en"",""pt-br"")"),"positivo")</f>
        <v>positivo</v>
      </c>
    </row>
    <row r="2149" ht="15.75" customHeight="1">
      <c r="A2149" s="2" t="s">
        <v>2148</v>
      </c>
      <c r="B2149" s="2" t="s">
        <v>14</v>
      </c>
      <c r="C2149" s="1" t="str">
        <f>IFERROR(__xludf.DUMMYFUNCTION("GOOGLETRANSLATE(A2149,""en"",""pt-br"")"),"animadamente")</f>
        <v>animadamente</v>
      </c>
      <c r="D2149" s="1" t="str">
        <f>IFERROR(__xludf.DUMMYFUNCTION("GOOGLETRANSLATE(B2149,""en"",""pt-br"")"),"positivo")</f>
        <v>positivo</v>
      </c>
    </row>
    <row r="2150" ht="15.75" customHeight="1">
      <c r="A2150" s="2" t="s">
        <v>2149</v>
      </c>
      <c r="B2150" s="2" t="s">
        <v>14</v>
      </c>
      <c r="C2150" s="1" t="str">
        <f>IFERROR(__xludf.DUMMYFUNCTION("GOOGLETRANSLATE(A2150,""en"",""pt-br"")"),"excitedness")</f>
        <v>excitedness</v>
      </c>
      <c r="D2150" s="1" t="str">
        <f>IFERROR(__xludf.DUMMYFUNCTION("GOOGLETRANSLATE(B2150,""en"",""pt-br"")"),"positivo")</f>
        <v>positivo</v>
      </c>
    </row>
    <row r="2151" ht="15.75" customHeight="1">
      <c r="A2151" s="2" t="s">
        <v>2150</v>
      </c>
      <c r="B2151" s="2" t="s">
        <v>14</v>
      </c>
      <c r="C2151" s="1" t="str">
        <f>IFERROR(__xludf.DUMMYFUNCTION("GOOGLETRANSLATE(A2151,""en"",""pt-br"")"),"excitação")</f>
        <v>excitação</v>
      </c>
      <c r="D2151" s="1" t="str">
        <f>IFERROR(__xludf.DUMMYFUNCTION("GOOGLETRANSLATE(B2151,""en"",""pt-br"")"),"positivo")</f>
        <v>positivo</v>
      </c>
    </row>
    <row r="2152" ht="15.75" customHeight="1">
      <c r="A2152" s="2" t="s">
        <v>2151</v>
      </c>
      <c r="B2152" s="2" t="s">
        <v>14</v>
      </c>
      <c r="C2152" s="1" t="str">
        <f>IFERROR(__xludf.DUMMYFUNCTION("GOOGLETRANSLATE(A2152,""en"",""pt-br"")"),"excita")</f>
        <v>excita</v>
      </c>
      <c r="D2152" s="1" t="str">
        <f>IFERROR(__xludf.DUMMYFUNCTION("GOOGLETRANSLATE(B2152,""en"",""pt-br"")"),"positivo")</f>
        <v>positivo</v>
      </c>
    </row>
    <row r="2153" ht="15.75" customHeight="1">
      <c r="A2153" s="2" t="s">
        <v>2152</v>
      </c>
      <c r="B2153" s="2" t="s">
        <v>14</v>
      </c>
      <c r="C2153" s="1" t="str">
        <f>IFERROR(__xludf.DUMMYFUNCTION("GOOGLETRANSLATE(A2153,""en"",""pt-br"")"),"emocionante")</f>
        <v>emocionante</v>
      </c>
      <c r="D2153" s="1" t="str">
        <f>IFERROR(__xludf.DUMMYFUNCTION("GOOGLETRANSLATE(B2153,""en"",""pt-br"")"),"positivo")</f>
        <v>positivo</v>
      </c>
    </row>
    <row r="2154" ht="15.75" customHeight="1">
      <c r="A2154" s="2" t="s">
        <v>2153</v>
      </c>
      <c r="B2154" s="2" t="s">
        <v>14</v>
      </c>
      <c r="C2154" s="1" t="str">
        <f>IFERROR(__xludf.DUMMYFUNCTION("GOOGLETRANSLATE(A2154,""en"",""pt-br"")"),"excitingly")</f>
        <v>excitingly</v>
      </c>
      <c r="D2154" s="1" t="str">
        <f>IFERROR(__xludf.DUMMYFUNCTION("GOOGLETRANSLATE(B2154,""en"",""pt-br"")"),"positivo")</f>
        <v>positivo</v>
      </c>
    </row>
    <row r="2155" ht="15.75" customHeight="1">
      <c r="A2155" s="2" t="s">
        <v>2154</v>
      </c>
      <c r="B2155" s="2" t="s">
        <v>3</v>
      </c>
      <c r="C2155" s="1" t="str">
        <f>IFERROR(__xludf.DUMMYFUNCTION("GOOGLETRANSLATE(A2155,""en"",""pt-br"")"),"exclusão")</f>
        <v>exclusão</v>
      </c>
      <c r="D2155" s="1" t="str">
        <f>IFERROR(__xludf.DUMMYFUNCTION("GOOGLETRANSLATE(B2155,""en"",""pt-br"")"),"negativo")</f>
        <v>negativo</v>
      </c>
    </row>
    <row r="2156" ht="15.75" customHeight="1">
      <c r="A2156" s="2" t="s">
        <v>2155</v>
      </c>
      <c r="B2156" s="2" t="s">
        <v>3</v>
      </c>
      <c r="C2156" s="1" t="str">
        <f>IFERROR(__xludf.DUMMYFUNCTION("GOOGLETRANSLATE(A2156,""en"",""pt-br"")"),"excoriate")</f>
        <v>excoriate</v>
      </c>
      <c r="D2156" s="1" t="str">
        <f>IFERROR(__xludf.DUMMYFUNCTION("GOOGLETRANSLATE(B2156,""en"",""pt-br"")"),"negativo")</f>
        <v>negativo</v>
      </c>
    </row>
    <row r="2157" ht="15.75" customHeight="1">
      <c r="A2157" s="2" t="s">
        <v>2156</v>
      </c>
      <c r="B2157" s="2" t="s">
        <v>3</v>
      </c>
      <c r="C2157" s="1" t="str">
        <f>IFERROR(__xludf.DUMMYFUNCTION("GOOGLETRANSLATE(A2157,""en"",""pt-br"")"),"excruciante")</f>
        <v>excruciante</v>
      </c>
      <c r="D2157" s="1" t="str">
        <f>IFERROR(__xludf.DUMMYFUNCTION("GOOGLETRANSLATE(B2157,""en"",""pt-br"")"),"negativo")</f>
        <v>negativo</v>
      </c>
    </row>
    <row r="2158" ht="15.75" customHeight="1">
      <c r="A2158" s="2" t="s">
        <v>2157</v>
      </c>
      <c r="B2158" s="2" t="s">
        <v>3</v>
      </c>
      <c r="C2158" s="1" t="str">
        <f>IFERROR(__xludf.DUMMYFUNCTION("GOOGLETRANSLATE(A2158,""en"",""pt-br"")"),"dolorosamente")</f>
        <v>dolorosamente</v>
      </c>
      <c r="D2158" s="1" t="str">
        <f>IFERROR(__xludf.DUMMYFUNCTION("GOOGLETRANSLATE(B2158,""en"",""pt-br"")"),"negativo")</f>
        <v>negativo</v>
      </c>
    </row>
    <row r="2159" ht="15.75" customHeight="1">
      <c r="A2159" s="2" t="s">
        <v>2158</v>
      </c>
      <c r="B2159" s="2" t="s">
        <v>3</v>
      </c>
      <c r="C2159" s="1" t="str">
        <f>IFERROR(__xludf.DUMMYFUNCTION("GOOGLETRANSLATE(A2159,""en"",""pt-br"")"),"com licença")</f>
        <v>com licença</v>
      </c>
      <c r="D2159" s="1" t="str">
        <f>IFERROR(__xludf.DUMMYFUNCTION("GOOGLETRANSLATE(B2159,""en"",""pt-br"")"),"negativo")</f>
        <v>negativo</v>
      </c>
    </row>
    <row r="2160" ht="15.75" customHeight="1">
      <c r="A2160" s="2" t="s">
        <v>2159</v>
      </c>
      <c r="B2160" s="2" t="s">
        <v>3</v>
      </c>
      <c r="C2160" s="1" t="str">
        <f>IFERROR(__xludf.DUMMYFUNCTION("GOOGLETRANSLATE(A2160,""en"",""pt-br"")"),"desculpas")</f>
        <v>desculpas</v>
      </c>
      <c r="D2160" s="1" t="str">
        <f>IFERROR(__xludf.DUMMYFUNCTION("GOOGLETRANSLATE(B2160,""en"",""pt-br"")"),"negativo")</f>
        <v>negativo</v>
      </c>
    </row>
    <row r="2161" ht="15.75" customHeight="1">
      <c r="A2161" s="2" t="s">
        <v>2160</v>
      </c>
      <c r="B2161" s="2" t="s">
        <v>3</v>
      </c>
      <c r="C2161" s="1" t="str">
        <f>IFERROR(__xludf.DUMMYFUNCTION("GOOGLETRANSLATE(A2161,""en"",""pt-br"")"),"execrar")</f>
        <v>execrar</v>
      </c>
      <c r="D2161" s="1" t="str">
        <f>IFERROR(__xludf.DUMMYFUNCTION("GOOGLETRANSLATE(B2161,""en"",""pt-br"")"),"negativo")</f>
        <v>negativo</v>
      </c>
    </row>
    <row r="2162" ht="15.75" customHeight="1">
      <c r="A2162" s="2" t="s">
        <v>2161</v>
      </c>
      <c r="B2162" s="2" t="s">
        <v>14</v>
      </c>
      <c r="C2162" s="1" t="str">
        <f>IFERROR(__xludf.DUMMYFUNCTION("GOOGLETRANSLATE(A2162,""en"",""pt-br"")"),"exellent")</f>
        <v>exellent</v>
      </c>
      <c r="D2162" s="1" t="str">
        <f>IFERROR(__xludf.DUMMYFUNCTION("GOOGLETRANSLATE(B2162,""en"",""pt-br"")"),"positivo")</f>
        <v>positivo</v>
      </c>
    </row>
    <row r="2163" ht="15.75" customHeight="1">
      <c r="A2163" s="2" t="s">
        <v>2162</v>
      </c>
      <c r="B2163" s="2" t="s">
        <v>14</v>
      </c>
      <c r="C2163" s="1" t="str">
        <f>IFERROR(__xludf.DUMMYFUNCTION("GOOGLETRANSLATE(A2163,""en"",""pt-br"")"),"exemplar")</f>
        <v>exemplar</v>
      </c>
      <c r="D2163" s="1" t="str">
        <f>IFERROR(__xludf.DUMMYFUNCTION("GOOGLETRANSLATE(B2163,""en"",""pt-br"")"),"positivo")</f>
        <v>positivo</v>
      </c>
    </row>
    <row r="2164" ht="15.75" customHeight="1">
      <c r="A2164" s="2" t="s">
        <v>2163</v>
      </c>
      <c r="B2164" s="2" t="s">
        <v>14</v>
      </c>
      <c r="C2164" s="1" t="str">
        <f>IFERROR(__xludf.DUMMYFUNCTION("GOOGLETRANSLATE(A2164,""en"",""pt-br"")"),"exemplar")</f>
        <v>exemplar</v>
      </c>
      <c r="D2164" s="1" t="str">
        <f>IFERROR(__xludf.DUMMYFUNCTION("GOOGLETRANSLATE(B2164,""en"",""pt-br"")"),"positivo")</f>
        <v>positivo</v>
      </c>
    </row>
    <row r="2165" ht="15.75" customHeight="1">
      <c r="A2165" s="2" t="s">
        <v>2164</v>
      </c>
      <c r="B2165" s="2" t="s">
        <v>3</v>
      </c>
      <c r="C2165" s="1" t="str">
        <f>IFERROR(__xludf.DUMMYFUNCTION("GOOGLETRANSLATE(A2165,""en"",""pt-br"")"),"escape")</f>
        <v>escape</v>
      </c>
      <c r="D2165" s="1" t="str">
        <f>IFERROR(__xludf.DUMMYFUNCTION("GOOGLETRANSLATE(B2165,""en"",""pt-br"")"),"negativo")</f>
        <v>negativo</v>
      </c>
    </row>
    <row r="2166" ht="15.75" customHeight="1">
      <c r="A2166" s="2" t="s">
        <v>2165</v>
      </c>
      <c r="B2166" s="2" t="s">
        <v>3</v>
      </c>
      <c r="C2166" s="1" t="str">
        <f>IFERROR(__xludf.DUMMYFUNCTION("GOOGLETRANSLATE(A2166,""en"",""pt-br"")"),"Exausta")</f>
        <v>Exausta</v>
      </c>
      <c r="D2166" s="1" t="str">
        <f>IFERROR(__xludf.DUMMYFUNCTION("GOOGLETRANSLATE(B2166,""en"",""pt-br"")"),"negativo")</f>
        <v>negativo</v>
      </c>
    </row>
    <row r="2167" ht="15.75" customHeight="1">
      <c r="A2167" s="2" t="s">
        <v>2166</v>
      </c>
      <c r="B2167" s="2" t="s">
        <v>3</v>
      </c>
      <c r="C2167" s="1" t="str">
        <f>IFERROR(__xludf.DUMMYFUNCTION("GOOGLETRANSLATE(A2167,""en"",""pt-br"")"),"exaustão")</f>
        <v>exaustão</v>
      </c>
      <c r="D2167" s="1" t="str">
        <f>IFERROR(__xludf.DUMMYFUNCTION("GOOGLETRANSLATE(B2167,""en"",""pt-br"")"),"negativo")</f>
        <v>negativo</v>
      </c>
    </row>
    <row r="2168" ht="15.75" customHeight="1">
      <c r="A2168" s="2" t="s">
        <v>2167</v>
      </c>
      <c r="B2168" s="2" t="s">
        <v>3</v>
      </c>
      <c r="C2168" s="1" t="str">
        <f>IFERROR(__xludf.DUMMYFUNCTION("GOOGLETRANSLATE(A2168,""en"",""pt-br"")"),"escapamentos")</f>
        <v>escapamentos</v>
      </c>
      <c r="D2168" s="1" t="str">
        <f>IFERROR(__xludf.DUMMYFUNCTION("GOOGLETRANSLATE(B2168,""en"",""pt-br"")"),"negativo")</f>
        <v>negativo</v>
      </c>
    </row>
    <row r="2169" ht="15.75" customHeight="1">
      <c r="A2169" s="2" t="s">
        <v>2168</v>
      </c>
      <c r="B2169" s="2" t="s">
        <v>14</v>
      </c>
      <c r="C2169" s="1" t="str">
        <f>IFERROR(__xludf.DUMMYFUNCTION("GOOGLETRANSLATE(A2169,""en"",""pt-br"")"),"exhilarate")</f>
        <v>exhilarate</v>
      </c>
      <c r="D2169" s="1" t="str">
        <f>IFERROR(__xludf.DUMMYFUNCTION("GOOGLETRANSLATE(B2169,""en"",""pt-br"")"),"positivo")</f>
        <v>positivo</v>
      </c>
    </row>
    <row r="2170" ht="15.75" customHeight="1">
      <c r="A2170" s="2" t="s">
        <v>2169</v>
      </c>
      <c r="B2170" s="2" t="s">
        <v>14</v>
      </c>
      <c r="C2170" s="1" t="str">
        <f>IFERROR(__xludf.DUMMYFUNCTION("GOOGLETRANSLATE(A2170,""en"",""pt-br"")"),"emocionante")</f>
        <v>emocionante</v>
      </c>
      <c r="D2170" s="1" t="str">
        <f>IFERROR(__xludf.DUMMYFUNCTION("GOOGLETRANSLATE(B2170,""en"",""pt-br"")"),"positivo")</f>
        <v>positivo</v>
      </c>
    </row>
    <row r="2171" ht="15.75" customHeight="1">
      <c r="A2171" s="2" t="s">
        <v>2170</v>
      </c>
      <c r="B2171" s="2" t="s">
        <v>14</v>
      </c>
      <c r="C2171" s="1" t="str">
        <f>IFERROR(__xludf.DUMMYFUNCTION("GOOGLETRANSLATE(A2171,""en"",""pt-br"")"),"exhilaratingly")</f>
        <v>exhilaratingly</v>
      </c>
      <c r="D2171" s="1" t="str">
        <f>IFERROR(__xludf.DUMMYFUNCTION("GOOGLETRANSLATE(B2171,""en"",""pt-br"")"),"positivo")</f>
        <v>positivo</v>
      </c>
    </row>
    <row r="2172" ht="15.75" customHeight="1">
      <c r="A2172" s="2" t="s">
        <v>2171</v>
      </c>
      <c r="B2172" s="2" t="s">
        <v>14</v>
      </c>
      <c r="C2172" s="1" t="str">
        <f>IFERROR(__xludf.DUMMYFUNCTION("GOOGLETRANSLATE(A2172,""en"",""pt-br"")"),"alegria")</f>
        <v>alegria</v>
      </c>
      <c r="D2172" s="1" t="str">
        <f>IFERROR(__xludf.DUMMYFUNCTION("GOOGLETRANSLATE(B2172,""en"",""pt-br"")"),"positivo")</f>
        <v>positivo</v>
      </c>
    </row>
    <row r="2173" ht="15.75" customHeight="1">
      <c r="A2173" s="2" t="s">
        <v>2172</v>
      </c>
      <c r="B2173" s="2" t="s">
        <v>3</v>
      </c>
      <c r="C2173" s="1" t="str">
        <f>IFERROR(__xludf.DUMMYFUNCTION("GOOGLETRANSLATE(A2173,""en"",""pt-br"")"),"exhorbitant")</f>
        <v>exhorbitant</v>
      </c>
      <c r="D2173" s="1" t="str">
        <f>IFERROR(__xludf.DUMMYFUNCTION("GOOGLETRANSLATE(B2173,""en"",""pt-br"")"),"negativo")</f>
        <v>negativo</v>
      </c>
    </row>
    <row r="2174" ht="15.75" customHeight="1">
      <c r="A2174" s="2" t="s">
        <v>2173</v>
      </c>
      <c r="B2174" s="2" t="s">
        <v>3</v>
      </c>
      <c r="C2174" s="1" t="str">
        <f>IFERROR(__xludf.DUMMYFUNCTION("GOOGLETRANSLATE(A2174,""en"",""pt-br"")"),"exortar")</f>
        <v>exortar</v>
      </c>
      <c r="D2174" s="1" t="str">
        <f>IFERROR(__xludf.DUMMYFUNCTION("GOOGLETRANSLATE(B2174,""en"",""pt-br"")"),"negativo")</f>
        <v>negativo</v>
      </c>
    </row>
    <row r="2175" ht="15.75" customHeight="1">
      <c r="A2175" s="2" t="s">
        <v>2174</v>
      </c>
      <c r="B2175" s="2" t="s">
        <v>3</v>
      </c>
      <c r="C2175" s="1" t="str">
        <f>IFERROR(__xludf.DUMMYFUNCTION("GOOGLETRANSLATE(A2175,""en"",""pt-br"")"),"exílio")</f>
        <v>exílio</v>
      </c>
      <c r="D2175" s="1" t="str">
        <f>IFERROR(__xludf.DUMMYFUNCTION("GOOGLETRANSLATE(B2175,""en"",""pt-br"")"),"negativo")</f>
        <v>negativo</v>
      </c>
    </row>
    <row r="2176" ht="15.75" customHeight="1">
      <c r="A2176" s="2" t="s">
        <v>2175</v>
      </c>
      <c r="B2176" s="2" t="s">
        <v>14</v>
      </c>
      <c r="C2176" s="1" t="str">
        <f>IFERROR(__xludf.DUMMYFUNCTION("GOOGLETRANSLATE(A2176,""en"",""pt-br"")"),"EXONERE")</f>
        <v>EXONERE</v>
      </c>
      <c r="D2176" s="1" t="str">
        <f>IFERROR(__xludf.DUMMYFUNCTION("GOOGLETRANSLATE(B2176,""en"",""pt-br"")"),"positivo")</f>
        <v>positivo</v>
      </c>
    </row>
    <row r="2177" ht="15.75" customHeight="1">
      <c r="A2177" s="2" t="s">
        <v>2176</v>
      </c>
      <c r="B2177" s="2" t="s">
        <v>3</v>
      </c>
      <c r="C2177" s="1" t="str">
        <f>IFERROR(__xludf.DUMMYFUNCTION("GOOGLETRANSLATE(A2177,""en"",""pt-br"")"),"exorbitante")</f>
        <v>exorbitante</v>
      </c>
      <c r="D2177" s="1" t="str">
        <f>IFERROR(__xludf.DUMMYFUNCTION("GOOGLETRANSLATE(B2177,""en"",""pt-br"")"),"negativo")</f>
        <v>negativo</v>
      </c>
    </row>
    <row r="2178" ht="15.75" customHeight="1">
      <c r="A2178" s="2" t="s">
        <v>2177</v>
      </c>
      <c r="B2178" s="2" t="s">
        <v>3</v>
      </c>
      <c r="C2178" s="1" t="str">
        <f>IFERROR(__xludf.DUMMYFUNCTION("GOOGLETRANSLATE(A2178,""en"",""pt-br"")"),"exorbitantance")</f>
        <v>exorbitantance</v>
      </c>
      <c r="D2178" s="1" t="str">
        <f>IFERROR(__xludf.DUMMYFUNCTION("GOOGLETRANSLATE(B2178,""en"",""pt-br"")"),"negativo")</f>
        <v>negativo</v>
      </c>
    </row>
    <row r="2179" ht="15.75" customHeight="1">
      <c r="A2179" s="2" t="s">
        <v>2178</v>
      </c>
      <c r="B2179" s="2" t="s">
        <v>3</v>
      </c>
      <c r="C2179" s="1" t="str">
        <f>IFERROR(__xludf.DUMMYFUNCTION("GOOGLETRANSLATE(A2179,""en"",""pt-br"")"),"exorbitantemente")</f>
        <v>exorbitantemente</v>
      </c>
      <c r="D2179" s="1" t="str">
        <f>IFERROR(__xludf.DUMMYFUNCTION("GOOGLETRANSLATE(B2179,""en"",""pt-br"")"),"negativo")</f>
        <v>negativo</v>
      </c>
    </row>
    <row r="2180" ht="15.75" customHeight="1">
      <c r="A2180" s="2" t="s">
        <v>2179</v>
      </c>
      <c r="B2180" s="2" t="s">
        <v>14</v>
      </c>
      <c r="C2180" s="1" t="str">
        <f>IFERROR(__xludf.DUMMYFUNCTION("GOOGLETRANSLATE(A2180,""en"",""pt-br"")"),"expansivo")</f>
        <v>expansivo</v>
      </c>
      <c r="D2180" s="1" t="str">
        <f>IFERROR(__xludf.DUMMYFUNCTION("GOOGLETRANSLATE(B2180,""en"",""pt-br"")"),"positivo")</f>
        <v>positivo</v>
      </c>
    </row>
    <row r="2181" ht="15.75" customHeight="1">
      <c r="A2181" s="2" t="s">
        <v>2180</v>
      </c>
      <c r="B2181" s="2" t="s">
        <v>14</v>
      </c>
      <c r="C2181" s="1" t="str">
        <f>IFERROR(__xludf.DUMMYFUNCTION("GOOGLETRANSLATE(A2181,""en"",""pt-br"")"),"expedita")</f>
        <v>expedita</v>
      </c>
      <c r="D2181" s="1" t="str">
        <f>IFERROR(__xludf.DUMMYFUNCTION("GOOGLETRANSLATE(B2181,""en"",""pt-br"")"),"positivo")</f>
        <v>positivo</v>
      </c>
    </row>
    <row r="2182" ht="15.75" customHeight="1">
      <c r="A2182" s="2" t="s">
        <v>2181</v>
      </c>
      <c r="B2182" s="2" t="s">
        <v>3</v>
      </c>
      <c r="C2182" s="1" t="str">
        <f>IFERROR(__xludf.DUMMYFUNCTION("GOOGLETRANSLATE(A2182,""en"",""pt-br"")"),"expulsar")</f>
        <v>expulsar</v>
      </c>
      <c r="D2182" s="1" t="str">
        <f>IFERROR(__xludf.DUMMYFUNCTION("GOOGLETRANSLATE(B2182,""en"",""pt-br"")"),"negativo")</f>
        <v>negativo</v>
      </c>
    </row>
    <row r="2183" ht="15.75" customHeight="1">
      <c r="A2183" s="2" t="s">
        <v>2182</v>
      </c>
      <c r="B2183" s="2" t="s">
        <v>3</v>
      </c>
      <c r="C2183" s="1" t="str">
        <f>IFERROR(__xludf.DUMMYFUNCTION("GOOGLETRANSLATE(A2183,""en"",""pt-br"")"),"caro")</f>
        <v>caro</v>
      </c>
      <c r="D2183" s="1" t="str">
        <f>IFERROR(__xludf.DUMMYFUNCTION("GOOGLETRANSLATE(B2183,""en"",""pt-br"")"),"negativo")</f>
        <v>negativo</v>
      </c>
    </row>
    <row r="2184" ht="15.75" customHeight="1">
      <c r="A2184" s="2" t="s">
        <v>2183</v>
      </c>
      <c r="B2184" s="2" t="s">
        <v>14</v>
      </c>
      <c r="C2184" s="1" t="str">
        <f>IFERROR(__xludf.DUMMYFUNCTION("GOOGLETRANSLATE(A2184,""en"",""pt-br"")"),"habilmente")</f>
        <v>habilmente</v>
      </c>
      <c r="D2184" s="1" t="str">
        <f>IFERROR(__xludf.DUMMYFUNCTION("GOOGLETRANSLATE(B2184,""en"",""pt-br"")"),"positivo")</f>
        <v>positivo</v>
      </c>
    </row>
    <row r="2185" ht="15.75" customHeight="1">
      <c r="A2185" s="2" t="s">
        <v>2184</v>
      </c>
      <c r="B2185" s="2" t="s">
        <v>3</v>
      </c>
      <c r="C2185" s="1" t="str">
        <f>IFERROR(__xludf.DUMMYFUNCTION("GOOGLETRANSLATE(A2185,""en"",""pt-br"")"),"expirar")</f>
        <v>expirar</v>
      </c>
      <c r="D2185" s="1" t="str">
        <f>IFERROR(__xludf.DUMMYFUNCTION("GOOGLETRANSLATE(B2185,""en"",""pt-br"")"),"negativo")</f>
        <v>negativo</v>
      </c>
    </row>
    <row r="2186" ht="15.75" customHeight="1">
      <c r="A2186" s="2" t="s">
        <v>2185</v>
      </c>
      <c r="B2186" s="2" t="s">
        <v>3</v>
      </c>
      <c r="C2186" s="1" t="str">
        <f>IFERROR(__xludf.DUMMYFUNCTION("GOOGLETRANSLATE(A2186,""en"",""pt-br"")"),"expirado")</f>
        <v>expirado</v>
      </c>
      <c r="D2186" s="1" t="str">
        <f>IFERROR(__xludf.DUMMYFUNCTION("GOOGLETRANSLATE(B2186,""en"",""pt-br"")"),"negativo")</f>
        <v>negativo</v>
      </c>
    </row>
    <row r="2187" ht="15.75" customHeight="1">
      <c r="A2187" s="2" t="s">
        <v>2186</v>
      </c>
      <c r="B2187" s="2" t="s">
        <v>3</v>
      </c>
      <c r="C2187" s="1" t="str">
        <f>IFERROR(__xludf.DUMMYFUNCTION("GOOGLETRANSLATE(A2187,""en"",""pt-br"")"),"explodir")</f>
        <v>explodir</v>
      </c>
      <c r="D2187" s="1" t="str">
        <f>IFERROR(__xludf.DUMMYFUNCTION("GOOGLETRANSLATE(B2187,""en"",""pt-br"")"),"negativo")</f>
        <v>negativo</v>
      </c>
    </row>
    <row r="2188" ht="15.75" customHeight="1">
      <c r="A2188" s="2" t="s">
        <v>2187</v>
      </c>
      <c r="B2188" s="2" t="s">
        <v>3</v>
      </c>
      <c r="C2188" s="1" t="str">
        <f>IFERROR(__xludf.DUMMYFUNCTION("GOOGLETRANSLATE(A2188,""en"",""pt-br"")"),"explorar")</f>
        <v>explorar</v>
      </c>
      <c r="D2188" s="1" t="str">
        <f>IFERROR(__xludf.DUMMYFUNCTION("GOOGLETRANSLATE(B2188,""en"",""pt-br"")"),"negativo")</f>
        <v>negativo</v>
      </c>
    </row>
    <row r="2189" ht="15.75" customHeight="1">
      <c r="A2189" s="2" t="s">
        <v>2188</v>
      </c>
      <c r="B2189" s="2" t="s">
        <v>3</v>
      </c>
      <c r="C2189" s="1" t="str">
        <f>IFERROR(__xludf.DUMMYFUNCTION("GOOGLETRANSLATE(A2189,""en"",""pt-br"")"),"exploração")</f>
        <v>exploração</v>
      </c>
      <c r="D2189" s="1" t="str">
        <f>IFERROR(__xludf.DUMMYFUNCTION("GOOGLETRANSLATE(B2189,""en"",""pt-br"")"),"negativo")</f>
        <v>negativo</v>
      </c>
    </row>
    <row r="2190" ht="15.75" customHeight="1">
      <c r="A2190" s="2" t="s">
        <v>2189</v>
      </c>
      <c r="B2190" s="2" t="s">
        <v>3</v>
      </c>
      <c r="C2190" s="1" t="str">
        <f>IFERROR(__xludf.DUMMYFUNCTION("GOOGLETRANSLATE(A2190,""en"",""pt-br"")"),"explosivo")</f>
        <v>explosivo</v>
      </c>
      <c r="D2190" s="1" t="str">
        <f>IFERROR(__xludf.DUMMYFUNCTION("GOOGLETRANSLATE(B2190,""en"",""pt-br"")"),"negativo")</f>
        <v>negativo</v>
      </c>
    </row>
    <row r="2191" ht="15.75" customHeight="1">
      <c r="A2191" s="2" t="s">
        <v>2190</v>
      </c>
      <c r="B2191" s="2" t="s">
        <v>3</v>
      </c>
      <c r="C2191" s="1" t="str">
        <f>IFERROR(__xludf.DUMMYFUNCTION("GOOGLETRANSLATE(A2191,""en"",""pt-br"")"),"expropriar")</f>
        <v>expropriar</v>
      </c>
      <c r="D2191" s="1" t="str">
        <f>IFERROR(__xludf.DUMMYFUNCTION("GOOGLETRANSLATE(B2191,""en"",""pt-br"")"),"negativo")</f>
        <v>negativo</v>
      </c>
    </row>
    <row r="2192" ht="15.75" customHeight="1">
      <c r="A2192" s="2" t="s">
        <v>2191</v>
      </c>
      <c r="B2192" s="2" t="s">
        <v>3</v>
      </c>
      <c r="C2192" s="1" t="str">
        <f>IFERROR(__xludf.DUMMYFUNCTION("GOOGLETRANSLATE(A2192,""en"",""pt-br"")"),"expropriação")</f>
        <v>expropriação</v>
      </c>
      <c r="D2192" s="1" t="str">
        <f>IFERROR(__xludf.DUMMYFUNCTION("GOOGLETRANSLATE(B2192,""en"",""pt-br"")"),"negativo")</f>
        <v>negativo</v>
      </c>
    </row>
    <row r="2193" ht="15.75" customHeight="1">
      <c r="A2193" s="2" t="s">
        <v>2192</v>
      </c>
      <c r="B2193" s="2" t="s">
        <v>3</v>
      </c>
      <c r="C2193" s="1" t="str">
        <f>IFERROR(__xludf.DUMMYFUNCTION("GOOGLETRANSLATE(A2193,""en"",""pt-br"")"),"expulse")</f>
        <v>expulse</v>
      </c>
      <c r="D2193" s="1" t="str">
        <f>IFERROR(__xludf.DUMMYFUNCTION("GOOGLETRANSLATE(B2193,""en"",""pt-br"")"),"negativo")</f>
        <v>negativo</v>
      </c>
    </row>
    <row r="2194" ht="15.75" customHeight="1">
      <c r="A2194" s="2" t="s">
        <v>2193</v>
      </c>
      <c r="B2194" s="2" t="s">
        <v>3</v>
      </c>
      <c r="C2194" s="1" t="str">
        <f>IFERROR(__xludf.DUMMYFUNCTION("GOOGLETRANSLATE(A2194,""en"",""pt-br"")"),"expurgar")</f>
        <v>expurgar</v>
      </c>
      <c r="D2194" s="1" t="str">
        <f>IFERROR(__xludf.DUMMYFUNCTION("GOOGLETRANSLATE(B2194,""en"",""pt-br"")"),"negativo")</f>
        <v>negativo</v>
      </c>
    </row>
    <row r="2195" ht="15.75" customHeight="1">
      <c r="A2195" s="2" t="s">
        <v>2194</v>
      </c>
      <c r="B2195" s="2" t="s">
        <v>14</v>
      </c>
      <c r="C2195" s="1" t="str">
        <f>IFERROR(__xludf.DUMMYFUNCTION("GOOGLETRANSLATE(A2195,""en"",""pt-br"")"),"requintado")</f>
        <v>requintado</v>
      </c>
      <c r="D2195" s="1" t="str">
        <f>IFERROR(__xludf.DUMMYFUNCTION("GOOGLETRANSLATE(B2195,""en"",""pt-br"")"),"positivo")</f>
        <v>positivo</v>
      </c>
    </row>
    <row r="2196" ht="15.75" customHeight="1">
      <c r="A2196" s="2" t="s">
        <v>2195</v>
      </c>
      <c r="B2196" s="2" t="s">
        <v>14</v>
      </c>
      <c r="C2196" s="1" t="str">
        <f>IFERROR(__xludf.DUMMYFUNCTION("GOOGLETRANSLATE(A2196,""en"",""pt-br"")"),"requintadamente")</f>
        <v>requintadamente</v>
      </c>
      <c r="D2196" s="1" t="str">
        <f>IFERROR(__xludf.DUMMYFUNCTION("GOOGLETRANSLATE(B2196,""en"",""pt-br"")"),"positivo")</f>
        <v>positivo</v>
      </c>
    </row>
    <row r="2197" ht="15.75" customHeight="1">
      <c r="A2197" s="2" t="s">
        <v>2196</v>
      </c>
      <c r="B2197" s="2" t="s">
        <v>3</v>
      </c>
      <c r="C2197" s="1" t="str">
        <f>IFERROR(__xludf.DUMMYFUNCTION("GOOGLETRANSLATE(A2197,""en"",""pt-br"")"),"exterminar")</f>
        <v>exterminar</v>
      </c>
      <c r="D2197" s="1" t="str">
        <f>IFERROR(__xludf.DUMMYFUNCTION("GOOGLETRANSLATE(B2197,""en"",""pt-br"")"),"negativo")</f>
        <v>negativo</v>
      </c>
    </row>
    <row r="2198" ht="15.75" customHeight="1">
      <c r="A2198" s="2" t="s">
        <v>2197</v>
      </c>
      <c r="B2198" s="2" t="s">
        <v>3</v>
      </c>
      <c r="C2198" s="1" t="str">
        <f>IFERROR(__xludf.DUMMYFUNCTION("GOOGLETRANSLATE(A2198,""en"",""pt-br"")"),"exterminação")</f>
        <v>exterminação</v>
      </c>
      <c r="D2198" s="1" t="str">
        <f>IFERROR(__xludf.DUMMYFUNCTION("GOOGLETRANSLATE(B2198,""en"",""pt-br"")"),"negativo")</f>
        <v>negativo</v>
      </c>
    </row>
    <row r="2199" ht="15.75" customHeight="1">
      <c r="A2199" s="2" t="s">
        <v>2198</v>
      </c>
      <c r="B2199" s="2" t="s">
        <v>3</v>
      </c>
      <c r="C2199" s="1" t="str">
        <f>IFERROR(__xludf.DUMMYFUNCTION("GOOGLETRANSLATE(A2199,""en"",""pt-br"")"),"extinguir")</f>
        <v>extinguir</v>
      </c>
      <c r="D2199" s="1" t="str">
        <f>IFERROR(__xludf.DUMMYFUNCTION("GOOGLETRANSLATE(B2199,""en"",""pt-br"")"),"negativo")</f>
        <v>negativo</v>
      </c>
    </row>
    <row r="2200" ht="15.75" customHeight="1">
      <c r="A2200" s="2" t="s">
        <v>2199</v>
      </c>
      <c r="B2200" s="2" t="s">
        <v>14</v>
      </c>
      <c r="C2200" s="1" t="str">
        <f>IFERROR(__xludf.DUMMYFUNCTION("GOOGLETRANSLATE(A2200,""en"",""pt-br"")"),"extol")</f>
        <v>extol</v>
      </c>
      <c r="D2200" s="1" t="str">
        <f>IFERROR(__xludf.DUMMYFUNCTION("GOOGLETRANSLATE(B2200,""en"",""pt-br"")"),"positivo")</f>
        <v>positivo</v>
      </c>
    </row>
    <row r="2201" ht="15.75" customHeight="1">
      <c r="A2201" s="2" t="s">
        <v>2200</v>
      </c>
      <c r="B2201" s="2" t="s">
        <v>14</v>
      </c>
      <c r="C2201" s="1" t="str">
        <f>IFERROR(__xludf.DUMMYFUNCTION("GOOGLETRANSLATE(A2201,""en"",""pt-br"")"),"Extoll")</f>
        <v>Extoll</v>
      </c>
      <c r="D2201" s="1" t="str">
        <f>IFERROR(__xludf.DUMMYFUNCTION("GOOGLETRANSLATE(B2201,""en"",""pt-br"")"),"positivo")</f>
        <v>positivo</v>
      </c>
    </row>
    <row r="2202" ht="15.75" customHeight="1">
      <c r="A2202" s="2" t="s">
        <v>2201</v>
      </c>
      <c r="B2202" s="2" t="s">
        <v>3</v>
      </c>
      <c r="C2202" s="1" t="str">
        <f>IFERROR(__xludf.DUMMYFUNCTION("GOOGLETRANSLATE(A2202,""en"",""pt-br"")"),"extorquir")</f>
        <v>extorquir</v>
      </c>
      <c r="D2202" s="1" t="str">
        <f>IFERROR(__xludf.DUMMYFUNCTION("GOOGLETRANSLATE(B2202,""en"",""pt-br"")"),"negativo")</f>
        <v>negativo</v>
      </c>
    </row>
    <row r="2203" ht="15.75" customHeight="1">
      <c r="A2203" s="2" t="s">
        <v>2202</v>
      </c>
      <c r="B2203" s="2" t="s">
        <v>3</v>
      </c>
      <c r="C2203" s="1" t="str">
        <f>IFERROR(__xludf.DUMMYFUNCTION("GOOGLETRANSLATE(A2203,""en"",""pt-br"")"),"extorsão")</f>
        <v>extorsão</v>
      </c>
      <c r="D2203" s="1" t="str">
        <f>IFERROR(__xludf.DUMMYFUNCTION("GOOGLETRANSLATE(B2203,""en"",""pt-br"")"),"negativo")</f>
        <v>negativo</v>
      </c>
    </row>
    <row r="2204" ht="15.75" customHeight="1">
      <c r="A2204" s="2" t="s">
        <v>2203</v>
      </c>
      <c r="B2204" s="2" t="s">
        <v>3</v>
      </c>
      <c r="C2204" s="1" t="str">
        <f>IFERROR(__xludf.DUMMYFUNCTION("GOOGLETRANSLATE(A2204,""en"",""pt-br"")"),"estranho")</f>
        <v>estranho</v>
      </c>
      <c r="D2204" s="1" t="str">
        <f>IFERROR(__xludf.DUMMYFUNCTION("GOOGLETRANSLATE(B2204,""en"",""pt-br"")"),"negativo")</f>
        <v>negativo</v>
      </c>
    </row>
    <row r="2205" ht="15.75" customHeight="1">
      <c r="A2205" s="2" t="s">
        <v>2204</v>
      </c>
      <c r="B2205" s="2" t="s">
        <v>14</v>
      </c>
      <c r="C2205" s="1" t="str">
        <f>IFERROR(__xludf.DUMMYFUNCTION("GOOGLETRANSLATE(A2205,""en"",""pt-br"")"),"extraordinariamente")</f>
        <v>extraordinariamente</v>
      </c>
      <c r="D2205" s="1" t="str">
        <f>IFERROR(__xludf.DUMMYFUNCTION("GOOGLETRANSLATE(B2205,""en"",""pt-br"")"),"positivo")</f>
        <v>positivo</v>
      </c>
    </row>
    <row r="2206" ht="15.75" customHeight="1">
      <c r="A2206" s="2" t="s">
        <v>2205</v>
      </c>
      <c r="B2206" s="2" t="s">
        <v>14</v>
      </c>
      <c r="C2206" s="1" t="str">
        <f>IFERROR(__xludf.DUMMYFUNCTION("GOOGLETRANSLATE(A2206,""en"",""pt-br"")"),"extraordinário")</f>
        <v>extraordinário</v>
      </c>
      <c r="D2206" s="1" t="str">
        <f>IFERROR(__xludf.DUMMYFUNCTION("GOOGLETRANSLATE(B2206,""en"",""pt-br"")"),"positivo")</f>
        <v>positivo</v>
      </c>
    </row>
    <row r="2207" ht="15.75" customHeight="1">
      <c r="A2207" s="2" t="s">
        <v>2206</v>
      </c>
      <c r="B2207" s="2" t="s">
        <v>3</v>
      </c>
      <c r="C2207" s="1" t="str">
        <f>IFERROR(__xludf.DUMMYFUNCTION("GOOGLETRANSLATE(A2207,""en"",""pt-br"")"),"extravagância")</f>
        <v>extravagância</v>
      </c>
      <c r="D2207" s="1" t="str">
        <f>IFERROR(__xludf.DUMMYFUNCTION("GOOGLETRANSLATE(B2207,""en"",""pt-br"")"),"negativo")</f>
        <v>negativo</v>
      </c>
    </row>
    <row r="2208" ht="15.75" customHeight="1">
      <c r="A2208" s="2" t="s">
        <v>2207</v>
      </c>
      <c r="B2208" s="2" t="s">
        <v>3</v>
      </c>
      <c r="C2208" s="1" t="str">
        <f>IFERROR(__xludf.DUMMYFUNCTION("GOOGLETRANSLATE(A2208,""en"",""pt-br"")"),"extravagante")</f>
        <v>extravagante</v>
      </c>
      <c r="D2208" s="1" t="str">
        <f>IFERROR(__xludf.DUMMYFUNCTION("GOOGLETRANSLATE(B2208,""en"",""pt-br"")"),"negativo")</f>
        <v>negativo</v>
      </c>
    </row>
    <row r="2209" ht="15.75" customHeight="1">
      <c r="A2209" s="2" t="s">
        <v>2208</v>
      </c>
      <c r="B2209" s="2" t="s">
        <v>3</v>
      </c>
      <c r="C2209" s="1" t="str">
        <f>IFERROR(__xludf.DUMMYFUNCTION("GOOGLETRANSLATE(A2209,""en"",""pt-br"")"),"extravagantemente")</f>
        <v>extravagantemente</v>
      </c>
      <c r="D2209" s="1" t="str">
        <f>IFERROR(__xludf.DUMMYFUNCTION("GOOGLETRANSLATE(B2209,""en"",""pt-br"")"),"negativo")</f>
        <v>negativo</v>
      </c>
    </row>
    <row r="2210" ht="15.75" customHeight="1">
      <c r="A2210" s="2" t="s">
        <v>2209</v>
      </c>
      <c r="B2210" s="2" t="s">
        <v>3</v>
      </c>
      <c r="C2210" s="1" t="str">
        <f>IFERROR(__xludf.DUMMYFUNCTION("GOOGLETRANSLATE(A2210,""en"",""pt-br"")"),"extremismo")</f>
        <v>extremismo</v>
      </c>
      <c r="D2210" s="1" t="str">
        <f>IFERROR(__xludf.DUMMYFUNCTION("GOOGLETRANSLATE(B2210,""en"",""pt-br"")"),"negativo")</f>
        <v>negativo</v>
      </c>
    </row>
    <row r="2211" ht="15.75" customHeight="1">
      <c r="A2211" s="2" t="s">
        <v>2210</v>
      </c>
      <c r="B2211" s="2" t="s">
        <v>3</v>
      </c>
      <c r="C2211" s="1" t="str">
        <f>IFERROR(__xludf.DUMMYFUNCTION("GOOGLETRANSLATE(A2211,""en"",""pt-br"")"),"extremista")</f>
        <v>extremista</v>
      </c>
      <c r="D2211" s="1" t="str">
        <f>IFERROR(__xludf.DUMMYFUNCTION("GOOGLETRANSLATE(B2211,""en"",""pt-br"")"),"negativo")</f>
        <v>negativo</v>
      </c>
    </row>
    <row r="2212" ht="15.75" customHeight="1">
      <c r="A2212" s="2" t="s">
        <v>2211</v>
      </c>
      <c r="B2212" s="2" t="s">
        <v>3</v>
      </c>
      <c r="C2212" s="1" t="str">
        <f>IFERROR(__xludf.DUMMYFUNCTION("GOOGLETRANSLATE(A2212,""en"",""pt-br"")"),"extremistas")</f>
        <v>extremistas</v>
      </c>
      <c r="D2212" s="1" t="str">
        <f>IFERROR(__xludf.DUMMYFUNCTION("GOOGLETRANSLATE(B2212,""en"",""pt-br"")"),"negativo")</f>
        <v>negativo</v>
      </c>
    </row>
    <row r="2213" ht="15.75" customHeight="1">
      <c r="A2213" s="2" t="s">
        <v>2212</v>
      </c>
      <c r="B2213" s="2" t="s">
        <v>14</v>
      </c>
      <c r="C2213" s="1" t="str">
        <f>IFERROR(__xludf.DUMMYFUNCTION("GOOGLETRANSLATE(A2213,""en"",""pt-br"")"),"exuberância")</f>
        <v>exuberância</v>
      </c>
      <c r="D2213" s="1" t="str">
        <f>IFERROR(__xludf.DUMMYFUNCTION("GOOGLETRANSLATE(B2213,""en"",""pt-br"")"),"positivo")</f>
        <v>positivo</v>
      </c>
    </row>
    <row r="2214" ht="15.75" customHeight="1">
      <c r="A2214" s="2" t="s">
        <v>2213</v>
      </c>
      <c r="B2214" s="2" t="s">
        <v>14</v>
      </c>
      <c r="C2214" s="1" t="str">
        <f>IFERROR(__xludf.DUMMYFUNCTION("GOOGLETRANSLATE(A2214,""en"",""pt-br"")"),"exuberante")</f>
        <v>exuberante</v>
      </c>
      <c r="D2214" s="1" t="str">
        <f>IFERROR(__xludf.DUMMYFUNCTION("GOOGLETRANSLATE(B2214,""en"",""pt-br"")"),"positivo")</f>
        <v>positivo</v>
      </c>
    </row>
    <row r="2215" ht="15.75" customHeight="1">
      <c r="A2215" s="2" t="s">
        <v>2214</v>
      </c>
      <c r="B2215" s="2" t="s">
        <v>14</v>
      </c>
      <c r="C2215" s="1" t="str">
        <f>IFERROR(__xludf.DUMMYFUNCTION("GOOGLETRANSLATE(A2215,""en"",""pt-br"")"),"exuberantemente")</f>
        <v>exuberantemente</v>
      </c>
      <c r="D2215" s="1" t="str">
        <f>IFERROR(__xludf.DUMMYFUNCTION("GOOGLETRANSLATE(B2215,""en"",""pt-br"")"),"positivo")</f>
        <v>positivo</v>
      </c>
    </row>
    <row r="2216" ht="15.75" customHeight="1">
      <c r="A2216" s="2" t="s">
        <v>2215</v>
      </c>
      <c r="B2216" s="2" t="s">
        <v>14</v>
      </c>
      <c r="C2216" s="1" t="str">
        <f>IFERROR(__xludf.DUMMYFUNCTION("GOOGLETRANSLATE(A2216,""en"",""pt-br"")"),"exultar")</f>
        <v>exultar</v>
      </c>
      <c r="D2216" s="1" t="str">
        <f>IFERROR(__xludf.DUMMYFUNCTION("GOOGLETRANSLATE(B2216,""en"",""pt-br"")"),"positivo")</f>
        <v>positivo</v>
      </c>
    </row>
    <row r="2217" ht="15.75" customHeight="1">
      <c r="A2217" s="2" t="s">
        <v>2216</v>
      </c>
      <c r="B2217" s="2" t="s">
        <v>14</v>
      </c>
      <c r="C2217" s="1" t="str">
        <f>IFERROR(__xludf.DUMMYFUNCTION("GOOGLETRANSLATE(A2217,""en"",""pt-br"")"),"exultante")</f>
        <v>exultante</v>
      </c>
      <c r="D2217" s="1" t="str">
        <f>IFERROR(__xludf.DUMMYFUNCTION("GOOGLETRANSLATE(B2217,""en"",""pt-br"")"),"positivo")</f>
        <v>positivo</v>
      </c>
    </row>
    <row r="2218" ht="15.75" customHeight="1">
      <c r="A2218" s="2" t="s">
        <v>2217</v>
      </c>
      <c r="B2218" s="2" t="s">
        <v>14</v>
      </c>
      <c r="C2218" s="1" t="str">
        <f>IFERROR(__xludf.DUMMYFUNCTION("GOOGLETRANSLATE(A2218,""en"",""pt-br"")"),"exultação")</f>
        <v>exultação</v>
      </c>
      <c r="D2218" s="1" t="str">
        <f>IFERROR(__xludf.DUMMYFUNCTION("GOOGLETRANSLATE(B2218,""en"",""pt-br"")"),"positivo")</f>
        <v>positivo</v>
      </c>
    </row>
    <row r="2219" ht="15.75" customHeight="1">
      <c r="A2219" s="2" t="s">
        <v>2218</v>
      </c>
      <c r="B2219" s="2" t="s">
        <v>14</v>
      </c>
      <c r="C2219" s="1" t="str">
        <f>IFERROR(__xludf.DUMMYFUNCTION("GOOGLETRANSLATE(A2219,""en"",""pt-br"")"),"exultantemente")</f>
        <v>exultantemente</v>
      </c>
      <c r="D2219" s="1" t="str">
        <f>IFERROR(__xludf.DUMMYFUNCTION("GOOGLETRANSLATE(B2219,""en"",""pt-br"")"),"positivo")</f>
        <v>positivo</v>
      </c>
    </row>
    <row r="2220" ht="15.75" customHeight="1">
      <c r="A2220" s="2" t="s">
        <v>2219</v>
      </c>
      <c r="B2220" s="2" t="s">
        <v>14</v>
      </c>
      <c r="C2220" s="1" t="str">
        <f>IFERROR(__xludf.DUMMYFUNCTION("GOOGLETRANSLATE(A2220,""en"",""pt-br"")"),"olho-de captura")</f>
        <v>olho-de captura</v>
      </c>
      <c r="D2220" s="1" t="str">
        <f>IFERROR(__xludf.DUMMYFUNCTION("GOOGLETRANSLATE(B2220,""en"",""pt-br"")"),"positivo")</f>
        <v>positivo</v>
      </c>
    </row>
    <row r="2221" ht="15.75" customHeight="1">
      <c r="A2221" s="2" t="s">
        <v>2220</v>
      </c>
      <c r="B2221" s="2" t="s">
        <v>14</v>
      </c>
      <c r="C2221" s="1" t="str">
        <f>IFERROR(__xludf.DUMMYFUNCTION("GOOGLETRANSLATE(A2221,""en"",""pt-br"")"),"atraente")</f>
        <v>atraente</v>
      </c>
      <c r="D2221" s="1" t="str">
        <f>IFERROR(__xludf.DUMMYFUNCTION("GOOGLETRANSLATE(B2221,""en"",""pt-br"")"),"positivo")</f>
        <v>positivo</v>
      </c>
    </row>
    <row r="2222" ht="15.75" customHeight="1">
      <c r="A2222" s="2" t="s">
        <v>2221</v>
      </c>
      <c r="B2222" s="2" t="s">
        <v>14</v>
      </c>
      <c r="C2222" s="1" t="str">
        <f>IFERROR(__xludf.DUMMYFUNCTION("GOOGLETRANSLATE(A2222,""en"",""pt-br"")"),"eyecatch")</f>
        <v>eyecatch</v>
      </c>
      <c r="D2222" s="1" t="str">
        <f>IFERROR(__xludf.DUMMYFUNCTION("GOOGLETRANSLATE(B2222,""en"",""pt-br"")"),"positivo")</f>
        <v>positivo</v>
      </c>
    </row>
    <row r="2223" ht="15.75" customHeight="1">
      <c r="A2223" s="2" t="s">
        <v>2222</v>
      </c>
      <c r="B2223" s="2" t="s">
        <v>14</v>
      </c>
      <c r="C2223" s="1" t="str">
        <f>IFERROR(__xludf.DUMMYFUNCTION("GOOGLETRANSLATE(A2223,""en"",""pt-br"")"),"eyecatching")</f>
        <v>eyecatching</v>
      </c>
      <c r="D2223" s="1" t="str">
        <f>IFERROR(__xludf.DUMMYFUNCTION("GOOGLETRANSLATE(B2223,""en"",""pt-br"")"),"positivo")</f>
        <v>positivo</v>
      </c>
    </row>
    <row r="2224" ht="15.75" customHeight="1">
      <c r="A2224" s="2" t="s">
        <v>2223</v>
      </c>
      <c r="B2224" s="2" t="s">
        <v>3</v>
      </c>
      <c r="C2224" s="1" t="str">
        <f>IFERROR(__xludf.DUMMYFUNCTION("GOOGLETRANSLATE(A2224,""en"",""pt-br"")"),"monstruosidade")</f>
        <v>monstruosidade</v>
      </c>
      <c r="D2224" s="1" t="str">
        <f>IFERROR(__xludf.DUMMYFUNCTION("GOOGLETRANSLATE(B2224,""en"",""pt-br"")"),"negativo")</f>
        <v>negativo</v>
      </c>
    </row>
    <row r="2225" ht="15.75" customHeight="1">
      <c r="A2225" s="2" t="s">
        <v>2224</v>
      </c>
      <c r="B2225" s="2" t="s">
        <v>3</v>
      </c>
      <c r="C2225" s="1" t="str">
        <f>IFERROR(__xludf.DUMMYFUNCTION("GOOGLETRANSLATE(A2225,""en"",""pt-br"")"),"f ** k")</f>
        <v>f ** k</v>
      </c>
      <c r="D2225" s="1" t="str">
        <f>IFERROR(__xludf.DUMMYFUNCTION("GOOGLETRANSLATE(B2225,""en"",""pt-br"")"),"negativo")</f>
        <v>negativo</v>
      </c>
    </row>
    <row r="2226" ht="15.75" customHeight="1">
      <c r="A2226" s="2" t="s">
        <v>2225</v>
      </c>
      <c r="B2226" s="2" t="s">
        <v>3</v>
      </c>
      <c r="C2226" s="1" t="str">
        <f>IFERROR(__xludf.DUMMYFUNCTION("GOOGLETRANSLATE(A2226,""en"",""pt-br"")"),"fabricar")</f>
        <v>fabricar</v>
      </c>
      <c r="D2226" s="1" t="str">
        <f>IFERROR(__xludf.DUMMYFUNCTION("GOOGLETRANSLATE(B2226,""en"",""pt-br"")"),"negativo")</f>
        <v>negativo</v>
      </c>
    </row>
    <row r="2227" ht="15.75" customHeight="1">
      <c r="A2227" s="2" t="s">
        <v>2226</v>
      </c>
      <c r="B2227" s="2" t="s">
        <v>3</v>
      </c>
      <c r="C2227" s="1" t="str">
        <f>IFERROR(__xludf.DUMMYFUNCTION("GOOGLETRANSLATE(A2227,""en"",""pt-br"")"),"fabricação")</f>
        <v>fabricação</v>
      </c>
      <c r="D2227" s="1" t="str">
        <f>IFERROR(__xludf.DUMMYFUNCTION("GOOGLETRANSLATE(B2227,""en"",""pt-br"")"),"negativo")</f>
        <v>negativo</v>
      </c>
    </row>
    <row r="2228" ht="15.75" customHeight="1">
      <c r="A2228" s="2" t="s">
        <v>2227</v>
      </c>
      <c r="B2228" s="2" t="s">
        <v>14</v>
      </c>
      <c r="C2228" s="1" t="str">
        <f>IFERROR(__xludf.DUMMYFUNCTION("GOOGLETRANSLATE(A2228,""en"",""pt-br"")"),"fabuloso")</f>
        <v>fabuloso</v>
      </c>
      <c r="D2228" s="1" t="str">
        <f>IFERROR(__xludf.DUMMYFUNCTION("GOOGLETRANSLATE(B2228,""en"",""pt-br"")"),"positivo")</f>
        <v>positivo</v>
      </c>
    </row>
    <row r="2229" ht="15.75" customHeight="1">
      <c r="A2229" s="2" t="s">
        <v>2228</v>
      </c>
      <c r="B2229" s="2" t="s">
        <v>14</v>
      </c>
      <c r="C2229" s="1" t="str">
        <f>IFERROR(__xludf.DUMMYFUNCTION("GOOGLETRANSLATE(A2229,""en"",""pt-br"")"),"fabulosamente")</f>
        <v>fabulosamente</v>
      </c>
      <c r="D2229" s="1" t="str">
        <f>IFERROR(__xludf.DUMMYFUNCTION("GOOGLETRANSLATE(B2229,""en"",""pt-br"")"),"positivo")</f>
        <v>positivo</v>
      </c>
    </row>
    <row r="2230" ht="15.75" customHeight="1">
      <c r="A2230" s="2" t="s">
        <v>2229</v>
      </c>
      <c r="B2230" s="2" t="s">
        <v>3</v>
      </c>
      <c r="C2230" s="1" t="str">
        <f>IFERROR(__xludf.DUMMYFUNCTION("GOOGLETRANSLATE(A2230,""en"",""pt-br"")"),"faceto")</f>
        <v>faceto</v>
      </c>
      <c r="D2230" s="1" t="str">
        <f>IFERROR(__xludf.DUMMYFUNCTION("GOOGLETRANSLATE(B2230,""en"",""pt-br"")"),"negativo")</f>
        <v>negativo</v>
      </c>
    </row>
    <row r="2231" ht="15.75" customHeight="1">
      <c r="A2231" s="2" t="s">
        <v>2230</v>
      </c>
      <c r="B2231" s="2" t="s">
        <v>3</v>
      </c>
      <c r="C2231" s="1" t="str">
        <f>IFERROR(__xludf.DUMMYFUNCTION("GOOGLETRANSLATE(A2231,""en"",""pt-br"")"),"facetiously")</f>
        <v>facetiously</v>
      </c>
      <c r="D2231" s="1" t="str">
        <f>IFERROR(__xludf.DUMMYFUNCTION("GOOGLETRANSLATE(B2231,""en"",""pt-br"")"),"negativo")</f>
        <v>negativo</v>
      </c>
    </row>
    <row r="2232" ht="15.75" customHeight="1">
      <c r="A2232" s="2" t="s">
        <v>2231</v>
      </c>
      <c r="B2232" s="2" t="s">
        <v>14</v>
      </c>
      <c r="C2232" s="1" t="str">
        <f>IFERROR(__xludf.DUMMYFUNCTION("GOOGLETRANSLATE(A2232,""en"",""pt-br"")"),"facilitar")</f>
        <v>facilitar</v>
      </c>
      <c r="D2232" s="1" t="str">
        <f>IFERROR(__xludf.DUMMYFUNCTION("GOOGLETRANSLATE(B2232,""en"",""pt-br"")"),"positivo")</f>
        <v>positivo</v>
      </c>
    </row>
    <row r="2233" ht="15.75" customHeight="1">
      <c r="A2233" s="2" t="s">
        <v>2232</v>
      </c>
      <c r="B2233" s="2" t="s">
        <v>3</v>
      </c>
      <c r="C2233" s="1" t="str">
        <f>IFERROR(__xludf.DUMMYFUNCTION("GOOGLETRANSLATE(A2233,""en"",""pt-br"")"),"falhou")</f>
        <v>falhou</v>
      </c>
      <c r="D2233" s="1" t="str">
        <f>IFERROR(__xludf.DUMMYFUNCTION("GOOGLETRANSLATE(B2233,""en"",""pt-br"")"),"negativo")</f>
        <v>negativo</v>
      </c>
    </row>
    <row r="2234" ht="15.75" customHeight="1">
      <c r="A2234" s="2" t="s">
        <v>2233</v>
      </c>
      <c r="B2234" s="2" t="s">
        <v>3</v>
      </c>
      <c r="C2234" s="1" t="str">
        <f>IFERROR(__xludf.DUMMYFUNCTION("GOOGLETRANSLATE(A2234,""en"",""pt-br"")"),"fracassado")</f>
        <v>fracassado</v>
      </c>
      <c r="D2234" s="1" t="str">
        <f>IFERROR(__xludf.DUMMYFUNCTION("GOOGLETRANSLATE(B2234,""en"",""pt-br"")"),"negativo")</f>
        <v>negativo</v>
      </c>
    </row>
    <row r="2235" ht="15.75" customHeight="1">
      <c r="A2235" s="2" t="s">
        <v>2234</v>
      </c>
      <c r="B2235" s="2" t="s">
        <v>3</v>
      </c>
      <c r="C2235" s="1" t="str">
        <f>IFERROR(__xludf.DUMMYFUNCTION("GOOGLETRANSLATE(A2235,""en"",""pt-br"")"),"falta")</f>
        <v>falta</v>
      </c>
      <c r="D2235" s="1" t="str">
        <f>IFERROR(__xludf.DUMMYFUNCTION("GOOGLETRANSLATE(B2235,""en"",""pt-br"")"),"negativo")</f>
        <v>negativo</v>
      </c>
    </row>
    <row r="2236" ht="15.75" customHeight="1">
      <c r="A2236" s="2" t="s">
        <v>2235</v>
      </c>
      <c r="B2236" s="2" t="s">
        <v>3</v>
      </c>
      <c r="C2236" s="1" t="str">
        <f>IFERROR(__xludf.DUMMYFUNCTION("GOOGLETRANSLATE(A2236,""en"",""pt-br"")"),"falhar")</f>
        <v>falhar</v>
      </c>
      <c r="D2236" s="1" t="str">
        <f>IFERROR(__xludf.DUMMYFUNCTION("GOOGLETRANSLATE(B2236,""en"",""pt-br"")"),"negativo")</f>
        <v>negativo</v>
      </c>
    </row>
    <row r="2237" ht="15.75" customHeight="1">
      <c r="A2237" s="2" t="s">
        <v>2236</v>
      </c>
      <c r="B2237" s="2" t="s">
        <v>3</v>
      </c>
      <c r="C2237" s="1" t="str">
        <f>IFERROR(__xludf.DUMMYFUNCTION("GOOGLETRANSLATE(A2237,""en"",""pt-br"")"),"fracasso")</f>
        <v>fracasso</v>
      </c>
      <c r="D2237" s="1" t="str">
        <f>IFERROR(__xludf.DUMMYFUNCTION("GOOGLETRANSLATE(B2237,""en"",""pt-br"")"),"negativo")</f>
        <v>negativo</v>
      </c>
    </row>
    <row r="2238" ht="15.75" customHeight="1">
      <c r="A2238" s="2" t="s">
        <v>2237</v>
      </c>
      <c r="B2238" s="2" t="s">
        <v>3</v>
      </c>
      <c r="C2238" s="1" t="str">
        <f>IFERROR(__xludf.DUMMYFUNCTION("GOOGLETRANSLATE(A2238,""en"",""pt-br"")"),"falhas")</f>
        <v>falhas</v>
      </c>
      <c r="D2238" s="1" t="str">
        <f>IFERROR(__xludf.DUMMYFUNCTION("GOOGLETRANSLATE(B2238,""en"",""pt-br"")"),"negativo")</f>
        <v>negativo</v>
      </c>
    </row>
    <row r="2239" ht="15.75" customHeight="1">
      <c r="A2239" s="2" t="s">
        <v>2238</v>
      </c>
      <c r="B2239" s="2" t="s">
        <v>3</v>
      </c>
      <c r="C2239" s="1" t="str">
        <f>IFERROR(__xludf.DUMMYFUNCTION("GOOGLETRANSLATE(A2239,""en"",""pt-br"")"),"desmaiar")</f>
        <v>desmaiar</v>
      </c>
      <c r="D2239" s="1" t="str">
        <f>IFERROR(__xludf.DUMMYFUNCTION("GOOGLETRANSLATE(B2239,""en"",""pt-br"")"),"negativo")</f>
        <v>negativo</v>
      </c>
    </row>
    <row r="2240" ht="15.75" customHeight="1">
      <c r="A2240" s="2" t="s">
        <v>2239</v>
      </c>
      <c r="B2240" s="2" t="s">
        <v>3</v>
      </c>
      <c r="C2240" s="1" t="str">
        <f>IFERROR(__xludf.DUMMYFUNCTION("GOOGLETRANSLATE(A2240,""en"",""pt-br"")"),"fainthearted")</f>
        <v>fainthearted</v>
      </c>
      <c r="D2240" s="1" t="str">
        <f>IFERROR(__xludf.DUMMYFUNCTION("GOOGLETRANSLATE(B2240,""en"",""pt-br"")"),"negativo")</f>
        <v>negativo</v>
      </c>
    </row>
    <row r="2241" ht="15.75" customHeight="1">
      <c r="A2241" s="2" t="s">
        <v>2240</v>
      </c>
      <c r="B2241" s="2" t="s">
        <v>14</v>
      </c>
      <c r="C2241" s="1" t="str">
        <f>IFERROR(__xludf.DUMMYFUNCTION("GOOGLETRANSLATE(A2241,""en"",""pt-br"")"),"justo")</f>
        <v>justo</v>
      </c>
      <c r="D2241" s="1" t="str">
        <f>IFERROR(__xludf.DUMMYFUNCTION("GOOGLETRANSLATE(B2241,""en"",""pt-br"")"),"positivo")</f>
        <v>positivo</v>
      </c>
    </row>
    <row r="2242" ht="15.75" customHeight="1">
      <c r="A2242" s="2" t="s">
        <v>2241</v>
      </c>
      <c r="B2242" s="2" t="s">
        <v>14</v>
      </c>
      <c r="C2242" s="1" t="str">
        <f>IFERROR(__xludf.DUMMYFUNCTION("GOOGLETRANSLATE(A2242,""en"",""pt-br"")"),"bastante")</f>
        <v>bastante</v>
      </c>
      <c r="D2242" s="1" t="str">
        <f>IFERROR(__xludf.DUMMYFUNCTION("GOOGLETRANSLATE(B2242,""en"",""pt-br"")"),"positivo")</f>
        <v>positivo</v>
      </c>
    </row>
    <row r="2243" ht="15.75" customHeight="1">
      <c r="A2243" s="2" t="s">
        <v>2242</v>
      </c>
      <c r="B2243" s="2" t="s">
        <v>14</v>
      </c>
      <c r="C2243" s="1" t="str">
        <f>IFERROR(__xludf.DUMMYFUNCTION("GOOGLETRANSLATE(A2243,""en"",""pt-br"")"),"justiça")</f>
        <v>justiça</v>
      </c>
      <c r="D2243" s="1" t="str">
        <f>IFERROR(__xludf.DUMMYFUNCTION("GOOGLETRANSLATE(B2243,""en"",""pt-br"")"),"positivo")</f>
        <v>positivo</v>
      </c>
    </row>
    <row r="2244" ht="15.75" customHeight="1">
      <c r="A2244" s="2" t="s">
        <v>2243</v>
      </c>
      <c r="B2244" s="2" t="s">
        <v>14</v>
      </c>
      <c r="C2244" s="1" t="str">
        <f>IFERROR(__xludf.DUMMYFUNCTION("GOOGLETRANSLATE(A2244,""en"",""pt-br"")"),"fé")</f>
        <v>fé</v>
      </c>
      <c r="D2244" s="1" t="str">
        <f>IFERROR(__xludf.DUMMYFUNCTION("GOOGLETRANSLATE(B2244,""en"",""pt-br"")"),"positivo")</f>
        <v>positivo</v>
      </c>
    </row>
    <row r="2245" ht="15.75" customHeight="1">
      <c r="A2245" s="2" t="s">
        <v>2244</v>
      </c>
      <c r="B2245" s="2" t="s">
        <v>14</v>
      </c>
      <c r="C2245" s="1" t="str">
        <f>IFERROR(__xludf.DUMMYFUNCTION("GOOGLETRANSLATE(A2245,""en"",""pt-br"")"),"fiel")</f>
        <v>fiel</v>
      </c>
      <c r="D2245" s="1" t="str">
        <f>IFERROR(__xludf.DUMMYFUNCTION("GOOGLETRANSLATE(B2245,""en"",""pt-br"")"),"positivo")</f>
        <v>positivo</v>
      </c>
    </row>
    <row r="2246" ht="15.75" customHeight="1">
      <c r="A2246" s="2" t="s">
        <v>2245</v>
      </c>
      <c r="B2246" s="2" t="s">
        <v>14</v>
      </c>
      <c r="C2246" s="1" t="str">
        <f>IFERROR(__xludf.DUMMYFUNCTION("GOOGLETRANSLATE(A2246,""en"",""pt-br"")"),"fielmente")</f>
        <v>fielmente</v>
      </c>
      <c r="D2246" s="1" t="str">
        <f>IFERROR(__xludf.DUMMYFUNCTION("GOOGLETRANSLATE(B2246,""en"",""pt-br"")"),"positivo")</f>
        <v>positivo</v>
      </c>
    </row>
    <row r="2247" ht="15.75" customHeight="1">
      <c r="A2247" s="2" t="s">
        <v>2246</v>
      </c>
      <c r="B2247" s="2" t="s">
        <v>14</v>
      </c>
      <c r="C2247" s="1" t="str">
        <f>IFERROR(__xludf.DUMMYFUNCTION("GOOGLETRANSLATE(A2247,""en"",""pt-br"")"),"fidelidade")</f>
        <v>fidelidade</v>
      </c>
      <c r="D2247" s="1" t="str">
        <f>IFERROR(__xludf.DUMMYFUNCTION("GOOGLETRANSLATE(B2247,""en"",""pt-br"")"),"positivo")</f>
        <v>positivo</v>
      </c>
    </row>
    <row r="2248" ht="15.75" customHeight="1">
      <c r="A2248" s="2" t="s">
        <v>2247</v>
      </c>
      <c r="B2248" s="2" t="s">
        <v>3</v>
      </c>
      <c r="C2248" s="1" t="str">
        <f>IFERROR(__xludf.DUMMYFUNCTION("GOOGLETRANSLATE(A2248,""en"",""pt-br"")"),"Sem fé")</f>
        <v>Sem fé</v>
      </c>
      <c r="D2248" s="1" t="str">
        <f>IFERROR(__xludf.DUMMYFUNCTION("GOOGLETRANSLATE(B2248,""en"",""pt-br"")"),"negativo")</f>
        <v>negativo</v>
      </c>
    </row>
    <row r="2249" ht="15.75" customHeight="1">
      <c r="A2249" s="2" t="s">
        <v>2248</v>
      </c>
      <c r="B2249" s="2" t="s">
        <v>3</v>
      </c>
      <c r="C2249" s="1" t="str">
        <f>IFERROR(__xludf.DUMMYFUNCTION("GOOGLETRANSLATE(A2249,""en"",""pt-br"")"),"falsificação")</f>
        <v>falsificação</v>
      </c>
      <c r="D2249" s="1" t="str">
        <f>IFERROR(__xludf.DUMMYFUNCTION("GOOGLETRANSLATE(B2249,""en"",""pt-br"")"),"negativo")</f>
        <v>negativo</v>
      </c>
    </row>
    <row r="2250" ht="15.75" customHeight="1">
      <c r="A2250" s="2" t="s">
        <v>2249</v>
      </c>
      <c r="B2250" s="2" t="s">
        <v>3</v>
      </c>
      <c r="C2250" s="1" t="str">
        <f>IFERROR(__xludf.DUMMYFUNCTION("GOOGLETRANSLATE(A2250,""en"",""pt-br"")"),"outono")</f>
        <v>outono</v>
      </c>
      <c r="D2250" s="1" t="str">
        <f>IFERROR(__xludf.DUMMYFUNCTION("GOOGLETRANSLATE(B2250,""en"",""pt-br"")"),"negativo")</f>
        <v>negativo</v>
      </c>
    </row>
    <row r="2251" ht="15.75" customHeight="1">
      <c r="A2251" s="2" t="s">
        <v>2250</v>
      </c>
      <c r="B2251" s="2" t="s">
        <v>3</v>
      </c>
      <c r="C2251" s="1" t="str">
        <f>IFERROR(__xludf.DUMMYFUNCTION("GOOGLETRANSLATE(A2251,""en"",""pt-br"")"),"falácias")</f>
        <v>falácias</v>
      </c>
      <c r="D2251" s="1" t="str">
        <f>IFERROR(__xludf.DUMMYFUNCTION("GOOGLETRANSLATE(B2251,""en"",""pt-br"")"),"negativo")</f>
        <v>negativo</v>
      </c>
    </row>
    <row r="2252" ht="15.75" customHeight="1">
      <c r="A2252" s="2" t="s">
        <v>2251</v>
      </c>
      <c r="B2252" s="2" t="s">
        <v>3</v>
      </c>
      <c r="C2252" s="1" t="str">
        <f>IFERROR(__xludf.DUMMYFUNCTION("GOOGLETRANSLATE(A2252,""en"",""pt-br"")"),"falaz")</f>
        <v>falaz</v>
      </c>
      <c r="D2252" s="1" t="str">
        <f>IFERROR(__xludf.DUMMYFUNCTION("GOOGLETRANSLATE(B2252,""en"",""pt-br"")"),"negativo")</f>
        <v>negativo</v>
      </c>
    </row>
    <row r="2253" ht="15.75" customHeight="1">
      <c r="A2253" s="2" t="s">
        <v>2252</v>
      </c>
      <c r="B2253" s="2" t="s">
        <v>3</v>
      </c>
      <c r="C2253" s="1" t="str">
        <f>IFERROR(__xludf.DUMMYFUNCTION("GOOGLETRANSLATE(A2253,""en"",""pt-br"")"),"falaciosamente")</f>
        <v>falaciosamente</v>
      </c>
      <c r="D2253" s="1" t="str">
        <f>IFERROR(__xludf.DUMMYFUNCTION("GOOGLETRANSLATE(B2253,""en"",""pt-br"")"),"negativo")</f>
        <v>negativo</v>
      </c>
    </row>
    <row r="2254" ht="15.75" customHeight="1">
      <c r="A2254" s="2" t="s">
        <v>2253</v>
      </c>
      <c r="B2254" s="2" t="s">
        <v>3</v>
      </c>
      <c r="C2254" s="1" t="str">
        <f>IFERROR(__xludf.DUMMYFUNCTION("GOOGLETRANSLATE(A2254,""en"",""pt-br"")"),"falácia")</f>
        <v>falácia</v>
      </c>
      <c r="D2254" s="1" t="str">
        <f>IFERROR(__xludf.DUMMYFUNCTION("GOOGLETRANSLATE(B2254,""en"",""pt-br"")"),"negativo")</f>
        <v>negativo</v>
      </c>
    </row>
    <row r="2255" ht="15.75" customHeight="1">
      <c r="A2255" s="2" t="s">
        <v>2254</v>
      </c>
      <c r="B2255" s="2" t="s">
        <v>3</v>
      </c>
      <c r="C2255" s="1" t="str">
        <f>IFERROR(__xludf.DUMMYFUNCTION("GOOGLETRANSLATE(A2255,""en"",""pt-br"")"),"falácia")</f>
        <v>falácia</v>
      </c>
      <c r="D2255" s="1" t="str">
        <f>IFERROR(__xludf.DUMMYFUNCTION("GOOGLETRANSLATE(B2255,""en"",""pt-br"")"),"negativo")</f>
        <v>negativo</v>
      </c>
    </row>
    <row r="2256" ht="15.75" customHeight="1">
      <c r="A2256" s="2" t="s">
        <v>2255</v>
      </c>
      <c r="B2256" s="2" t="s">
        <v>3</v>
      </c>
      <c r="C2256" s="1" t="str">
        <f>IFERROR(__xludf.DUMMYFUNCTION("GOOGLETRANSLATE(A2256,""en"",""pt-br"")"),"caído")</f>
        <v>caído</v>
      </c>
      <c r="D2256" s="1" t="str">
        <f>IFERROR(__xludf.DUMMYFUNCTION("GOOGLETRANSLATE(B2256,""en"",""pt-br"")"),"negativo")</f>
        <v>negativo</v>
      </c>
    </row>
    <row r="2257" ht="15.75" customHeight="1">
      <c r="A2257" s="2" t="s">
        <v>2256</v>
      </c>
      <c r="B2257" s="2" t="s">
        <v>3</v>
      </c>
      <c r="C2257" s="1" t="str">
        <f>IFERROR(__xludf.DUMMYFUNCTION("GOOGLETRANSLATE(A2257,""en"",""pt-br"")"),"queda")</f>
        <v>queda</v>
      </c>
      <c r="D2257" s="1" t="str">
        <f>IFERROR(__xludf.DUMMYFUNCTION("GOOGLETRANSLATE(B2257,""en"",""pt-br"")"),"negativo")</f>
        <v>negativo</v>
      </c>
    </row>
    <row r="2258" ht="15.75" customHeight="1">
      <c r="A2258" s="2" t="s">
        <v>2257</v>
      </c>
      <c r="B2258" s="2" t="s">
        <v>3</v>
      </c>
      <c r="C2258" s="1" t="str">
        <f>IFERROR(__xludf.DUMMYFUNCTION("GOOGLETRANSLATE(A2258,""en"",""pt-br"")"),"cair")</f>
        <v>cair</v>
      </c>
      <c r="D2258" s="1" t="str">
        <f>IFERROR(__xludf.DUMMYFUNCTION("GOOGLETRANSLATE(B2258,""en"",""pt-br"")"),"negativo")</f>
        <v>negativo</v>
      </c>
    </row>
    <row r="2259" ht="15.75" customHeight="1">
      <c r="A2259" s="2" t="s">
        <v>2258</v>
      </c>
      <c r="B2259" s="2" t="s">
        <v>3</v>
      </c>
      <c r="C2259" s="1" t="str">
        <f>IFERROR(__xludf.DUMMYFUNCTION("GOOGLETRANSLATE(A2259,""en"",""pt-br"")"),"quedas")</f>
        <v>quedas</v>
      </c>
      <c r="D2259" s="1" t="str">
        <f>IFERROR(__xludf.DUMMYFUNCTION("GOOGLETRANSLATE(B2259,""en"",""pt-br"")"),"negativo")</f>
        <v>negativo</v>
      </c>
    </row>
    <row r="2260" ht="15.75" customHeight="1">
      <c r="A2260" s="2" t="s">
        <v>2259</v>
      </c>
      <c r="B2260" s="2" t="s">
        <v>3</v>
      </c>
      <c r="C2260" s="1" t="str">
        <f>IFERROR(__xludf.DUMMYFUNCTION("GOOGLETRANSLATE(A2260,""en"",""pt-br"")"),"falso")</f>
        <v>falso</v>
      </c>
      <c r="D2260" s="1" t="str">
        <f>IFERROR(__xludf.DUMMYFUNCTION("GOOGLETRANSLATE(B2260,""en"",""pt-br"")"),"negativo")</f>
        <v>negativo</v>
      </c>
    </row>
    <row r="2261" ht="15.75" customHeight="1">
      <c r="A2261" s="2" t="s">
        <v>2260</v>
      </c>
      <c r="B2261" s="2" t="s">
        <v>3</v>
      </c>
      <c r="C2261" s="1" t="str">
        <f>IFERROR(__xludf.DUMMYFUNCTION("GOOGLETRANSLATE(A2261,""en"",""pt-br"")"),"falsidade")</f>
        <v>falsidade</v>
      </c>
      <c r="D2261" s="1" t="str">
        <f>IFERROR(__xludf.DUMMYFUNCTION("GOOGLETRANSLATE(B2261,""en"",""pt-br"")"),"negativo")</f>
        <v>negativo</v>
      </c>
    </row>
    <row r="2262" ht="15.75" customHeight="1">
      <c r="A2262" s="2" t="s">
        <v>2261</v>
      </c>
      <c r="B2262" s="2" t="s">
        <v>3</v>
      </c>
      <c r="C2262" s="1" t="str">
        <f>IFERROR(__xludf.DUMMYFUNCTION("GOOGLETRANSLATE(A2262,""en"",""pt-br"")"),"falsamente")</f>
        <v>falsamente</v>
      </c>
      <c r="D2262" s="1" t="str">
        <f>IFERROR(__xludf.DUMMYFUNCTION("GOOGLETRANSLATE(B2262,""en"",""pt-br"")"),"negativo")</f>
        <v>negativo</v>
      </c>
    </row>
    <row r="2263" ht="15.75" customHeight="1">
      <c r="A2263" s="2" t="s">
        <v>2262</v>
      </c>
      <c r="B2263" s="2" t="s">
        <v>3</v>
      </c>
      <c r="C2263" s="1" t="str">
        <f>IFERROR(__xludf.DUMMYFUNCTION("GOOGLETRANSLATE(A2263,""en"",""pt-br"")"),"falsificar")</f>
        <v>falsificar</v>
      </c>
      <c r="D2263" s="1" t="str">
        <f>IFERROR(__xludf.DUMMYFUNCTION("GOOGLETRANSLATE(B2263,""en"",""pt-br"")"),"negativo")</f>
        <v>negativo</v>
      </c>
    </row>
    <row r="2264" ht="15.75" customHeight="1">
      <c r="A2264" s="2" t="s">
        <v>2263</v>
      </c>
      <c r="B2264" s="2" t="s">
        <v>3</v>
      </c>
      <c r="C2264" s="1" t="str">
        <f>IFERROR(__xludf.DUMMYFUNCTION("GOOGLETRANSLATE(A2264,""en"",""pt-br"")"),"Falter")</f>
        <v>Falter</v>
      </c>
      <c r="D2264" s="1" t="str">
        <f>IFERROR(__xludf.DUMMYFUNCTION("GOOGLETRANSLATE(B2264,""en"",""pt-br"")"),"negativo")</f>
        <v>negativo</v>
      </c>
    </row>
    <row r="2265" ht="15.75" customHeight="1">
      <c r="A2265" s="2" t="s">
        <v>2264</v>
      </c>
      <c r="B2265" s="2" t="s">
        <v>3</v>
      </c>
      <c r="C2265" s="1" t="str">
        <f>IFERROR(__xludf.DUMMYFUNCTION("GOOGLETRANSLATE(A2265,""en"",""pt-br"")"),"vacilou")</f>
        <v>vacilou</v>
      </c>
      <c r="D2265" s="1" t="str">
        <f>IFERROR(__xludf.DUMMYFUNCTION("GOOGLETRANSLATE(B2265,""en"",""pt-br"")"),"negativo")</f>
        <v>negativo</v>
      </c>
    </row>
    <row r="2266" ht="15.75" customHeight="1">
      <c r="A2266" s="2" t="s">
        <v>2265</v>
      </c>
      <c r="B2266" s="2" t="s">
        <v>14</v>
      </c>
      <c r="C2266" s="1" t="str">
        <f>IFERROR(__xludf.DUMMYFUNCTION("GOOGLETRANSLATE(A2266,""en"",""pt-br"")"),"fama")</f>
        <v>fama</v>
      </c>
      <c r="D2266" s="1" t="str">
        <f>IFERROR(__xludf.DUMMYFUNCTION("GOOGLETRANSLATE(B2266,""en"",""pt-br"")"),"positivo")</f>
        <v>positivo</v>
      </c>
    </row>
    <row r="2267" ht="15.75" customHeight="1">
      <c r="A2267" s="2" t="s">
        <v>2266</v>
      </c>
      <c r="B2267" s="2" t="s">
        <v>14</v>
      </c>
      <c r="C2267" s="1" t="str">
        <f>IFERROR(__xludf.DUMMYFUNCTION("GOOGLETRANSLATE(A2267,""en"",""pt-br"")"),"famoso")</f>
        <v>famoso</v>
      </c>
      <c r="D2267" s="1" t="str">
        <f>IFERROR(__xludf.DUMMYFUNCTION("GOOGLETRANSLATE(B2267,""en"",""pt-br"")"),"positivo")</f>
        <v>positivo</v>
      </c>
    </row>
    <row r="2268" ht="15.75" customHeight="1">
      <c r="A2268" s="2" t="s">
        <v>2267</v>
      </c>
      <c r="B2268" s="2" t="s">
        <v>3</v>
      </c>
      <c r="C2268" s="1" t="str">
        <f>IFERROR(__xludf.DUMMYFUNCTION("GOOGLETRANSLATE(A2268,""en"",""pt-br"")"),"fome")</f>
        <v>fome</v>
      </c>
      <c r="D2268" s="1" t="str">
        <f>IFERROR(__xludf.DUMMYFUNCTION("GOOGLETRANSLATE(B2268,""en"",""pt-br"")"),"negativo")</f>
        <v>negativo</v>
      </c>
    </row>
    <row r="2269" ht="15.75" customHeight="1">
      <c r="A2269" s="2" t="s">
        <v>2268</v>
      </c>
      <c r="B2269" s="2" t="s">
        <v>3</v>
      </c>
      <c r="C2269" s="1" t="str">
        <f>IFERROR(__xludf.DUMMYFUNCTION("GOOGLETRANSLATE(A2269,""en"",""pt-br"")"),"faminto")</f>
        <v>faminto</v>
      </c>
      <c r="D2269" s="1" t="str">
        <f>IFERROR(__xludf.DUMMYFUNCTION("GOOGLETRANSLATE(B2269,""en"",""pt-br"")"),"negativo")</f>
        <v>negativo</v>
      </c>
    </row>
    <row r="2270" ht="15.75" customHeight="1">
      <c r="A2270" s="2" t="s">
        <v>2269</v>
      </c>
      <c r="B2270" s="2" t="s">
        <v>14</v>
      </c>
      <c r="C2270" s="1" t="str">
        <f>IFERROR(__xludf.DUMMYFUNCTION("GOOGLETRANSLATE(A2270,""en"",""pt-br"")"),"famoso")</f>
        <v>famoso</v>
      </c>
      <c r="D2270" s="1" t="str">
        <f>IFERROR(__xludf.DUMMYFUNCTION("GOOGLETRANSLATE(B2270,""en"",""pt-br"")"),"positivo")</f>
        <v>positivo</v>
      </c>
    </row>
    <row r="2271" ht="15.75" customHeight="1">
      <c r="A2271" s="2" t="s">
        <v>2270</v>
      </c>
      <c r="B2271" s="2" t="s">
        <v>14</v>
      </c>
      <c r="C2271" s="1" t="str">
        <f>IFERROR(__xludf.DUMMYFUNCTION("GOOGLETRANSLATE(A2271,""en"",""pt-br"")"),"famosamente")</f>
        <v>famosamente</v>
      </c>
      <c r="D2271" s="1" t="str">
        <f>IFERROR(__xludf.DUMMYFUNCTION("GOOGLETRANSLATE(B2271,""en"",""pt-br"")"),"positivo")</f>
        <v>positivo</v>
      </c>
    </row>
    <row r="2272" ht="15.75" customHeight="1">
      <c r="A2272" s="2" t="s">
        <v>2271</v>
      </c>
      <c r="B2272" s="2" t="s">
        <v>3</v>
      </c>
      <c r="C2272" s="1" t="str">
        <f>IFERROR(__xludf.DUMMYFUNCTION("GOOGLETRANSLATE(A2272,""en"",""pt-br"")"),"fanático")</f>
        <v>fanático</v>
      </c>
      <c r="D2272" s="1" t="str">
        <f>IFERROR(__xludf.DUMMYFUNCTION("GOOGLETRANSLATE(B2272,""en"",""pt-br"")"),"negativo")</f>
        <v>negativo</v>
      </c>
    </row>
    <row r="2273" ht="15.75" customHeight="1">
      <c r="A2273" s="2" t="s">
        <v>2272</v>
      </c>
      <c r="B2273" s="2" t="s">
        <v>3</v>
      </c>
      <c r="C2273" s="1" t="str">
        <f>IFERROR(__xludf.DUMMYFUNCTION("GOOGLETRANSLATE(A2273,""en"",""pt-br"")"),"fanático")</f>
        <v>fanático</v>
      </c>
      <c r="D2273" s="1" t="str">
        <f>IFERROR(__xludf.DUMMYFUNCTION("GOOGLETRANSLATE(B2273,""en"",""pt-br"")"),"negativo")</f>
        <v>negativo</v>
      </c>
    </row>
    <row r="2274" ht="15.75" customHeight="1">
      <c r="A2274" s="2" t="s">
        <v>2273</v>
      </c>
      <c r="B2274" s="2" t="s">
        <v>3</v>
      </c>
      <c r="C2274" s="1" t="str">
        <f>IFERROR(__xludf.DUMMYFUNCTION("GOOGLETRANSLATE(A2274,""en"",""pt-br"")"),"fanaticamente")</f>
        <v>fanaticamente</v>
      </c>
      <c r="D2274" s="1" t="str">
        <f>IFERROR(__xludf.DUMMYFUNCTION("GOOGLETRANSLATE(B2274,""en"",""pt-br"")"),"negativo")</f>
        <v>negativo</v>
      </c>
    </row>
    <row r="2275" ht="15.75" customHeight="1">
      <c r="A2275" s="2" t="s">
        <v>2274</v>
      </c>
      <c r="B2275" s="2" t="s">
        <v>3</v>
      </c>
      <c r="C2275" s="1" t="str">
        <f>IFERROR(__xludf.DUMMYFUNCTION("GOOGLETRANSLATE(A2275,""en"",""pt-br"")"),"fanatismo")</f>
        <v>fanatismo</v>
      </c>
      <c r="D2275" s="1" t="str">
        <f>IFERROR(__xludf.DUMMYFUNCTION("GOOGLETRANSLATE(B2275,""en"",""pt-br"")"),"negativo")</f>
        <v>negativo</v>
      </c>
    </row>
    <row r="2276" ht="15.75" customHeight="1">
      <c r="A2276" s="2" t="s">
        <v>2275</v>
      </c>
      <c r="B2276" s="2" t="s">
        <v>3</v>
      </c>
      <c r="C2276" s="1" t="str">
        <f>IFERROR(__xludf.DUMMYFUNCTION("GOOGLETRANSLATE(A2276,""en"",""pt-br"")"),"fanáticos")</f>
        <v>fanáticos</v>
      </c>
      <c r="D2276" s="1" t="str">
        <f>IFERROR(__xludf.DUMMYFUNCTION("GOOGLETRANSLATE(B2276,""en"",""pt-br"")"),"negativo")</f>
        <v>negativo</v>
      </c>
    </row>
    <row r="2277" ht="15.75" customHeight="1">
      <c r="A2277" s="2" t="s">
        <v>2276</v>
      </c>
      <c r="B2277" s="2" t="s">
        <v>14</v>
      </c>
      <c r="C2277" s="1" t="str">
        <f>IFERROR(__xludf.DUMMYFUNCTION("GOOGLETRANSLATE(A2277,""en"",""pt-br"")"),"apreciador")</f>
        <v>apreciador</v>
      </c>
      <c r="D2277" s="1" t="str">
        <f>IFERROR(__xludf.DUMMYFUNCTION("GOOGLETRANSLATE(B2277,""en"",""pt-br"")"),"positivo")</f>
        <v>positivo</v>
      </c>
    </row>
    <row r="2278" ht="15.75" customHeight="1">
      <c r="A2278" s="2" t="s">
        <v>2277</v>
      </c>
      <c r="B2278" s="2" t="s">
        <v>3</v>
      </c>
      <c r="C2278" s="1" t="str">
        <f>IFERROR(__xludf.DUMMYFUNCTION("GOOGLETRANSLATE(A2278,""en"",""pt-br"")"),"caprichoso")</f>
        <v>caprichoso</v>
      </c>
      <c r="D2278" s="1" t="str">
        <f>IFERROR(__xludf.DUMMYFUNCTION("GOOGLETRANSLATE(B2278,""en"",""pt-br"")"),"negativo")</f>
        <v>negativo</v>
      </c>
    </row>
    <row r="2279" ht="15.75" customHeight="1">
      <c r="A2279" s="2" t="s">
        <v>2278</v>
      </c>
      <c r="B2279" s="2" t="s">
        <v>14</v>
      </c>
      <c r="C2279" s="1" t="str">
        <f>IFERROR(__xludf.DUMMYFUNCTION("GOOGLETRANSLATE(A2279,""en"",""pt-br"")"),"fancinating")</f>
        <v>fancinating</v>
      </c>
      <c r="D2279" s="1" t="str">
        <f>IFERROR(__xludf.DUMMYFUNCTION("GOOGLETRANSLATE(B2279,""en"",""pt-br"")"),"positivo")</f>
        <v>positivo</v>
      </c>
    </row>
    <row r="2280" ht="15.75" customHeight="1">
      <c r="A2280" s="2" t="s">
        <v>2279</v>
      </c>
      <c r="B2280" s="2" t="s">
        <v>14</v>
      </c>
      <c r="C2280" s="1" t="str">
        <f>IFERROR(__xludf.DUMMYFUNCTION("GOOGLETRANSLATE(A2280,""en"",""pt-br"")"),"chique")</f>
        <v>chique</v>
      </c>
      <c r="D2280" s="1" t="str">
        <f>IFERROR(__xludf.DUMMYFUNCTION("GOOGLETRANSLATE(B2280,""en"",""pt-br"")"),"positivo")</f>
        <v>positivo</v>
      </c>
    </row>
    <row r="2281" ht="15.75" customHeight="1">
      <c r="A2281" s="2" t="s">
        <v>2280</v>
      </c>
      <c r="B2281" s="2" t="s">
        <v>14</v>
      </c>
      <c r="C2281" s="1" t="str">
        <f>IFERROR(__xludf.DUMMYFUNCTION("GOOGLETRANSLATE(A2281,""en"",""pt-br"")"),"fanfarra")</f>
        <v>fanfarra</v>
      </c>
      <c r="D2281" s="1" t="str">
        <f>IFERROR(__xludf.DUMMYFUNCTION("GOOGLETRANSLATE(B2281,""en"",""pt-br"")"),"positivo")</f>
        <v>positivo</v>
      </c>
    </row>
    <row r="2282" ht="15.75" customHeight="1">
      <c r="A2282" s="2" t="s">
        <v>2281</v>
      </c>
      <c r="B2282" s="2" t="s">
        <v>14</v>
      </c>
      <c r="C2282" s="1" t="str">
        <f>IFERROR(__xludf.DUMMYFUNCTION("GOOGLETRANSLATE(A2282,""en"",""pt-br"")"),"fãs")</f>
        <v>fãs</v>
      </c>
      <c r="D2282" s="1" t="str">
        <f>IFERROR(__xludf.DUMMYFUNCTION("GOOGLETRANSLATE(B2282,""en"",""pt-br"")"),"positivo")</f>
        <v>positivo</v>
      </c>
    </row>
    <row r="2283" ht="15.75" customHeight="1">
      <c r="A2283" s="2" t="s">
        <v>2282</v>
      </c>
      <c r="B2283" s="2" t="s">
        <v>14</v>
      </c>
      <c r="C2283" s="1" t="str">
        <f>IFERROR(__xludf.DUMMYFUNCTION("GOOGLETRANSLATE(A2283,""en"",""pt-br"")"),"fantástico")</f>
        <v>fantástico</v>
      </c>
      <c r="D2283" s="1" t="str">
        <f>IFERROR(__xludf.DUMMYFUNCTION("GOOGLETRANSLATE(B2283,""en"",""pt-br"")"),"positivo")</f>
        <v>positivo</v>
      </c>
    </row>
    <row r="2284" ht="15.75" customHeight="1">
      <c r="A2284" s="2" t="s">
        <v>2283</v>
      </c>
      <c r="B2284" s="2" t="s">
        <v>14</v>
      </c>
      <c r="C2284" s="1" t="str">
        <f>IFERROR(__xludf.DUMMYFUNCTION("GOOGLETRANSLATE(A2284,""en"",""pt-br"")"),"fantasticamente")</f>
        <v>fantasticamente</v>
      </c>
      <c r="D2284" s="1" t="str">
        <f>IFERROR(__xludf.DUMMYFUNCTION("GOOGLETRANSLATE(B2284,""en"",""pt-br"")"),"positivo")</f>
        <v>positivo</v>
      </c>
    </row>
    <row r="2285" ht="15.75" customHeight="1">
      <c r="A2285" s="2" t="s">
        <v>2284</v>
      </c>
      <c r="B2285" s="2" t="s">
        <v>3</v>
      </c>
      <c r="C2285" s="1" t="str">
        <f>IFERROR(__xludf.DUMMYFUNCTION("GOOGLETRANSLATE(A2285,""en"",""pt-br"")"),"rebuscado")</f>
        <v>rebuscado</v>
      </c>
      <c r="D2285" s="1" t="str">
        <f>IFERROR(__xludf.DUMMYFUNCTION("GOOGLETRANSLATE(B2285,""en"",""pt-br"")"),"negativo")</f>
        <v>negativo</v>
      </c>
    </row>
    <row r="2286" ht="15.75" customHeight="1">
      <c r="A2286" s="2" t="s">
        <v>2285</v>
      </c>
      <c r="B2286" s="2" t="s">
        <v>3</v>
      </c>
      <c r="C2286" s="1" t="str">
        <f>IFERROR(__xludf.DUMMYFUNCTION("GOOGLETRANSLATE(A2286,""en"",""pt-br"")"),"farsa")</f>
        <v>farsa</v>
      </c>
      <c r="D2286" s="1" t="str">
        <f>IFERROR(__xludf.DUMMYFUNCTION("GOOGLETRANSLATE(B2286,""en"",""pt-br"")"),"negativo")</f>
        <v>negativo</v>
      </c>
    </row>
    <row r="2287" ht="15.75" customHeight="1">
      <c r="A2287" s="2" t="s">
        <v>2286</v>
      </c>
      <c r="B2287" s="2" t="s">
        <v>3</v>
      </c>
      <c r="C2287" s="1" t="str">
        <f>IFERROR(__xludf.DUMMYFUNCTION("GOOGLETRANSLATE(A2287,""en"",""pt-br"")"),"burlesco")</f>
        <v>burlesco</v>
      </c>
      <c r="D2287" s="1" t="str">
        <f>IFERROR(__xludf.DUMMYFUNCTION("GOOGLETRANSLATE(B2287,""en"",""pt-br"")"),"negativo")</f>
        <v>negativo</v>
      </c>
    </row>
    <row r="2288" ht="15.75" customHeight="1">
      <c r="A2288" s="2" t="s">
        <v>2287</v>
      </c>
      <c r="B2288" s="2" t="s">
        <v>3</v>
      </c>
      <c r="C2288" s="1" t="str">
        <f>IFERROR(__xludf.DUMMYFUNCTION("GOOGLETRANSLATE(A2288,""en"",""pt-br"")"),"farcical-ainda-provocativo")</f>
        <v>farcical-ainda-provocativo</v>
      </c>
      <c r="D2288" s="1" t="str">
        <f>IFERROR(__xludf.DUMMYFUNCTION("GOOGLETRANSLATE(B2288,""en"",""pt-br"")"),"negativo")</f>
        <v>negativo</v>
      </c>
    </row>
    <row r="2289" ht="15.75" customHeight="1">
      <c r="A2289" s="2" t="s">
        <v>2288</v>
      </c>
      <c r="B2289" s="2" t="s">
        <v>3</v>
      </c>
      <c r="C2289" s="1" t="str">
        <f>IFERROR(__xludf.DUMMYFUNCTION("GOOGLETRANSLATE(A2289,""en"",""pt-br"")"),"farcically")</f>
        <v>farcically</v>
      </c>
      <c r="D2289" s="1" t="str">
        <f>IFERROR(__xludf.DUMMYFUNCTION("GOOGLETRANSLATE(B2289,""en"",""pt-br"")"),"negativo")</f>
        <v>negativo</v>
      </c>
    </row>
    <row r="2290" ht="15.75" customHeight="1">
      <c r="A2290" s="2" t="s">
        <v>2289</v>
      </c>
      <c r="B2290" s="2" t="s">
        <v>3</v>
      </c>
      <c r="C2290" s="1" t="str">
        <f>IFERROR(__xludf.DUMMYFUNCTION("GOOGLETRANSLATE(A2290,""en"",""pt-br"")"),"farfetched")</f>
        <v>farfetched</v>
      </c>
      <c r="D2290" s="1" t="str">
        <f>IFERROR(__xludf.DUMMYFUNCTION("GOOGLETRANSLATE(B2290,""en"",""pt-br"")"),"negativo")</f>
        <v>negativo</v>
      </c>
    </row>
    <row r="2291" ht="15.75" customHeight="1">
      <c r="A2291" s="2" t="s">
        <v>2290</v>
      </c>
      <c r="B2291" s="2" t="s">
        <v>14</v>
      </c>
      <c r="C2291" s="1" t="str">
        <f>IFERROR(__xludf.DUMMYFUNCTION("GOOGLETRANSLATE(A2291,""en"",""pt-br"")"),"fascinar")</f>
        <v>fascinar</v>
      </c>
      <c r="D2291" s="1" t="str">
        <f>IFERROR(__xludf.DUMMYFUNCTION("GOOGLETRANSLATE(B2291,""en"",""pt-br"")"),"positivo")</f>
        <v>positivo</v>
      </c>
    </row>
    <row r="2292" ht="15.75" customHeight="1">
      <c r="A2292" s="2" t="s">
        <v>2291</v>
      </c>
      <c r="B2292" s="2" t="s">
        <v>14</v>
      </c>
      <c r="C2292" s="1" t="str">
        <f>IFERROR(__xludf.DUMMYFUNCTION("GOOGLETRANSLATE(A2292,""en"",""pt-br"")"),"fascinante")</f>
        <v>fascinante</v>
      </c>
      <c r="D2292" s="1" t="str">
        <f>IFERROR(__xludf.DUMMYFUNCTION("GOOGLETRANSLATE(B2292,""en"",""pt-br"")"),"positivo")</f>
        <v>positivo</v>
      </c>
    </row>
    <row r="2293" ht="15.75" customHeight="1">
      <c r="A2293" s="2" t="s">
        <v>2292</v>
      </c>
      <c r="B2293" s="2" t="s">
        <v>14</v>
      </c>
      <c r="C2293" s="1" t="str">
        <f>IFERROR(__xludf.DUMMYFUNCTION("GOOGLETRANSLATE(A2293,""en"",""pt-br"")"),"fascinantemente")</f>
        <v>fascinantemente</v>
      </c>
      <c r="D2293" s="1" t="str">
        <f>IFERROR(__xludf.DUMMYFUNCTION("GOOGLETRANSLATE(B2293,""en"",""pt-br"")"),"positivo")</f>
        <v>positivo</v>
      </c>
    </row>
    <row r="2294" ht="15.75" customHeight="1">
      <c r="A2294" s="2" t="s">
        <v>2293</v>
      </c>
      <c r="B2294" s="2" t="s">
        <v>14</v>
      </c>
      <c r="C2294" s="1" t="str">
        <f>IFERROR(__xludf.DUMMYFUNCTION("GOOGLETRANSLATE(A2294,""en"",""pt-br"")"),"fascinação")</f>
        <v>fascinação</v>
      </c>
      <c r="D2294" s="1" t="str">
        <f>IFERROR(__xludf.DUMMYFUNCTION("GOOGLETRANSLATE(B2294,""en"",""pt-br"")"),"positivo")</f>
        <v>positivo</v>
      </c>
    </row>
    <row r="2295" ht="15.75" customHeight="1">
      <c r="A2295" s="2" t="s">
        <v>2294</v>
      </c>
      <c r="B2295" s="2" t="s">
        <v>3</v>
      </c>
      <c r="C2295" s="1" t="str">
        <f>IFERROR(__xludf.DUMMYFUNCTION("GOOGLETRANSLATE(A2295,""en"",""pt-br"")"),"fascismo")</f>
        <v>fascismo</v>
      </c>
      <c r="D2295" s="1" t="str">
        <f>IFERROR(__xludf.DUMMYFUNCTION("GOOGLETRANSLATE(B2295,""en"",""pt-br"")"),"negativo")</f>
        <v>negativo</v>
      </c>
    </row>
    <row r="2296" ht="15.75" customHeight="1">
      <c r="A2296" s="2" t="s">
        <v>2295</v>
      </c>
      <c r="B2296" s="2" t="s">
        <v>3</v>
      </c>
      <c r="C2296" s="1" t="str">
        <f>IFERROR(__xludf.DUMMYFUNCTION("GOOGLETRANSLATE(A2296,""en"",""pt-br"")"),"fascista")</f>
        <v>fascista</v>
      </c>
      <c r="D2296" s="1" t="str">
        <f>IFERROR(__xludf.DUMMYFUNCTION("GOOGLETRANSLATE(B2296,""en"",""pt-br"")"),"negativo")</f>
        <v>negativo</v>
      </c>
    </row>
    <row r="2297" ht="15.75" customHeight="1">
      <c r="A2297" s="2" t="s">
        <v>2296</v>
      </c>
      <c r="B2297" s="2" t="s">
        <v>14</v>
      </c>
      <c r="C2297" s="1" t="str">
        <f>IFERROR(__xludf.DUMMYFUNCTION("GOOGLETRANSLATE(A2297,""en"",""pt-br"")"),"elegante")</f>
        <v>elegante</v>
      </c>
      <c r="D2297" s="1" t="str">
        <f>IFERROR(__xludf.DUMMYFUNCTION("GOOGLETRANSLATE(B2297,""en"",""pt-br"")"),"positivo")</f>
        <v>positivo</v>
      </c>
    </row>
    <row r="2298" ht="15.75" customHeight="1">
      <c r="A2298" s="2" t="s">
        <v>2297</v>
      </c>
      <c r="B2298" s="2" t="s">
        <v>14</v>
      </c>
      <c r="C2298" s="1" t="str">
        <f>IFERROR(__xludf.DUMMYFUNCTION("GOOGLETRANSLATE(A2298,""en"",""pt-br"")"),"elegantemente")</f>
        <v>elegantemente</v>
      </c>
      <c r="D2298" s="1" t="str">
        <f>IFERROR(__xludf.DUMMYFUNCTION("GOOGLETRANSLATE(B2298,""en"",""pt-br"")"),"positivo")</f>
        <v>positivo</v>
      </c>
    </row>
    <row r="2299" ht="15.75" customHeight="1">
      <c r="A2299" s="2" t="s">
        <v>2298</v>
      </c>
      <c r="B2299" s="2" t="s">
        <v>14</v>
      </c>
      <c r="C2299" s="1" t="str">
        <f>IFERROR(__xludf.DUMMYFUNCTION("GOOGLETRANSLATE(A2299,""en"",""pt-br"")"),"velozes")</f>
        <v>velozes</v>
      </c>
      <c r="D2299" s="1" t="str">
        <f>IFERROR(__xludf.DUMMYFUNCTION("GOOGLETRANSLATE(B2299,""en"",""pt-br"")"),"positivo")</f>
        <v>positivo</v>
      </c>
    </row>
    <row r="2300" ht="15.75" customHeight="1">
      <c r="A2300" s="2" t="s">
        <v>2299</v>
      </c>
      <c r="B2300" s="2" t="s">
        <v>14</v>
      </c>
      <c r="C2300" s="1" t="str">
        <f>IFERROR(__xludf.DUMMYFUNCTION("GOOGLETRANSLATE(A2300,""en"",""pt-br"")"),"em rápido crescimento")</f>
        <v>em rápido crescimento</v>
      </c>
      <c r="D2300" s="1" t="str">
        <f>IFERROR(__xludf.DUMMYFUNCTION("GOOGLETRANSLATE(B2300,""en"",""pt-br"")"),"positivo")</f>
        <v>positivo</v>
      </c>
    </row>
    <row r="2301" ht="15.75" customHeight="1">
      <c r="A2301" s="2" t="s">
        <v>2300</v>
      </c>
      <c r="B2301" s="2" t="s">
        <v>14</v>
      </c>
      <c r="C2301" s="1" t="str">
        <f>IFERROR(__xludf.DUMMYFUNCTION("GOOGLETRANSLATE(A2301,""en"",""pt-br"")"),"ritmo acelerado")</f>
        <v>ritmo acelerado</v>
      </c>
      <c r="D2301" s="1" t="str">
        <f>IFERROR(__xludf.DUMMYFUNCTION("GOOGLETRANSLATE(B2301,""en"",""pt-br"")"),"positivo")</f>
        <v>positivo</v>
      </c>
    </row>
    <row r="2302" ht="15.75" customHeight="1">
      <c r="A2302" s="2" t="s">
        <v>2301</v>
      </c>
      <c r="B2302" s="2" t="s">
        <v>14</v>
      </c>
      <c r="C2302" s="1" t="str">
        <f>IFERROR(__xludf.DUMMYFUNCTION("GOOGLETRANSLATE(A2302,""en"",""pt-br"")"),"Mais rápido")</f>
        <v>Mais rápido</v>
      </c>
      <c r="D2302" s="1" t="str">
        <f>IFERROR(__xludf.DUMMYFUNCTION("GOOGLETRANSLATE(B2302,""en"",""pt-br"")"),"positivo")</f>
        <v>positivo</v>
      </c>
    </row>
    <row r="2303" ht="15.75" customHeight="1">
      <c r="A2303" s="2" t="s">
        <v>2302</v>
      </c>
      <c r="B2303" s="2" t="s">
        <v>14</v>
      </c>
      <c r="C2303" s="1" t="str">
        <f>IFERROR(__xludf.DUMMYFUNCTION("GOOGLETRANSLATE(A2303,""en"",""pt-br"")"),"o mais rápido")</f>
        <v>o mais rápido</v>
      </c>
      <c r="D2303" s="1" t="str">
        <f>IFERROR(__xludf.DUMMYFUNCTION("GOOGLETRANSLATE(B2303,""en"",""pt-br"")"),"positivo")</f>
        <v>positivo</v>
      </c>
    </row>
    <row r="2304" ht="15.75" customHeight="1">
      <c r="A2304" s="2" t="s">
        <v>2303</v>
      </c>
      <c r="B2304" s="2" t="s">
        <v>14</v>
      </c>
      <c r="C2304" s="1" t="str">
        <f>IFERROR(__xludf.DUMMYFUNCTION("GOOGLETRANSLATE(A2304,""en"",""pt-br"")"),"maior crescimento")</f>
        <v>maior crescimento</v>
      </c>
      <c r="D2304" s="1" t="str">
        <f>IFERROR(__xludf.DUMMYFUNCTION("GOOGLETRANSLATE(B2304,""en"",""pt-br"")"),"positivo")</f>
        <v>positivo</v>
      </c>
    </row>
    <row r="2305" ht="15.75" customHeight="1">
      <c r="A2305" s="2" t="s">
        <v>2304</v>
      </c>
      <c r="B2305" s="2" t="s">
        <v>3</v>
      </c>
      <c r="C2305" s="1" t="str">
        <f>IFERROR(__xludf.DUMMYFUNCTION("GOOGLETRANSLATE(A2305,""en"",""pt-br"")"),"fastidioso")</f>
        <v>fastidioso</v>
      </c>
      <c r="D2305" s="1" t="str">
        <f>IFERROR(__xludf.DUMMYFUNCTION("GOOGLETRANSLATE(B2305,""en"",""pt-br"")"),"negativo")</f>
        <v>negativo</v>
      </c>
    </row>
    <row r="2306" ht="15.75" customHeight="1">
      <c r="A2306" s="2" t="s">
        <v>2305</v>
      </c>
      <c r="B2306" s="2" t="s">
        <v>3</v>
      </c>
      <c r="C2306" s="1" t="str">
        <f>IFERROR(__xludf.DUMMYFUNCTION("GOOGLETRANSLATE(A2306,""en"",""pt-br"")"),"fastidiously")</f>
        <v>fastidiously</v>
      </c>
      <c r="D2306" s="1" t="str">
        <f>IFERROR(__xludf.DUMMYFUNCTION("GOOGLETRANSLATE(B2306,""en"",""pt-br"")"),"negativo")</f>
        <v>negativo</v>
      </c>
    </row>
    <row r="2307" ht="15.75" customHeight="1">
      <c r="A2307" s="2" t="s">
        <v>2306</v>
      </c>
      <c r="B2307" s="2" t="s">
        <v>3</v>
      </c>
      <c r="C2307" s="1" t="str">
        <f>IFERROR(__xludf.DUMMYFUNCTION("GOOGLETRANSLATE(A2307,""en"",""pt-br"")"),"fastuous")</f>
        <v>fastuous</v>
      </c>
      <c r="D2307" s="1" t="str">
        <f>IFERROR(__xludf.DUMMYFUNCTION("GOOGLETRANSLATE(B2307,""en"",""pt-br"")"),"negativo")</f>
        <v>negativo</v>
      </c>
    </row>
    <row r="2308" ht="15.75" customHeight="1">
      <c r="A2308" s="2" t="s">
        <v>2307</v>
      </c>
      <c r="B2308" s="2" t="s">
        <v>3</v>
      </c>
      <c r="C2308" s="1" t="str">
        <f>IFERROR(__xludf.DUMMYFUNCTION("GOOGLETRANSLATE(A2308,""en"",""pt-br"")"),"gordura")</f>
        <v>gordura</v>
      </c>
      <c r="D2308" s="1" t="str">
        <f>IFERROR(__xludf.DUMMYFUNCTION("GOOGLETRANSLATE(B2308,""en"",""pt-br"")"),"negativo")</f>
        <v>negativo</v>
      </c>
    </row>
    <row r="2309" ht="15.75" customHeight="1">
      <c r="A2309" s="2" t="s">
        <v>2308</v>
      </c>
      <c r="B2309" s="2" t="s">
        <v>3</v>
      </c>
      <c r="C2309" s="1" t="str">
        <f>IFERROR(__xludf.DUMMYFUNCTION("GOOGLETRANSLATE(A2309,""en"",""pt-br"")"),"gato gordo")</f>
        <v>gato gordo</v>
      </c>
      <c r="D2309" s="1" t="str">
        <f>IFERROR(__xludf.DUMMYFUNCTION("GOOGLETRANSLATE(B2309,""en"",""pt-br"")"),"negativo")</f>
        <v>negativo</v>
      </c>
    </row>
    <row r="2310" ht="15.75" customHeight="1">
      <c r="A2310" s="2" t="s">
        <v>2309</v>
      </c>
      <c r="B2310" s="2" t="s">
        <v>3</v>
      </c>
      <c r="C2310" s="1" t="str">
        <f>IFERROR(__xludf.DUMMYFUNCTION("GOOGLETRANSLATE(A2310,""en"",""pt-br"")"),"gatos gordos")</f>
        <v>gatos gordos</v>
      </c>
      <c r="D2310" s="1" t="str">
        <f>IFERROR(__xludf.DUMMYFUNCTION("GOOGLETRANSLATE(B2310,""en"",""pt-br"")"),"negativo")</f>
        <v>negativo</v>
      </c>
    </row>
    <row r="2311" ht="15.75" customHeight="1">
      <c r="A2311" s="2" t="s">
        <v>2310</v>
      </c>
      <c r="B2311" s="2" t="s">
        <v>3</v>
      </c>
      <c r="C2311" s="1" t="str">
        <f>IFERROR(__xludf.DUMMYFUNCTION("GOOGLETRANSLATE(A2311,""en"",""pt-br"")"),"fatal")</f>
        <v>fatal</v>
      </c>
      <c r="D2311" s="1" t="str">
        <f>IFERROR(__xludf.DUMMYFUNCTION("GOOGLETRANSLATE(B2311,""en"",""pt-br"")"),"negativo")</f>
        <v>negativo</v>
      </c>
    </row>
    <row r="2312" ht="15.75" customHeight="1">
      <c r="A2312" s="2" t="s">
        <v>2311</v>
      </c>
      <c r="B2312" s="2" t="s">
        <v>3</v>
      </c>
      <c r="C2312" s="1" t="str">
        <f>IFERROR(__xludf.DUMMYFUNCTION("GOOGLETRANSLATE(A2312,""en"",""pt-br"")"),"fatalista")</f>
        <v>fatalista</v>
      </c>
      <c r="D2312" s="1" t="str">
        <f>IFERROR(__xludf.DUMMYFUNCTION("GOOGLETRANSLATE(B2312,""en"",""pt-br"")"),"negativo")</f>
        <v>negativo</v>
      </c>
    </row>
    <row r="2313" ht="15.75" customHeight="1">
      <c r="A2313" s="2" t="s">
        <v>2312</v>
      </c>
      <c r="B2313" s="2" t="s">
        <v>3</v>
      </c>
      <c r="C2313" s="1" t="str">
        <f>IFERROR(__xludf.DUMMYFUNCTION("GOOGLETRANSLATE(A2313,""en"",""pt-br"")"),"fatalista")</f>
        <v>fatalista</v>
      </c>
      <c r="D2313" s="1" t="str">
        <f>IFERROR(__xludf.DUMMYFUNCTION("GOOGLETRANSLATE(B2313,""en"",""pt-br"")"),"negativo")</f>
        <v>negativo</v>
      </c>
    </row>
    <row r="2314" ht="15.75" customHeight="1">
      <c r="A2314" s="2" t="s">
        <v>2313</v>
      </c>
      <c r="B2314" s="2" t="s">
        <v>3</v>
      </c>
      <c r="C2314" s="1" t="str">
        <f>IFERROR(__xludf.DUMMYFUNCTION("GOOGLETRANSLATE(A2314,""en"",""pt-br"")"),"fatalmente")</f>
        <v>fatalmente</v>
      </c>
      <c r="D2314" s="1" t="str">
        <f>IFERROR(__xludf.DUMMYFUNCTION("GOOGLETRANSLATE(B2314,""en"",""pt-br"")"),"negativo")</f>
        <v>negativo</v>
      </c>
    </row>
    <row r="2315" ht="15.75" customHeight="1">
      <c r="A2315" s="2" t="s">
        <v>2314</v>
      </c>
      <c r="B2315" s="2" t="s">
        <v>3</v>
      </c>
      <c r="C2315" s="1" t="str">
        <f>IFERROR(__xludf.DUMMYFUNCTION("GOOGLETRANSLATE(A2315,""en"",""pt-br"")"),"gato gordo")</f>
        <v>gato gordo</v>
      </c>
      <c r="D2315" s="1" t="str">
        <f>IFERROR(__xludf.DUMMYFUNCTION("GOOGLETRANSLATE(B2315,""en"",""pt-br"")"),"negativo")</f>
        <v>negativo</v>
      </c>
    </row>
    <row r="2316" ht="15.75" customHeight="1">
      <c r="A2316" s="2" t="s">
        <v>2315</v>
      </c>
      <c r="B2316" s="2" t="s">
        <v>3</v>
      </c>
      <c r="C2316" s="1" t="str">
        <f>IFERROR(__xludf.DUMMYFUNCTION("GOOGLETRANSLATE(A2316,""en"",""pt-br"")"),"gatos gordos")</f>
        <v>gatos gordos</v>
      </c>
      <c r="D2316" s="1" t="str">
        <f>IFERROR(__xludf.DUMMYFUNCTION("GOOGLETRANSLATE(B2316,""en"",""pt-br"")"),"negativo")</f>
        <v>negativo</v>
      </c>
    </row>
    <row r="2317" ht="15.75" customHeight="1">
      <c r="A2317" s="2" t="s">
        <v>2316</v>
      </c>
      <c r="B2317" s="2" t="s">
        <v>3</v>
      </c>
      <c r="C2317" s="1" t="str">
        <f>IFERROR(__xludf.DUMMYFUNCTION("GOOGLETRANSLATE(A2317,""en"",""pt-br"")"),"fatídico")</f>
        <v>fatídico</v>
      </c>
      <c r="D2317" s="1" t="str">
        <f>IFERROR(__xludf.DUMMYFUNCTION("GOOGLETRANSLATE(B2317,""en"",""pt-br"")"),"negativo")</f>
        <v>negativo</v>
      </c>
    </row>
    <row r="2318" ht="15.75" customHeight="1">
      <c r="A2318" s="2" t="s">
        <v>2317</v>
      </c>
      <c r="B2318" s="2" t="s">
        <v>3</v>
      </c>
      <c r="C2318" s="1" t="str">
        <f>IFERROR(__xludf.DUMMYFUNCTION("GOOGLETRANSLATE(A2318,""en"",""pt-br"")"),"fatalmente")</f>
        <v>fatalmente</v>
      </c>
      <c r="D2318" s="1" t="str">
        <f>IFERROR(__xludf.DUMMYFUNCTION("GOOGLETRANSLATE(B2318,""en"",""pt-br"")"),"negativo")</f>
        <v>negativo</v>
      </c>
    </row>
    <row r="2319" ht="15.75" customHeight="1">
      <c r="A2319" s="2" t="s">
        <v>2318</v>
      </c>
      <c r="B2319" s="2" t="s">
        <v>3</v>
      </c>
      <c r="C2319" s="1" t="str">
        <f>IFERROR(__xludf.DUMMYFUNCTION("GOOGLETRANSLATE(A2319,""en"",""pt-br"")"),"insondável")</f>
        <v>insondável</v>
      </c>
      <c r="D2319" s="1" t="str">
        <f>IFERROR(__xludf.DUMMYFUNCTION("GOOGLETRANSLATE(B2319,""en"",""pt-br"")"),"negativo")</f>
        <v>negativo</v>
      </c>
    </row>
    <row r="2320" ht="15.75" customHeight="1">
      <c r="A2320" s="2" t="s">
        <v>2319</v>
      </c>
      <c r="B2320" s="2" t="s">
        <v>3</v>
      </c>
      <c r="C2320" s="1" t="str">
        <f>IFERROR(__xludf.DUMMYFUNCTION("GOOGLETRANSLATE(A2320,""en"",""pt-br"")"),"fadiga")</f>
        <v>fadiga</v>
      </c>
      <c r="D2320" s="1" t="str">
        <f>IFERROR(__xludf.DUMMYFUNCTION("GOOGLETRANSLATE(B2320,""en"",""pt-br"")"),"negativo")</f>
        <v>negativo</v>
      </c>
    </row>
    <row r="2321" ht="15.75" customHeight="1">
      <c r="A2321" s="2" t="s">
        <v>2320</v>
      </c>
      <c r="B2321" s="2" t="s">
        <v>3</v>
      </c>
      <c r="C2321" s="1" t="str">
        <f>IFERROR(__xludf.DUMMYFUNCTION("GOOGLETRANSLATE(A2321,""en"",""pt-br"")"),"fatigado")</f>
        <v>fatigado</v>
      </c>
      <c r="D2321" s="1" t="str">
        <f>IFERROR(__xludf.DUMMYFUNCTION("GOOGLETRANSLATE(B2321,""en"",""pt-br"")"),"negativo")</f>
        <v>negativo</v>
      </c>
    </row>
    <row r="2322" ht="15.75" customHeight="1">
      <c r="A2322" s="2" t="s">
        <v>2321</v>
      </c>
      <c r="B2322" s="2" t="s">
        <v>3</v>
      </c>
      <c r="C2322" s="1" t="str">
        <f>IFERROR(__xludf.DUMMYFUNCTION("GOOGLETRANSLATE(A2322,""en"",""pt-br"")"),"fatique")</f>
        <v>fatique</v>
      </c>
      <c r="D2322" s="1" t="str">
        <f>IFERROR(__xludf.DUMMYFUNCTION("GOOGLETRANSLATE(B2322,""en"",""pt-br"")"),"negativo")</f>
        <v>negativo</v>
      </c>
    </row>
    <row r="2323" ht="15.75" customHeight="1">
      <c r="A2323" s="2" t="s">
        <v>2322</v>
      </c>
      <c r="B2323" s="2" t="s">
        <v>3</v>
      </c>
      <c r="C2323" s="1" t="str">
        <f>IFERROR(__xludf.DUMMYFUNCTION("GOOGLETRANSLATE(A2323,""en"",""pt-br"")"),"gordinho")</f>
        <v>gordinho</v>
      </c>
      <c r="D2323" s="1" t="str">
        <f>IFERROR(__xludf.DUMMYFUNCTION("GOOGLETRANSLATE(B2323,""en"",""pt-br"")"),"negativo")</f>
        <v>negativo</v>
      </c>
    </row>
    <row r="2324" ht="15.75" customHeight="1">
      <c r="A2324" s="2" t="s">
        <v>2323</v>
      </c>
      <c r="B2324" s="2" t="s">
        <v>3</v>
      </c>
      <c r="C2324" s="1" t="str">
        <f>IFERROR(__xludf.DUMMYFUNCTION("GOOGLETRANSLATE(A2324,""en"",""pt-br"")"),"estupidez")</f>
        <v>estupidez</v>
      </c>
      <c r="D2324" s="1" t="str">
        <f>IFERROR(__xludf.DUMMYFUNCTION("GOOGLETRANSLATE(B2324,""en"",""pt-br"")"),"negativo")</f>
        <v>negativo</v>
      </c>
    </row>
    <row r="2325" ht="15.75" customHeight="1">
      <c r="A2325" s="2" t="s">
        <v>2324</v>
      </c>
      <c r="B2325" s="2" t="s">
        <v>3</v>
      </c>
      <c r="C2325" s="1" t="str">
        <f>IFERROR(__xludf.DUMMYFUNCTION("GOOGLETRANSLATE(A2325,""en"",""pt-br"")"),"fátuo")</f>
        <v>fátuo</v>
      </c>
      <c r="D2325" s="1" t="str">
        <f>IFERROR(__xludf.DUMMYFUNCTION("GOOGLETRANSLATE(B2325,""en"",""pt-br"")"),"negativo")</f>
        <v>negativo</v>
      </c>
    </row>
    <row r="2326" ht="15.75" customHeight="1">
      <c r="A2326" s="2" t="s">
        <v>2325</v>
      </c>
      <c r="B2326" s="2" t="s">
        <v>3</v>
      </c>
      <c r="C2326" s="1" t="str">
        <f>IFERROR(__xludf.DUMMYFUNCTION("GOOGLETRANSLATE(A2326,""en"",""pt-br"")"),"fatuously")</f>
        <v>fatuously</v>
      </c>
      <c r="D2326" s="1" t="str">
        <f>IFERROR(__xludf.DUMMYFUNCTION("GOOGLETRANSLATE(B2326,""en"",""pt-br"")"),"negativo")</f>
        <v>negativo</v>
      </c>
    </row>
    <row r="2327" ht="15.75" customHeight="1">
      <c r="A2327" s="2" t="s">
        <v>2326</v>
      </c>
      <c r="B2327" s="2" t="s">
        <v>3</v>
      </c>
      <c r="C2327" s="1" t="str">
        <f>IFERROR(__xludf.DUMMYFUNCTION("GOOGLETRANSLATE(A2327,""en"",""pt-br"")"),"culpa")</f>
        <v>culpa</v>
      </c>
      <c r="D2327" s="1" t="str">
        <f>IFERROR(__xludf.DUMMYFUNCTION("GOOGLETRANSLATE(B2327,""en"",""pt-br"")"),"negativo")</f>
        <v>negativo</v>
      </c>
    </row>
    <row r="2328" ht="15.75" customHeight="1">
      <c r="A2328" s="2" t="s">
        <v>2327</v>
      </c>
      <c r="B2328" s="2" t="s">
        <v>14</v>
      </c>
      <c r="C2328" s="1" t="str">
        <f>IFERROR(__xludf.DUMMYFUNCTION("GOOGLETRANSLATE(A2328,""en"",""pt-br"")"),"impecável")</f>
        <v>impecável</v>
      </c>
      <c r="D2328" s="1" t="str">
        <f>IFERROR(__xludf.DUMMYFUNCTION("GOOGLETRANSLATE(B2328,""en"",""pt-br"")"),"positivo")</f>
        <v>positivo</v>
      </c>
    </row>
    <row r="2329" ht="15.75" customHeight="1">
      <c r="A2329" s="2" t="s">
        <v>2328</v>
      </c>
      <c r="B2329" s="2" t="s">
        <v>3</v>
      </c>
      <c r="C2329" s="1" t="str">
        <f>IFERROR(__xludf.DUMMYFUNCTION("GOOGLETRANSLATE(A2329,""en"",""pt-br"")"),"falhas, panes")</f>
        <v>falhas, panes</v>
      </c>
      <c r="D2329" s="1" t="str">
        <f>IFERROR(__xludf.DUMMYFUNCTION("GOOGLETRANSLATE(B2329,""en"",""pt-br"")"),"negativo")</f>
        <v>negativo</v>
      </c>
    </row>
    <row r="2330" ht="15.75" customHeight="1">
      <c r="A2330" s="2" t="s">
        <v>2329</v>
      </c>
      <c r="B2330" s="2" t="s">
        <v>3</v>
      </c>
      <c r="C2330" s="1" t="str">
        <f>IFERROR(__xludf.DUMMYFUNCTION("GOOGLETRANSLATE(A2330,""en"",""pt-br"")"),"defeituoso")</f>
        <v>defeituoso</v>
      </c>
      <c r="D2330" s="1" t="str">
        <f>IFERROR(__xludf.DUMMYFUNCTION("GOOGLETRANSLATE(B2330,""en"",""pt-br"")"),"negativo")</f>
        <v>negativo</v>
      </c>
    </row>
    <row r="2331" ht="15.75" customHeight="1">
      <c r="A2331" s="2" t="s">
        <v>2330</v>
      </c>
      <c r="B2331" s="2" t="s">
        <v>14</v>
      </c>
      <c r="C2331" s="1" t="str">
        <f>IFERROR(__xludf.DUMMYFUNCTION("GOOGLETRANSLATE(A2331,""en"",""pt-br"")"),"fav")</f>
        <v>fav</v>
      </c>
      <c r="D2331" s="1" t="str">
        <f>IFERROR(__xludf.DUMMYFUNCTION("GOOGLETRANSLATE(B2331,""en"",""pt-br"")"),"positivo")</f>
        <v>positivo</v>
      </c>
    </row>
    <row r="2332" ht="15.75" customHeight="1">
      <c r="A2332" s="2" t="s">
        <v>2331</v>
      </c>
      <c r="B2332" s="2" t="s">
        <v>14</v>
      </c>
      <c r="C2332" s="1" t="str">
        <f>IFERROR(__xludf.DUMMYFUNCTION("GOOGLETRANSLATE(A2332,""en"",""pt-br"")"),"Favorito")</f>
        <v>Favorito</v>
      </c>
      <c r="D2332" s="1" t="str">
        <f>IFERROR(__xludf.DUMMYFUNCTION("GOOGLETRANSLATE(B2332,""en"",""pt-br"")"),"positivo")</f>
        <v>positivo</v>
      </c>
    </row>
    <row r="2333" ht="15.75" customHeight="1">
      <c r="A2333" s="2" t="s">
        <v>2332</v>
      </c>
      <c r="B2333" s="2" t="s">
        <v>14</v>
      </c>
      <c r="C2333" s="1" t="str">
        <f>IFERROR(__xludf.DUMMYFUNCTION("GOOGLETRANSLATE(A2333,""en"",""pt-br"")"),"Favor")</f>
        <v>Favor</v>
      </c>
      <c r="D2333" s="1" t="str">
        <f>IFERROR(__xludf.DUMMYFUNCTION("GOOGLETRANSLATE(B2333,""en"",""pt-br"")"),"positivo")</f>
        <v>positivo</v>
      </c>
    </row>
    <row r="2334" ht="15.75" customHeight="1">
      <c r="A2334" s="2" t="s">
        <v>2333</v>
      </c>
      <c r="B2334" s="2" t="s">
        <v>14</v>
      </c>
      <c r="C2334" s="1" t="str">
        <f>IFERROR(__xludf.DUMMYFUNCTION("GOOGLETRANSLATE(A2334,""en"",""pt-br"")"),"favorável")</f>
        <v>favorável</v>
      </c>
      <c r="D2334" s="1" t="str">
        <f>IFERROR(__xludf.DUMMYFUNCTION("GOOGLETRANSLATE(B2334,""en"",""pt-br"")"),"positivo")</f>
        <v>positivo</v>
      </c>
    </row>
    <row r="2335" ht="15.75" customHeight="1">
      <c r="A2335" s="2" t="s">
        <v>2334</v>
      </c>
      <c r="B2335" s="2" t="s">
        <v>14</v>
      </c>
      <c r="C2335" s="1" t="str">
        <f>IFERROR(__xludf.DUMMYFUNCTION("GOOGLETRANSLATE(A2335,""en"",""pt-br"")"),"favorecido")</f>
        <v>favorecido</v>
      </c>
      <c r="D2335" s="1" t="str">
        <f>IFERROR(__xludf.DUMMYFUNCTION("GOOGLETRANSLATE(B2335,""en"",""pt-br"")"),"positivo")</f>
        <v>positivo</v>
      </c>
    </row>
    <row r="2336" ht="15.75" customHeight="1">
      <c r="A2336" s="2" t="s">
        <v>2335</v>
      </c>
      <c r="B2336" s="2" t="s">
        <v>14</v>
      </c>
      <c r="C2336" s="1" t="str">
        <f>IFERROR(__xludf.DUMMYFUNCTION("GOOGLETRANSLATE(A2336,""en"",""pt-br"")"),"favorito")</f>
        <v>favorito</v>
      </c>
      <c r="D2336" s="1" t="str">
        <f>IFERROR(__xludf.DUMMYFUNCTION("GOOGLETRANSLATE(B2336,""en"",""pt-br"")"),"positivo")</f>
        <v>positivo</v>
      </c>
    </row>
    <row r="2337" ht="15.75" customHeight="1">
      <c r="A2337" s="2" t="s">
        <v>2336</v>
      </c>
      <c r="B2337" s="2" t="s">
        <v>14</v>
      </c>
      <c r="C2337" s="1" t="str">
        <f>IFERROR(__xludf.DUMMYFUNCTION("GOOGLETRANSLATE(A2337,""en"",""pt-br"")"),"Favorito")</f>
        <v>Favorito</v>
      </c>
      <c r="D2337" s="1" t="str">
        <f>IFERROR(__xludf.DUMMYFUNCTION("GOOGLETRANSLATE(B2337,""en"",""pt-br"")"),"positivo")</f>
        <v>positivo</v>
      </c>
    </row>
    <row r="2338" ht="15.75" customHeight="1">
      <c r="A2338" s="2" t="s">
        <v>2337</v>
      </c>
      <c r="B2338" s="2" t="s">
        <v>14</v>
      </c>
      <c r="C2338" s="1" t="str">
        <f>IFERROR(__xludf.DUMMYFUNCTION("GOOGLETRANSLATE(A2338,""en"",""pt-br"")"),"Favor")</f>
        <v>Favor</v>
      </c>
      <c r="D2338" s="1" t="str">
        <f>IFERROR(__xludf.DUMMYFUNCTION("GOOGLETRANSLATE(B2338,""en"",""pt-br"")"),"positivo")</f>
        <v>positivo</v>
      </c>
    </row>
    <row r="2339" ht="15.75" customHeight="1">
      <c r="A2339" s="2" t="s">
        <v>2338</v>
      </c>
      <c r="B2339" s="2" t="s">
        <v>3</v>
      </c>
      <c r="C2339" s="1" t="str">
        <f>IFERROR(__xludf.DUMMYFUNCTION("GOOGLETRANSLATE(A2339,""en"",""pt-br"")"),"fawningly")</f>
        <v>fawningly</v>
      </c>
      <c r="D2339" s="1" t="str">
        <f>IFERROR(__xludf.DUMMYFUNCTION("GOOGLETRANSLATE(B2339,""en"",""pt-br"")"),"negativo")</f>
        <v>negativo</v>
      </c>
    </row>
    <row r="2340" ht="15.75" customHeight="1">
      <c r="A2340" s="2" t="s">
        <v>2339</v>
      </c>
      <c r="B2340" s="2" t="s">
        <v>3</v>
      </c>
      <c r="C2340" s="1" t="str">
        <f>IFERROR(__xludf.DUMMYFUNCTION("GOOGLETRANSLATE(A2340,""en"",""pt-br"")"),"faze")</f>
        <v>faze</v>
      </c>
      <c r="D2340" s="1" t="str">
        <f>IFERROR(__xludf.DUMMYFUNCTION("GOOGLETRANSLATE(B2340,""en"",""pt-br"")"),"negativo")</f>
        <v>negativo</v>
      </c>
    </row>
    <row r="2341" ht="15.75" customHeight="1">
      <c r="A2341" s="2" t="s">
        <v>2340</v>
      </c>
      <c r="B2341" s="2" t="s">
        <v>3</v>
      </c>
      <c r="C2341" s="1" t="str">
        <f>IFERROR(__xludf.DUMMYFUNCTION("GOOGLETRANSLATE(A2341,""en"",""pt-br"")"),"medo")</f>
        <v>medo</v>
      </c>
      <c r="D2341" s="1" t="str">
        <f>IFERROR(__xludf.DUMMYFUNCTION("GOOGLETRANSLATE(B2341,""en"",""pt-br"")"),"negativo")</f>
        <v>negativo</v>
      </c>
    </row>
    <row r="2342" ht="15.75" customHeight="1">
      <c r="A2342" s="2" t="s">
        <v>2341</v>
      </c>
      <c r="B2342" s="2" t="s">
        <v>3</v>
      </c>
      <c r="C2342" s="1" t="str">
        <f>IFERROR(__xludf.DUMMYFUNCTION("GOOGLETRANSLATE(A2342,""en"",""pt-br"")"),"temeroso")</f>
        <v>temeroso</v>
      </c>
      <c r="D2342" s="1" t="str">
        <f>IFERROR(__xludf.DUMMYFUNCTION("GOOGLETRANSLATE(B2342,""en"",""pt-br"")"),"negativo")</f>
        <v>negativo</v>
      </c>
    </row>
    <row r="2343" ht="15.75" customHeight="1">
      <c r="A2343" s="2" t="s">
        <v>2342</v>
      </c>
      <c r="B2343" s="2" t="s">
        <v>3</v>
      </c>
      <c r="C2343" s="1" t="str">
        <f>IFERROR(__xludf.DUMMYFUNCTION("GOOGLETRANSLATE(A2343,""en"",""pt-br"")"),"medrosamente")</f>
        <v>medrosamente</v>
      </c>
      <c r="D2343" s="1" t="str">
        <f>IFERROR(__xludf.DUMMYFUNCTION("GOOGLETRANSLATE(B2343,""en"",""pt-br"")"),"negativo")</f>
        <v>negativo</v>
      </c>
    </row>
    <row r="2344" ht="15.75" customHeight="1">
      <c r="A2344" s="2" t="s">
        <v>2343</v>
      </c>
      <c r="B2344" s="2" t="s">
        <v>14</v>
      </c>
      <c r="C2344" s="1" t="str">
        <f>IFERROR(__xludf.DUMMYFUNCTION("GOOGLETRANSLATE(A2344,""en"",""pt-br"")"),"destemido")</f>
        <v>destemido</v>
      </c>
      <c r="D2344" s="1" t="str">
        <f>IFERROR(__xludf.DUMMYFUNCTION("GOOGLETRANSLATE(B2344,""en"",""pt-br"")"),"positivo")</f>
        <v>positivo</v>
      </c>
    </row>
    <row r="2345" ht="15.75" customHeight="1">
      <c r="A2345" s="2" t="s">
        <v>2344</v>
      </c>
      <c r="B2345" s="2" t="s">
        <v>14</v>
      </c>
      <c r="C2345" s="1" t="str">
        <f>IFERROR(__xludf.DUMMYFUNCTION("GOOGLETRANSLATE(A2345,""en"",""pt-br"")"),"destemidamente")</f>
        <v>destemidamente</v>
      </c>
      <c r="D2345" s="1" t="str">
        <f>IFERROR(__xludf.DUMMYFUNCTION("GOOGLETRANSLATE(B2345,""en"",""pt-br"")"),"positivo")</f>
        <v>positivo</v>
      </c>
    </row>
    <row r="2346" ht="15.75" customHeight="1">
      <c r="A2346" s="2" t="s">
        <v>2345</v>
      </c>
      <c r="B2346" s="2" t="s">
        <v>3</v>
      </c>
      <c r="C2346" s="1" t="str">
        <f>IFERROR(__xludf.DUMMYFUNCTION("GOOGLETRANSLATE(A2346,""en"",""pt-br"")"),"medos")</f>
        <v>medos</v>
      </c>
      <c r="D2346" s="1" t="str">
        <f>IFERROR(__xludf.DUMMYFUNCTION("GOOGLETRANSLATE(B2346,""en"",""pt-br"")"),"negativo")</f>
        <v>negativo</v>
      </c>
    </row>
    <row r="2347" ht="15.75" customHeight="1">
      <c r="A2347" s="2" t="s">
        <v>2346</v>
      </c>
      <c r="B2347" s="2" t="s">
        <v>3</v>
      </c>
      <c r="C2347" s="1" t="str">
        <f>IFERROR(__xludf.DUMMYFUNCTION("GOOGLETRANSLATE(A2347,""en"",""pt-br"")"),"assustador")</f>
        <v>assustador</v>
      </c>
      <c r="D2347" s="1" t="str">
        <f>IFERROR(__xludf.DUMMYFUNCTION("GOOGLETRANSLATE(B2347,""en"",""pt-br"")"),"negativo")</f>
        <v>negativo</v>
      </c>
    </row>
    <row r="2348" ht="15.75" customHeight="1">
      <c r="A2348" s="2" t="s">
        <v>2347</v>
      </c>
      <c r="B2348" s="2" t="s">
        <v>14</v>
      </c>
      <c r="C2348" s="1" t="str">
        <f>IFERROR(__xludf.DUMMYFUNCTION("GOOGLETRANSLATE(A2348,""en"",""pt-br"")"),"factível")</f>
        <v>factível</v>
      </c>
      <c r="D2348" s="1" t="str">
        <f>IFERROR(__xludf.DUMMYFUNCTION("GOOGLETRANSLATE(B2348,""en"",""pt-br"")"),"positivo")</f>
        <v>positivo</v>
      </c>
    </row>
    <row r="2349" ht="15.75" customHeight="1">
      <c r="A2349" s="2" t="s">
        <v>2348</v>
      </c>
      <c r="B2349" s="2" t="s">
        <v>14</v>
      </c>
      <c r="C2349" s="1" t="str">
        <f>IFERROR(__xludf.DUMMYFUNCTION("GOOGLETRANSLATE(A2349,""en"",""pt-br"")"),"viabilizar")</f>
        <v>viabilizar</v>
      </c>
      <c r="D2349" s="1" t="str">
        <f>IFERROR(__xludf.DUMMYFUNCTION("GOOGLETRANSLATE(B2349,""en"",""pt-br"")"),"positivo")</f>
        <v>positivo</v>
      </c>
    </row>
    <row r="2350" ht="15.75" customHeight="1">
      <c r="A2350" s="2" t="s">
        <v>2349</v>
      </c>
      <c r="B2350" s="2" t="s">
        <v>14</v>
      </c>
      <c r="C2350" s="1" t="str">
        <f>IFERROR(__xludf.DUMMYFUNCTION("GOOGLETRANSLATE(A2350,""en"",""pt-br"")"),"Parceria")</f>
        <v>Parceria</v>
      </c>
      <c r="D2350" s="1" t="str">
        <f>IFERROR(__xludf.DUMMYFUNCTION("GOOGLETRANSLATE(B2350,""en"",""pt-br"")"),"positivo")</f>
        <v>positivo</v>
      </c>
    </row>
    <row r="2351" ht="15.75" customHeight="1">
      <c r="A2351" s="2" t="s">
        <v>2350</v>
      </c>
      <c r="B2351" s="2" t="s">
        <v>14</v>
      </c>
      <c r="C2351" s="1" t="str">
        <f>IFERROR(__xludf.DUMMYFUNCTION("GOOGLETRANSLATE(A2351,""en"",""pt-br"")"),"rica em recursos")</f>
        <v>rica em recursos</v>
      </c>
      <c r="D2351" s="1" t="str">
        <f>IFERROR(__xludf.DUMMYFUNCTION("GOOGLETRANSLATE(B2351,""en"",""pt-br"")"),"positivo")</f>
        <v>positivo</v>
      </c>
    </row>
    <row r="2352" ht="15.75" customHeight="1">
      <c r="A2352" s="2" t="s">
        <v>2351</v>
      </c>
      <c r="B2352" s="2" t="s">
        <v>14</v>
      </c>
      <c r="C2352" s="1" t="str">
        <f>IFERROR(__xludf.DUMMYFUNCTION("GOOGLETRANSLATE(A2352,""en"",""pt-br"")"),"fecilitous")</f>
        <v>fecilitous</v>
      </c>
      <c r="D2352" s="1" t="str">
        <f>IFERROR(__xludf.DUMMYFUNCTION("GOOGLETRANSLATE(B2352,""en"",""pt-br"")"),"positivo")</f>
        <v>positivo</v>
      </c>
    </row>
    <row r="2353" ht="15.75" customHeight="1">
      <c r="A2353" s="2" t="s">
        <v>2352</v>
      </c>
      <c r="B2353" s="2" t="s">
        <v>3</v>
      </c>
      <c r="C2353" s="1" t="str">
        <f>IFERROR(__xludf.DUMMYFUNCTION("GOOGLETRANSLATE(A2353,""en"",""pt-br"")"),"ineficaz")</f>
        <v>ineficaz</v>
      </c>
      <c r="D2353" s="1" t="str">
        <f>IFERROR(__xludf.DUMMYFUNCTION("GOOGLETRANSLATE(B2353,""en"",""pt-br"")"),"negativo")</f>
        <v>negativo</v>
      </c>
    </row>
    <row r="2354" ht="15.75" customHeight="1">
      <c r="A2354" s="2" t="s">
        <v>2353</v>
      </c>
      <c r="B2354" s="2" t="s">
        <v>3</v>
      </c>
      <c r="C2354" s="1" t="str">
        <f>IFERROR(__xludf.DUMMYFUNCTION("GOOGLETRANSLATE(A2354,""en"",""pt-br"")"),"débil")</f>
        <v>débil</v>
      </c>
      <c r="D2354" s="1" t="str">
        <f>IFERROR(__xludf.DUMMYFUNCTION("GOOGLETRANSLATE(B2354,""en"",""pt-br"")"),"negativo")</f>
        <v>negativo</v>
      </c>
    </row>
    <row r="2355" ht="15.75" customHeight="1">
      <c r="A2355" s="2" t="s">
        <v>2354</v>
      </c>
      <c r="B2355" s="2" t="s">
        <v>3</v>
      </c>
      <c r="C2355" s="1" t="str">
        <f>IFERROR(__xludf.DUMMYFUNCTION("GOOGLETRANSLATE(A2355,""en"",""pt-br"")"),"feeblely")</f>
        <v>feeblely</v>
      </c>
      <c r="D2355" s="1" t="str">
        <f>IFERROR(__xludf.DUMMYFUNCTION("GOOGLETRANSLATE(B2355,""en"",""pt-br"")"),"negativo")</f>
        <v>negativo</v>
      </c>
    </row>
    <row r="2356" ht="15.75" customHeight="1">
      <c r="A2356" s="2" t="s">
        <v>2355</v>
      </c>
      <c r="B2356" s="2" t="s">
        <v>3</v>
      </c>
      <c r="C2356" s="1" t="str">
        <f>IFERROR(__xludf.DUMMYFUNCTION("GOOGLETRANSLATE(A2356,""en"",""pt-br"")"),"mente fraca")</f>
        <v>mente fraca</v>
      </c>
      <c r="D2356" s="1" t="str">
        <f>IFERROR(__xludf.DUMMYFUNCTION("GOOGLETRANSLATE(B2356,""en"",""pt-br"")"),"negativo")</f>
        <v>negativo</v>
      </c>
    </row>
    <row r="2357" ht="15.75" customHeight="1">
      <c r="A2357" s="2" t="s">
        <v>2356</v>
      </c>
      <c r="B2357" s="2" t="s">
        <v>3</v>
      </c>
      <c r="C2357" s="1" t="str">
        <f>IFERROR(__xludf.DUMMYFUNCTION("GOOGLETRANSLATE(A2357,""en"",""pt-br"")"),"fingir")</f>
        <v>fingir</v>
      </c>
      <c r="D2357" s="1" t="str">
        <f>IFERROR(__xludf.DUMMYFUNCTION("GOOGLETRANSLATE(B2357,""en"",""pt-br"")"),"negativo")</f>
        <v>negativo</v>
      </c>
    </row>
    <row r="2358" ht="15.75" customHeight="1">
      <c r="A2358" s="2" t="s">
        <v>2357</v>
      </c>
      <c r="B2358" s="2" t="s">
        <v>3</v>
      </c>
      <c r="C2358" s="1" t="str">
        <f>IFERROR(__xludf.DUMMYFUNCTION("GOOGLETRANSLATE(A2358,""en"",""pt-br"")"),"estratagema")</f>
        <v>estratagema</v>
      </c>
      <c r="D2358" s="1" t="str">
        <f>IFERROR(__xludf.DUMMYFUNCTION("GOOGLETRANSLATE(B2358,""en"",""pt-br"")"),"negativo")</f>
        <v>negativo</v>
      </c>
    </row>
    <row r="2359" ht="15.75" customHeight="1">
      <c r="A2359" s="2" t="s">
        <v>2358</v>
      </c>
      <c r="B2359" s="2" t="s">
        <v>14</v>
      </c>
      <c r="C2359" s="1" t="str">
        <f>IFERROR(__xludf.DUMMYFUNCTION("GOOGLETRANSLATE(A2359,""en"",""pt-br"")"),"mal-humorada")</f>
        <v>mal-humorada</v>
      </c>
      <c r="D2359" s="1" t="str">
        <f>IFERROR(__xludf.DUMMYFUNCTION("GOOGLETRANSLATE(B2359,""en"",""pt-br"")"),"positivo")</f>
        <v>positivo</v>
      </c>
    </row>
    <row r="2360" ht="15.75" customHeight="1">
      <c r="A2360" s="2" t="s">
        <v>2359</v>
      </c>
      <c r="B2360" s="2" t="s">
        <v>14</v>
      </c>
      <c r="C2360" s="1" t="str">
        <f>IFERROR(__xludf.DUMMYFUNCTION("GOOGLETRANSLATE(A2360,""en"",""pt-br"")"),"felicitar")</f>
        <v>felicitar</v>
      </c>
      <c r="D2360" s="1" t="str">
        <f>IFERROR(__xludf.DUMMYFUNCTION("GOOGLETRANSLATE(B2360,""en"",""pt-br"")"),"positivo")</f>
        <v>positivo</v>
      </c>
    </row>
    <row r="2361" ht="15.75" customHeight="1">
      <c r="A2361" s="2" t="s">
        <v>2360</v>
      </c>
      <c r="B2361" s="2" t="s">
        <v>14</v>
      </c>
      <c r="C2361" s="1" t="str">
        <f>IFERROR(__xludf.DUMMYFUNCTION("GOOGLETRANSLATE(A2361,""en"",""pt-br"")"),"feliz")</f>
        <v>feliz</v>
      </c>
      <c r="D2361" s="1" t="str">
        <f>IFERROR(__xludf.DUMMYFUNCTION("GOOGLETRANSLATE(B2361,""en"",""pt-br"")"),"positivo")</f>
        <v>positivo</v>
      </c>
    </row>
    <row r="2362" ht="15.75" customHeight="1">
      <c r="A2362" s="2" t="s">
        <v>2361</v>
      </c>
      <c r="B2362" s="2" t="s">
        <v>14</v>
      </c>
      <c r="C2362" s="1" t="str">
        <f>IFERROR(__xludf.DUMMYFUNCTION("GOOGLETRANSLATE(A2362,""en"",""pt-br"")"),"felicidade")</f>
        <v>felicidade</v>
      </c>
      <c r="D2362" s="1" t="str">
        <f>IFERROR(__xludf.DUMMYFUNCTION("GOOGLETRANSLATE(B2362,""en"",""pt-br"")"),"positivo")</f>
        <v>positivo</v>
      </c>
    </row>
    <row r="2363" ht="15.75" customHeight="1">
      <c r="A2363" s="2" t="s">
        <v>2362</v>
      </c>
      <c r="B2363" s="2" t="s">
        <v>3</v>
      </c>
      <c r="C2363" s="1" t="str">
        <f>IFERROR(__xludf.DUMMYFUNCTION("GOOGLETRANSLATE(A2363,""en"",""pt-br"")"),"caiu")</f>
        <v>caiu</v>
      </c>
      <c r="D2363" s="1" t="str">
        <f>IFERROR(__xludf.DUMMYFUNCTION("GOOGLETRANSLATE(B2363,""en"",""pt-br"")"),"negativo")</f>
        <v>negativo</v>
      </c>
    </row>
    <row r="2364" ht="15.75" customHeight="1">
      <c r="A2364" s="2" t="s">
        <v>2363</v>
      </c>
      <c r="B2364" s="2" t="s">
        <v>3</v>
      </c>
      <c r="C2364" s="1" t="str">
        <f>IFERROR(__xludf.DUMMYFUNCTION("GOOGLETRANSLATE(A2364,""en"",""pt-br"")"),"criminoso")</f>
        <v>criminoso</v>
      </c>
      <c r="D2364" s="1" t="str">
        <f>IFERROR(__xludf.DUMMYFUNCTION("GOOGLETRANSLATE(B2364,""en"",""pt-br"")"),"negativo")</f>
        <v>negativo</v>
      </c>
    </row>
    <row r="2365" ht="15.75" customHeight="1">
      <c r="A2365" s="2" t="s">
        <v>2364</v>
      </c>
      <c r="B2365" s="2" t="s">
        <v>3</v>
      </c>
      <c r="C2365" s="1" t="str">
        <f>IFERROR(__xludf.DUMMYFUNCTION("GOOGLETRANSLATE(A2365,""en"",""pt-br"")"),"criminoso")</f>
        <v>criminoso</v>
      </c>
      <c r="D2365" s="1" t="str">
        <f>IFERROR(__xludf.DUMMYFUNCTION("GOOGLETRANSLATE(B2365,""en"",""pt-br"")"),"negativo")</f>
        <v>negativo</v>
      </c>
    </row>
    <row r="2366" ht="15.75" customHeight="1">
      <c r="A2366" s="2" t="s">
        <v>2365</v>
      </c>
      <c r="B2366" s="2" t="s">
        <v>3</v>
      </c>
      <c r="C2366" s="1" t="str">
        <f>IFERROR(__xludf.DUMMYFUNCTION("GOOGLETRANSLATE(A2366,""en"",""pt-br"")"),"ferozmente")</f>
        <v>ferozmente</v>
      </c>
      <c r="D2366" s="1" t="str">
        <f>IFERROR(__xludf.DUMMYFUNCTION("GOOGLETRANSLATE(B2366,""en"",""pt-br"")"),"negativo")</f>
        <v>negativo</v>
      </c>
    </row>
    <row r="2367" ht="15.75" customHeight="1">
      <c r="A2367" s="2" t="s">
        <v>2366</v>
      </c>
      <c r="B2367" s="2" t="s">
        <v>3</v>
      </c>
      <c r="C2367" s="1" t="str">
        <f>IFERROR(__xludf.DUMMYFUNCTION("GOOGLETRANSLATE(A2367,""en"",""pt-br"")"),"ferocidade")</f>
        <v>ferocidade</v>
      </c>
      <c r="D2367" s="1" t="str">
        <f>IFERROR(__xludf.DUMMYFUNCTION("GOOGLETRANSLATE(B2367,""en"",""pt-br"")"),"negativo")</f>
        <v>negativo</v>
      </c>
    </row>
    <row r="2368" ht="15.75" customHeight="1">
      <c r="A2368" s="2" t="s">
        <v>2367</v>
      </c>
      <c r="B2368" s="2" t="s">
        <v>14</v>
      </c>
      <c r="C2368" s="1" t="str">
        <f>IFERROR(__xludf.DUMMYFUNCTION("GOOGLETRANSLATE(A2368,""en"",""pt-br"")"),"fertil")</f>
        <v>fertil</v>
      </c>
      <c r="D2368" s="1" t="str">
        <f>IFERROR(__xludf.DUMMYFUNCTION("GOOGLETRANSLATE(B2368,""en"",""pt-br"")"),"positivo")</f>
        <v>positivo</v>
      </c>
    </row>
    <row r="2369" ht="15.75" customHeight="1">
      <c r="A2369" s="2" t="s">
        <v>2368</v>
      </c>
      <c r="B2369" s="2" t="s">
        <v>14</v>
      </c>
      <c r="C2369" s="1" t="str">
        <f>IFERROR(__xludf.DUMMYFUNCTION("GOOGLETRANSLATE(A2369,""en"",""pt-br"")"),"fervente")</f>
        <v>fervente</v>
      </c>
      <c r="D2369" s="1" t="str">
        <f>IFERROR(__xludf.DUMMYFUNCTION("GOOGLETRANSLATE(B2369,""en"",""pt-br"")"),"positivo")</f>
        <v>positivo</v>
      </c>
    </row>
    <row r="2370" ht="15.75" customHeight="1">
      <c r="A2370" s="2" t="s">
        <v>2369</v>
      </c>
      <c r="B2370" s="2" t="s">
        <v>14</v>
      </c>
      <c r="C2370" s="1" t="str">
        <f>IFERROR(__xludf.DUMMYFUNCTION("GOOGLETRANSLATE(A2370,""en"",""pt-br"")"),"ardentemente")</f>
        <v>ardentemente</v>
      </c>
      <c r="D2370" s="1" t="str">
        <f>IFERROR(__xludf.DUMMYFUNCTION("GOOGLETRANSLATE(B2370,""en"",""pt-br"")"),"positivo")</f>
        <v>positivo</v>
      </c>
    </row>
    <row r="2371" ht="15.75" customHeight="1">
      <c r="A2371" s="2" t="s">
        <v>2370</v>
      </c>
      <c r="B2371" s="2" t="s">
        <v>14</v>
      </c>
      <c r="C2371" s="1" t="str">
        <f>IFERROR(__xludf.DUMMYFUNCTION("GOOGLETRANSLATE(A2371,""en"",""pt-br"")"),"ardente")</f>
        <v>ardente</v>
      </c>
      <c r="D2371" s="1" t="str">
        <f>IFERROR(__xludf.DUMMYFUNCTION("GOOGLETRANSLATE(B2371,""en"",""pt-br"")"),"positivo")</f>
        <v>positivo</v>
      </c>
    </row>
    <row r="2372" ht="15.75" customHeight="1">
      <c r="A2372" s="2" t="s">
        <v>2371</v>
      </c>
      <c r="B2372" s="2" t="s">
        <v>14</v>
      </c>
      <c r="C2372" s="1" t="str">
        <f>IFERROR(__xludf.DUMMYFUNCTION("GOOGLETRANSLATE(A2372,""en"",""pt-br"")"),"fervidly")</f>
        <v>fervidly</v>
      </c>
      <c r="D2372" s="1" t="str">
        <f>IFERROR(__xludf.DUMMYFUNCTION("GOOGLETRANSLATE(B2372,""en"",""pt-br"")"),"positivo")</f>
        <v>positivo</v>
      </c>
    </row>
    <row r="2373" ht="15.75" customHeight="1">
      <c r="A2373" s="2" t="s">
        <v>2372</v>
      </c>
      <c r="B2373" s="2" t="s">
        <v>14</v>
      </c>
      <c r="C2373" s="1" t="str">
        <f>IFERROR(__xludf.DUMMYFUNCTION("GOOGLETRANSLATE(A2373,""en"",""pt-br"")"),"fervor")</f>
        <v>fervor</v>
      </c>
      <c r="D2373" s="1" t="str">
        <f>IFERROR(__xludf.DUMMYFUNCTION("GOOGLETRANSLATE(B2373,""en"",""pt-br"")"),"positivo")</f>
        <v>positivo</v>
      </c>
    </row>
    <row r="2374" ht="15.75" customHeight="1">
      <c r="A2374" s="2" t="s">
        <v>2373</v>
      </c>
      <c r="B2374" s="2" t="s">
        <v>14</v>
      </c>
      <c r="C2374" s="1" t="str">
        <f>IFERROR(__xludf.DUMMYFUNCTION("GOOGLETRANSLATE(A2374,""en"",""pt-br"")"),"festivo")</f>
        <v>festivo</v>
      </c>
      <c r="D2374" s="1" t="str">
        <f>IFERROR(__xludf.DUMMYFUNCTION("GOOGLETRANSLATE(B2374,""en"",""pt-br"")"),"positivo")</f>
        <v>positivo</v>
      </c>
    </row>
    <row r="2375" ht="15.75" customHeight="1">
      <c r="A2375" s="2" t="s">
        <v>2374</v>
      </c>
      <c r="B2375" s="2" t="s">
        <v>3</v>
      </c>
      <c r="C2375" s="1" t="str">
        <f>IFERROR(__xludf.DUMMYFUNCTION("GOOGLETRANSLATE(A2375,""en"",""pt-br"")"),"fétido")</f>
        <v>fétido</v>
      </c>
      <c r="D2375" s="1" t="str">
        <f>IFERROR(__xludf.DUMMYFUNCTION("GOOGLETRANSLATE(B2375,""en"",""pt-br"")"),"negativo")</f>
        <v>negativo</v>
      </c>
    </row>
    <row r="2376" ht="15.75" customHeight="1">
      <c r="A2376" s="2" t="s">
        <v>2375</v>
      </c>
      <c r="B2376" s="2" t="s">
        <v>3</v>
      </c>
      <c r="C2376" s="1" t="str">
        <f>IFERROR(__xludf.DUMMYFUNCTION("GOOGLETRANSLATE(A2376,""en"",""pt-br"")"),"febre")</f>
        <v>febre</v>
      </c>
      <c r="D2376" s="1" t="str">
        <f>IFERROR(__xludf.DUMMYFUNCTION("GOOGLETRANSLATE(B2376,""en"",""pt-br"")"),"negativo")</f>
        <v>negativo</v>
      </c>
    </row>
    <row r="2377" ht="15.75" customHeight="1">
      <c r="A2377" s="2" t="s">
        <v>2376</v>
      </c>
      <c r="B2377" s="2" t="s">
        <v>3</v>
      </c>
      <c r="C2377" s="1" t="str">
        <f>IFERROR(__xludf.DUMMYFUNCTION("GOOGLETRANSLATE(A2377,""en"",""pt-br"")"),"febril")</f>
        <v>febril</v>
      </c>
      <c r="D2377" s="1" t="str">
        <f>IFERROR(__xludf.DUMMYFUNCTION("GOOGLETRANSLATE(B2377,""en"",""pt-br"")"),"negativo")</f>
        <v>negativo</v>
      </c>
    </row>
    <row r="2378" ht="15.75" customHeight="1">
      <c r="A2378" s="2" t="s">
        <v>2377</v>
      </c>
      <c r="B2378" s="2" t="s">
        <v>3</v>
      </c>
      <c r="C2378" s="1" t="str">
        <f>IFERROR(__xludf.DUMMYFUNCTION("GOOGLETRANSLATE(A2378,""en"",""pt-br"")"),"febres")</f>
        <v>febres</v>
      </c>
      <c r="D2378" s="1" t="str">
        <f>IFERROR(__xludf.DUMMYFUNCTION("GOOGLETRANSLATE(B2378,""en"",""pt-br"")"),"negativo")</f>
        <v>negativo</v>
      </c>
    </row>
    <row r="2379" ht="15.75" customHeight="1">
      <c r="A2379" s="2" t="s">
        <v>2378</v>
      </c>
      <c r="B2379" s="2" t="s">
        <v>3</v>
      </c>
      <c r="C2379" s="1" t="str">
        <f>IFERROR(__xludf.DUMMYFUNCTION("GOOGLETRANSLATE(A2379,""en"",""pt-br"")"),"fiasco")</f>
        <v>fiasco</v>
      </c>
      <c r="D2379" s="1" t="str">
        <f>IFERROR(__xludf.DUMMYFUNCTION("GOOGLETRANSLATE(B2379,""en"",""pt-br"")"),"negativo")</f>
        <v>negativo</v>
      </c>
    </row>
    <row r="2380" ht="15.75" customHeight="1">
      <c r="A2380" s="2" t="s">
        <v>2379</v>
      </c>
      <c r="B2380" s="2" t="s">
        <v>3</v>
      </c>
      <c r="C2380" s="1" t="str">
        <f>IFERROR(__xludf.DUMMYFUNCTION("GOOGLETRANSLATE(A2380,""en"",""pt-br"")"),"gracejar")</f>
        <v>gracejar</v>
      </c>
      <c r="D2380" s="1" t="str">
        <f>IFERROR(__xludf.DUMMYFUNCTION("GOOGLETRANSLATE(B2380,""en"",""pt-br"")"),"negativo")</f>
        <v>negativo</v>
      </c>
    </row>
    <row r="2381" ht="15.75" customHeight="1">
      <c r="A2381" s="2" t="s">
        <v>2380</v>
      </c>
      <c r="B2381" s="2" t="s">
        <v>3</v>
      </c>
      <c r="C2381" s="1" t="str">
        <f>IFERROR(__xludf.DUMMYFUNCTION("GOOGLETRANSLATE(A2381,""en"",""pt-br"")"),"gracejador")</f>
        <v>gracejador</v>
      </c>
      <c r="D2381" s="1" t="str">
        <f>IFERROR(__xludf.DUMMYFUNCTION("GOOGLETRANSLATE(B2381,""en"",""pt-br"")"),"negativo")</f>
        <v>negativo</v>
      </c>
    </row>
    <row r="2382" ht="15.75" customHeight="1">
      <c r="A2382" s="2" t="s">
        <v>2381</v>
      </c>
      <c r="B2382" s="2" t="s">
        <v>3</v>
      </c>
      <c r="C2382" s="1" t="str">
        <f>IFERROR(__xludf.DUMMYFUNCTION("GOOGLETRANSLATE(A2382,""en"",""pt-br"")"),"inconstante")</f>
        <v>inconstante</v>
      </c>
      <c r="D2382" s="1" t="str">
        <f>IFERROR(__xludf.DUMMYFUNCTION("GOOGLETRANSLATE(B2382,""en"",""pt-br"")"),"negativo")</f>
        <v>negativo</v>
      </c>
    </row>
    <row r="2383" ht="15.75" customHeight="1">
      <c r="A2383" s="2" t="s">
        <v>2382</v>
      </c>
      <c r="B2383" s="2" t="s">
        <v>3</v>
      </c>
      <c r="C2383" s="1" t="str">
        <f>IFERROR(__xludf.DUMMYFUNCTION("GOOGLETRANSLATE(A2383,""en"",""pt-br"")"),"ficção")</f>
        <v>ficção</v>
      </c>
      <c r="D2383" s="1" t="str">
        <f>IFERROR(__xludf.DUMMYFUNCTION("GOOGLETRANSLATE(B2383,""en"",""pt-br"")"),"negativo")</f>
        <v>negativo</v>
      </c>
    </row>
    <row r="2384" ht="15.75" customHeight="1">
      <c r="A2384" s="2" t="s">
        <v>2383</v>
      </c>
      <c r="B2384" s="2" t="s">
        <v>3</v>
      </c>
      <c r="C2384" s="1" t="str">
        <f>IFERROR(__xludf.DUMMYFUNCTION("GOOGLETRANSLATE(A2384,""en"",""pt-br"")"),"imaginário")</f>
        <v>imaginário</v>
      </c>
      <c r="D2384" s="1" t="str">
        <f>IFERROR(__xludf.DUMMYFUNCTION("GOOGLETRANSLATE(B2384,""en"",""pt-br"")"),"negativo")</f>
        <v>negativo</v>
      </c>
    </row>
    <row r="2385" ht="15.75" customHeight="1">
      <c r="A2385" s="2" t="s">
        <v>2384</v>
      </c>
      <c r="B2385" s="2" t="s">
        <v>3</v>
      </c>
      <c r="C2385" s="1" t="str">
        <f>IFERROR(__xludf.DUMMYFUNCTION("GOOGLETRANSLATE(A2385,""en"",""pt-br"")"),"fictício")</f>
        <v>fictício</v>
      </c>
      <c r="D2385" s="1" t="str">
        <f>IFERROR(__xludf.DUMMYFUNCTION("GOOGLETRANSLATE(B2385,""en"",""pt-br"")"),"negativo")</f>
        <v>negativo</v>
      </c>
    </row>
    <row r="2386" ht="15.75" customHeight="1">
      <c r="A2386" s="2" t="s">
        <v>2385</v>
      </c>
      <c r="B2386" s="2" t="s">
        <v>14</v>
      </c>
      <c r="C2386" s="1" t="str">
        <f>IFERROR(__xludf.DUMMYFUNCTION("GOOGLETRANSLATE(A2386,""en"",""pt-br"")"),"fidelidade")</f>
        <v>fidelidade</v>
      </c>
      <c r="D2386" s="1" t="str">
        <f>IFERROR(__xludf.DUMMYFUNCTION("GOOGLETRANSLATE(B2386,""en"",""pt-br"")"),"positivo")</f>
        <v>positivo</v>
      </c>
    </row>
    <row r="2387" ht="15.75" customHeight="1">
      <c r="A2387" s="2" t="s">
        <v>2386</v>
      </c>
      <c r="B2387" s="2" t="s">
        <v>3</v>
      </c>
      <c r="C2387" s="1" t="str">
        <f>IFERROR(__xludf.DUMMYFUNCTION("GOOGLETRANSLATE(A2387,""en"",""pt-br"")"),"inquietação")</f>
        <v>inquietação</v>
      </c>
      <c r="D2387" s="1" t="str">
        <f>IFERROR(__xludf.DUMMYFUNCTION("GOOGLETRANSLATE(B2387,""en"",""pt-br"")"),"negativo")</f>
        <v>negativo</v>
      </c>
    </row>
    <row r="2388" ht="15.75" customHeight="1">
      <c r="A2388" s="2" t="s">
        <v>2387</v>
      </c>
      <c r="B2388" s="2" t="s">
        <v>3</v>
      </c>
      <c r="C2388" s="1" t="str">
        <f>IFERROR(__xludf.DUMMYFUNCTION("GOOGLETRANSLATE(A2388,""en"",""pt-br"")"),"inquieto")</f>
        <v>inquieto</v>
      </c>
      <c r="D2388" s="1" t="str">
        <f>IFERROR(__xludf.DUMMYFUNCTION("GOOGLETRANSLATE(B2388,""en"",""pt-br"")"),"negativo")</f>
        <v>negativo</v>
      </c>
    </row>
    <row r="2389" ht="15.75" customHeight="1">
      <c r="A2389" s="2" t="s">
        <v>2388</v>
      </c>
      <c r="B2389" s="2" t="s">
        <v>3</v>
      </c>
      <c r="C2389" s="1" t="str">
        <f>IFERROR(__xludf.DUMMYFUNCTION("GOOGLETRANSLATE(A2389,""en"",""pt-br"")"),"demônio")</f>
        <v>demônio</v>
      </c>
      <c r="D2389" s="1" t="str">
        <f>IFERROR(__xludf.DUMMYFUNCTION("GOOGLETRANSLATE(B2389,""en"",""pt-br"")"),"negativo")</f>
        <v>negativo</v>
      </c>
    </row>
    <row r="2390" ht="15.75" customHeight="1">
      <c r="A2390" s="2" t="s">
        <v>2389</v>
      </c>
      <c r="B2390" s="2" t="s">
        <v>3</v>
      </c>
      <c r="C2390" s="1" t="str">
        <f>IFERROR(__xludf.DUMMYFUNCTION("GOOGLETRANSLATE(A2390,""en"",""pt-br"")"),"demoníaco")</f>
        <v>demoníaco</v>
      </c>
      <c r="D2390" s="1" t="str">
        <f>IFERROR(__xludf.DUMMYFUNCTION("GOOGLETRANSLATE(B2390,""en"",""pt-br"")"),"negativo")</f>
        <v>negativo</v>
      </c>
    </row>
    <row r="2391" ht="15.75" customHeight="1">
      <c r="A2391" s="2" t="s">
        <v>2390</v>
      </c>
      <c r="B2391" s="2" t="s">
        <v>3</v>
      </c>
      <c r="C2391" s="1" t="str">
        <f>IFERROR(__xludf.DUMMYFUNCTION("GOOGLETRANSLATE(A2391,""en"",""pt-br"")"),"feroz")</f>
        <v>feroz</v>
      </c>
      <c r="D2391" s="1" t="str">
        <f>IFERROR(__xludf.DUMMYFUNCTION("GOOGLETRANSLATE(B2391,""en"",""pt-br"")"),"negativo")</f>
        <v>negativo</v>
      </c>
    </row>
    <row r="2392" ht="15.75" customHeight="1">
      <c r="A2392" s="2" t="s">
        <v>2391</v>
      </c>
      <c r="B2392" s="2" t="s">
        <v>14</v>
      </c>
      <c r="C2392" s="1" t="str">
        <f>IFERROR(__xludf.DUMMYFUNCTION("GOOGLETRANSLATE(A2392,""en"",""pt-br"")"),"fogosa")</f>
        <v>fogosa</v>
      </c>
      <c r="D2392" s="1" t="str">
        <f>IFERROR(__xludf.DUMMYFUNCTION("GOOGLETRANSLATE(B2392,""en"",""pt-br"")"),"positivo")</f>
        <v>positivo</v>
      </c>
    </row>
    <row r="2393" ht="15.75" customHeight="1">
      <c r="A2393" s="2" t="s">
        <v>2392</v>
      </c>
      <c r="B2393" s="2" t="s">
        <v>3</v>
      </c>
      <c r="C2393" s="1" t="str">
        <f>IFERROR(__xludf.DUMMYFUNCTION("GOOGLETRANSLATE(A2393,""en"",""pt-br"")"),"pessoa representativa")</f>
        <v>pessoa representativa</v>
      </c>
      <c r="D2393" s="1" t="str">
        <f>IFERROR(__xludf.DUMMYFUNCTION("GOOGLETRANSLATE(B2393,""en"",""pt-br"")"),"negativo")</f>
        <v>negativo</v>
      </c>
    </row>
    <row r="2394" ht="15.75" customHeight="1">
      <c r="A2394" s="2" t="s">
        <v>2393</v>
      </c>
      <c r="B2394" s="2" t="s">
        <v>3</v>
      </c>
      <c r="C2394" s="1" t="str">
        <f>IFERROR(__xludf.DUMMYFUNCTION("GOOGLETRANSLATE(A2394,""en"",""pt-br"")"),"sujeira")</f>
        <v>sujeira</v>
      </c>
      <c r="D2394" s="1" t="str">
        <f>IFERROR(__xludf.DUMMYFUNCTION("GOOGLETRANSLATE(B2394,""en"",""pt-br"")"),"negativo")</f>
        <v>negativo</v>
      </c>
    </row>
    <row r="2395" ht="15.75" customHeight="1">
      <c r="A2395" s="2" t="s">
        <v>2394</v>
      </c>
      <c r="B2395" s="2" t="s">
        <v>3</v>
      </c>
      <c r="C2395" s="1" t="str">
        <f>IFERROR(__xludf.DUMMYFUNCTION("GOOGLETRANSLATE(A2395,""en"",""pt-br"")"),"imundo")</f>
        <v>imundo</v>
      </c>
      <c r="D2395" s="1" t="str">
        <f>IFERROR(__xludf.DUMMYFUNCTION("GOOGLETRANSLATE(B2395,""en"",""pt-br"")"),"negativo")</f>
        <v>negativo</v>
      </c>
    </row>
    <row r="2396" ht="15.75" customHeight="1">
      <c r="A2396" s="2" t="s">
        <v>2395</v>
      </c>
      <c r="B2396" s="2" t="s">
        <v>3</v>
      </c>
      <c r="C2396" s="1" t="str">
        <f>IFERROR(__xludf.DUMMYFUNCTION("GOOGLETRANSLATE(A2396,""en"",""pt-br"")"),"falsificar")</f>
        <v>falsificar</v>
      </c>
      <c r="D2396" s="1" t="str">
        <f>IFERROR(__xludf.DUMMYFUNCTION("GOOGLETRANSLATE(B2396,""en"",""pt-br"")"),"negativo")</f>
        <v>negativo</v>
      </c>
    </row>
    <row r="2397" ht="15.75" customHeight="1">
      <c r="A2397" s="2" t="s">
        <v>2396</v>
      </c>
      <c r="B2397" s="2" t="s">
        <v>14</v>
      </c>
      <c r="C2397" s="1" t="str">
        <f>IFERROR(__xludf.DUMMYFUNCTION("GOOGLETRANSLATE(A2397,""en"",""pt-br"")"),"bem")</f>
        <v>bem</v>
      </c>
      <c r="D2397" s="1" t="str">
        <f>IFERROR(__xludf.DUMMYFUNCTION("GOOGLETRANSLATE(B2397,""en"",""pt-br"")"),"positivo")</f>
        <v>positivo</v>
      </c>
    </row>
    <row r="2398" ht="15.75" customHeight="1">
      <c r="A2398" s="2" t="s">
        <v>2397</v>
      </c>
      <c r="B2398" s="2" t="s">
        <v>14</v>
      </c>
      <c r="C2398" s="1" t="str">
        <f>IFERROR(__xludf.DUMMYFUNCTION("GOOGLETRANSLATE(A2398,""en"",""pt-br"")"),"boa aparência")</f>
        <v>boa aparência</v>
      </c>
      <c r="D2398" s="1" t="str">
        <f>IFERROR(__xludf.DUMMYFUNCTION("GOOGLETRANSLATE(B2398,""en"",""pt-br"")"),"positivo")</f>
        <v>positivo</v>
      </c>
    </row>
    <row r="2399" ht="15.75" customHeight="1">
      <c r="A2399" s="2" t="s">
        <v>2398</v>
      </c>
      <c r="B2399" s="2" t="s">
        <v>14</v>
      </c>
      <c r="C2399" s="1" t="str">
        <f>IFERROR(__xludf.DUMMYFUNCTION("GOOGLETRANSLATE(A2399,""en"",""pt-br"")"),"finamente")</f>
        <v>finamente</v>
      </c>
      <c r="D2399" s="1" t="str">
        <f>IFERROR(__xludf.DUMMYFUNCTION("GOOGLETRANSLATE(B2399,""en"",""pt-br"")"),"positivo")</f>
        <v>positivo</v>
      </c>
    </row>
    <row r="2400" ht="15.75" customHeight="1">
      <c r="A2400" s="2" t="s">
        <v>2399</v>
      </c>
      <c r="B2400" s="2" t="s">
        <v>14</v>
      </c>
      <c r="C2400" s="1" t="str">
        <f>IFERROR(__xludf.DUMMYFUNCTION("GOOGLETRANSLATE(A2400,""en"",""pt-br"")"),"mais fino")</f>
        <v>mais fino</v>
      </c>
      <c r="D2400" s="1" t="str">
        <f>IFERROR(__xludf.DUMMYFUNCTION("GOOGLETRANSLATE(B2400,""en"",""pt-br"")"),"positivo")</f>
        <v>positivo</v>
      </c>
    </row>
    <row r="2401" ht="15.75" customHeight="1">
      <c r="A2401" s="2" t="s">
        <v>2400</v>
      </c>
      <c r="B2401" s="2" t="s">
        <v>14</v>
      </c>
      <c r="C2401" s="1" t="str">
        <f>IFERROR(__xludf.DUMMYFUNCTION("GOOGLETRANSLATE(A2401,""en"",""pt-br"")"),"melhor")</f>
        <v>melhor</v>
      </c>
      <c r="D2401" s="1" t="str">
        <f>IFERROR(__xludf.DUMMYFUNCTION("GOOGLETRANSLATE(B2401,""en"",""pt-br"")"),"positivo")</f>
        <v>positivo</v>
      </c>
    </row>
    <row r="2402" ht="15.75" customHeight="1">
      <c r="A2402" s="2" t="s">
        <v>2401</v>
      </c>
      <c r="B2402" s="2" t="s">
        <v>3</v>
      </c>
      <c r="C2402" s="1" t="str">
        <f>IFERROR(__xludf.DUMMYFUNCTION("GOOGLETRANSLATE(A2402,""en"",""pt-br"")"),"mimado")</f>
        <v>mimado</v>
      </c>
      <c r="D2402" s="1" t="str">
        <f>IFERROR(__xludf.DUMMYFUNCTION("GOOGLETRANSLATE(B2402,""en"",""pt-br"")"),"negativo")</f>
        <v>negativo</v>
      </c>
    </row>
    <row r="2403" ht="15.75" customHeight="1">
      <c r="A2403" s="2" t="s">
        <v>2402</v>
      </c>
      <c r="B2403" s="2" t="s">
        <v>14</v>
      </c>
      <c r="C2403" s="1" t="str">
        <f>IFERROR(__xludf.DUMMYFUNCTION("GOOGLETRANSLATE(A2403,""en"",""pt-br"")"),"mais firme")</f>
        <v>mais firme</v>
      </c>
      <c r="D2403" s="1" t="str">
        <f>IFERROR(__xludf.DUMMYFUNCTION("GOOGLETRANSLATE(B2403,""en"",""pt-br"")"),"positivo")</f>
        <v>positivo</v>
      </c>
    </row>
    <row r="2404" ht="15.75" customHeight="1">
      <c r="A2404" s="2" t="s">
        <v>2403</v>
      </c>
      <c r="B2404" s="2" t="s">
        <v>14</v>
      </c>
      <c r="C2404" s="1" t="str">
        <f>IFERROR(__xludf.DUMMYFUNCTION("GOOGLETRANSLATE(A2404,""en"",""pt-br"")"),"primeira classe")</f>
        <v>primeira classe</v>
      </c>
      <c r="D2404" s="1" t="str">
        <f>IFERROR(__xludf.DUMMYFUNCTION("GOOGLETRANSLATE(B2404,""en"",""pt-br"")"),"positivo")</f>
        <v>positivo</v>
      </c>
    </row>
    <row r="2405" ht="15.75" customHeight="1">
      <c r="A2405" s="2" t="s">
        <v>2404</v>
      </c>
      <c r="B2405" s="2" t="s">
        <v>14</v>
      </c>
      <c r="C2405" s="1" t="str">
        <f>IFERROR(__xludf.DUMMYFUNCTION("GOOGLETRANSLATE(A2405,""en"",""pt-br"")"),"primeiro-in-class")</f>
        <v>primeiro-in-class</v>
      </c>
      <c r="D2405" s="1" t="str">
        <f>IFERROR(__xludf.DUMMYFUNCTION("GOOGLETRANSLATE(B2405,""en"",""pt-br"")"),"positivo")</f>
        <v>positivo</v>
      </c>
    </row>
    <row r="2406" ht="15.75" customHeight="1">
      <c r="A2406" s="2" t="s">
        <v>2405</v>
      </c>
      <c r="B2406" s="2" t="s">
        <v>14</v>
      </c>
      <c r="C2406" s="1" t="str">
        <f>IFERROR(__xludf.DUMMYFUNCTION("GOOGLETRANSLATE(A2406,""en"",""pt-br"")"),"de primeira ordem")</f>
        <v>de primeira ordem</v>
      </c>
      <c r="D2406" s="1" t="str">
        <f>IFERROR(__xludf.DUMMYFUNCTION("GOOGLETRANSLATE(B2406,""en"",""pt-br"")"),"positivo")</f>
        <v>positivo</v>
      </c>
    </row>
    <row r="2407" ht="15.75" customHeight="1">
      <c r="A2407" s="2" t="s">
        <v>2406</v>
      </c>
      <c r="B2407" s="2" t="s">
        <v>3</v>
      </c>
      <c r="C2407" s="1" t="str">
        <f>IFERROR(__xludf.DUMMYFUNCTION("GOOGLETRANSLATE(A2407,""en"",""pt-br"")"),"fissuras")</f>
        <v>fissuras</v>
      </c>
      <c r="D2407" s="1" t="str">
        <f>IFERROR(__xludf.DUMMYFUNCTION("GOOGLETRANSLATE(B2407,""en"",""pt-br"")"),"negativo")</f>
        <v>negativo</v>
      </c>
    </row>
    <row r="2408" ht="15.75" customHeight="1">
      <c r="A2408" s="2" t="s">
        <v>2407</v>
      </c>
      <c r="B2408" s="2" t="s">
        <v>3</v>
      </c>
      <c r="C2408" s="1" t="str">
        <f>IFERROR(__xludf.DUMMYFUNCTION("GOOGLETRANSLATE(A2408,""en"",""pt-br"")"),"punho")</f>
        <v>punho</v>
      </c>
      <c r="D2408" s="1" t="str">
        <f>IFERROR(__xludf.DUMMYFUNCTION("GOOGLETRANSLATE(B2408,""en"",""pt-br"")"),"negativo")</f>
        <v>negativo</v>
      </c>
    </row>
    <row r="2409" ht="15.75" customHeight="1">
      <c r="A2409" s="2" t="s">
        <v>2408</v>
      </c>
      <c r="B2409" s="2" t="s">
        <v>3</v>
      </c>
      <c r="C2409" s="1" t="str">
        <f>IFERROR(__xludf.DUMMYFUNCTION("GOOGLETRANSLATE(A2409,""en"",""pt-br"")"),"flabbergast")</f>
        <v>flabbergast</v>
      </c>
      <c r="D2409" s="1" t="str">
        <f>IFERROR(__xludf.DUMMYFUNCTION("GOOGLETRANSLATE(B2409,""en"",""pt-br"")"),"negativo")</f>
        <v>negativo</v>
      </c>
    </row>
    <row r="2410" ht="15.75" customHeight="1">
      <c r="A2410" s="2" t="s">
        <v>2409</v>
      </c>
      <c r="B2410" s="2" t="s">
        <v>3</v>
      </c>
      <c r="C2410" s="1" t="str">
        <f>IFERROR(__xludf.DUMMYFUNCTION("GOOGLETRANSLATE(A2410,""en"",""pt-br"")"),"boquiabertos")</f>
        <v>boquiabertos</v>
      </c>
      <c r="D2410" s="1" t="str">
        <f>IFERROR(__xludf.DUMMYFUNCTION("GOOGLETRANSLATE(B2410,""en"",""pt-br"")"),"negativo")</f>
        <v>negativo</v>
      </c>
    </row>
    <row r="2411" ht="15.75" customHeight="1">
      <c r="A2411" s="2" t="s">
        <v>2410</v>
      </c>
      <c r="B2411" s="2" t="s">
        <v>3</v>
      </c>
      <c r="C2411" s="1" t="str">
        <f>IFERROR(__xludf.DUMMYFUNCTION("GOOGLETRANSLATE(A2411,""en"",""pt-br"")"),"sinalização")</f>
        <v>sinalização</v>
      </c>
      <c r="D2411" s="1" t="str">
        <f>IFERROR(__xludf.DUMMYFUNCTION("GOOGLETRANSLATE(B2411,""en"",""pt-br"")"),"negativo")</f>
        <v>negativo</v>
      </c>
    </row>
    <row r="2412" ht="15.75" customHeight="1">
      <c r="A2412" s="2" t="s">
        <v>2411</v>
      </c>
      <c r="B2412" s="2" t="s">
        <v>3</v>
      </c>
      <c r="C2412" s="1" t="str">
        <f>IFERROR(__xludf.DUMMYFUNCTION("GOOGLETRANSLATE(A2412,""en"",""pt-br"")"),"flagrante")</f>
        <v>flagrante</v>
      </c>
      <c r="D2412" s="1" t="str">
        <f>IFERROR(__xludf.DUMMYFUNCTION("GOOGLETRANSLATE(B2412,""en"",""pt-br"")"),"negativo")</f>
        <v>negativo</v>
      </c>
    </row>
    <row r="2413" ht="15.75" customHeight="1">
      <c r="A2413" s="2" t="s">
        <v>2412</v>
      </c>
      <c r="B2413" s="2" t="s">
        <v>3</v>
      </c>
      <c r="C2413" s="1" t="str">
        <f>IFERROR(__xludf.DUMMYFUNCTION("GOOGLETRANSLATE(A2413,""en"",""pt-br"")"),"flagrantemente")</f>
        <v>flagrantemente</v>
      </c>
      <c r="D2413" s="1" t="str">
        <f>IFERROR(__xludf.DUMMYFUNCTION("GOOGLETRANSLATE(B2413,""en"",""pt-br"")"),"negativo")</f>
        <v>negativo</v>
      </c>
    </row>
    <row r="2414" ht="15.75" customHeight="1">
      <c r="A2414" s="2" t="s">
        <v>2413</v>
      </c>
      <c r="B2414" s="2" t="s">
        <v>3</v>
      </c>
      <c r="C2414" s="1" t="str">
        <f>IFERROR(__xludf.DUMMYFUNCTION("GOOGLETRANSLATE(A2414,""en"",""pt-br"")"),"faro")</f>
        <v>faro</v>
      </c>
      <c r="D2414" s="1" t="str">
        <f>IFERROR(__xludf.DUMMYFUNCTION("GOOGLETRANSLATE(B2414,""en"",""pt-br"")"),"negativo")</f>
        <v>negativo</v>
      </c>
    </row>
    <row r="2415" ht="15.75" customHeight="1">
      <c r="A2415" s="2" t="s">
        <v>2414</v>
      </c>
      <c r="B2415" s="2" t="s">
        <v>3</v>
      </c>
      <c r="C2415" s="1" t="str">
        <f>IFERROR(__xludf.DUMMYFUNCTION("GOOGLETRANSLATE(A2415,""en"",""pt-br"")"),"flairs")</f>
        <v>flairs</v>
      </c>
      <c r="D2415" s="1" t="str">
        <f>IFERROR(__xludf.DUMMYFUNCTION("GOOGLETRANSLATE(B2415,""en"",""pt-br"")"),"negativo")</f>
        <v>negativo</v>
      </c>
    </row>
    <row r="2416" ht="15.75" customHeight="1">
      <c r="A2416" s="2" t="s">
        <v>2415</v>
      </c>
      <c r="B2416" s="2" t="s">
        <v>3</v>
      </c>
      <c r="C2416" s="1" t="str">
        <f>IFERROR(__xludf.DUMMYFUNCTION("GOOGLETRANSLATE(A2416,""en"",""pt-br"")"),"críticas")</f>
        <v>críticas</v>
      </c>
      <c r="D2416" s="1" t="str">
        <f>IFERROR(__xludf.DUMMYFUNCTION("GOOGLETRANSLATE(B2416,""en"",""pt-br"")"),"negativo")</f>
        <v>negativo</v>
      </c>
    </row>
    <row r="2417" ht="15.75" customHeight="1">
      <c r="A2417" s="2" t="s">
        <v>2416</v>
      </c>
      <c r="B2417" s="2" t="s">
        <v>3</v>
      </c>
      <c r="C2417" s="1" t="str">
        <f>IFERROR(__xludf.DUMMYFUNCTION("GOOGLETRANSLATE(A2417,""en"",""pt-br"")"),"Floco")</f>
        <v>Floco</v>
      </c>
      <c r="D2417" s="1" t="str">
        <f>IFERROR(__xludf.DUMMYFUNCTION("GOOGLETRANSLATE(B2417,""en"",""pt-br"")"),"negativo")</f>
        <v>negativo</v>
      </c>
    </row>
    <row r="2418" ht="15.75" customHeight="1">
      <c r="A2418" s="2" t="s">
        <v>2417</v>
      </c>
      <c r="B2418" s="2" t="s">
        <v>3</v>
      </c>
      <c r="C2418" s="1" t="str">
        <f>IFERROR(__xludf.DUMMYFUNCTION("GOOGLETRANSLATE(A2418,""en"",""pt-br"")"),"flakey")</f>
        <v>flakey</v>
      </c>
      <c r="D2418" s="1" t="str">
        <f>IFERROR(__xludf.DUMMYFUNCTION("GOOGLETRANSLATE(B2418,""en"",""pt-br"")"),"negativo")</f>
        <v>negativo</v>
      </c>
    </row>
    <row r="2419" ht="15.75" customHeight="1">
      <c r="A2419" s="2" t="s">
        <v>2418</v>
      </c>
      <c r="B2419" s="2" t="s">
        <v>3</v>
      </c>
      <c r="C2419" s="1" t="str">
        <f>IFERROR(__xludf.DUMMYFUNCTION("GOOGLETRANSLATE(A2419,""en"",""pt-br"")"),"flakieness")</f>
        <v>flakieness</v>
      </c>
      <c r="D2419" s="1" t="str">
        <f>IFERROR(__xludf.DUMMYFUNCTION("GOOGLETRANSLATE(B2419,""en"",""pt-br"")"),"negativo")</f>
        <v>negativo</v>
      </c>
    </row>
    <row r="2420" ht="15.75" customHeight="1">
      <c r="A2420" s="2" t="s">
        <v>2419</v>
      </c>
      <c r="B2420" s="2" t="s">
        <v>3</v>
      </c>
      <c r="C2420" s="1" t="str">
        <f>IFERROR(__xludf.DUMMYFUNCTION("GOOGLETRANSLATE(A2420,""en"",""pt-br"")"),"descamação")</f>
        <v>descamação</v>
      </c>
      <c r="D2420" s="1" t="str">
        <f>IFERROR(__xludf.DUMMYFUNCTION("GOOGLETRANSLATE(B2420,""en"",""pt-br"")"),"negativo")</f>
        <v>negativo</v>
      </c>
    </row>
    <row r="2421" ht="15.75" customHeight="1">
      <c r="A2421" s="2" t="s">
        <v>2420</v>
      </c>
      <c r="B2421" s="2" t="s">
        <v>3</v>
      </c>
      <c r="C2421" s="1" t="str">
        <f>IFERROR(__xludf.DUMMYFUNCTION("GOOGLETRANSLATE(A2421,""en"",""pt-br"")"),"escamoso")</f>
        <v>escamoso</v>
      </c>
      <c r="D2421" s="1" t="str">
        <f>IFERROR(__xludf.DUMMYFUNCTION("GOOGLETRANSLATE(B2421,""en"",""pt-br"")"),"negativo")</f>
        <v>negativo</v>
      </c>
    </row>
    <row r="2422" ht="15.75" customHeight="1">
      <c r="A2422" s="2" t="s">
        <v>2421</v>
      </c>
      <c r="B2422" s="2" t="s">
        <v>3</v>
      </c>
      <c r="C2422" s="1" t="str">
        <f>IFERROR(__xludf.DUMMYFUNCTION("GOOGLETRANSLATE(A2422,""en"",""pt-br"")"),"alargamento")</f>
        <v>alargamento</v>
      </c>
      <c r="D2422" s="1" t="str">
        <f>IFERROR(__xludf.DUMMYFUNCTION("GOOGLETRANSLATE(B2422,""en"",""pt-br"")"),"negativo")</f>
        <v>negativo</v>
      </c>
    </row>
    <row r="2423" ht="15.75" customHeight="1">
      <c r="A2423" s="2" t="s">
        <v>2422</v>
      </c>
      <c r="B2423" s="2" t="s">
        <v>3</v>
      </c>
      <c r="C2423" s="1" t="str">
        <f>IFERROR(__xludf.DUMMYFUNCTION("GOOGLETRANSLATE(A2423,""en"",""pt-br"")"),"flares")</f>
        <v>flares</v>
      </c>
      <c r="D2423" s="1" t="str">
        <f>IFERROR(__xludf.DUMMYFUNCTION("GOOGLETRANSLATE(B2423,""en"",""pt-br"")"),"negativo")</f>
        <v>negativo</v>
      </c>
    </row>
    <row r="2424" ht="15.75" customHeight="1">
      <c r="A2424" s="2" t="s">
        <v>2423</v>
      </c>
      <c r="B2424" s="2" t="s">
        <v>3</v>
      </c>
      <c r="C2424" s="1" t="str">
        <f>IFERROR(__xludf.DUMMYFUNCTION("GOOGLETRANSLATE(A2424,""en"",""pt-br"")"),"flareup")</f>
        <v>flareup</v>
      </c>
      <c r="D2424" s="1" t="str">
        <f>IFERROR(__xludf.DUMMYFUNCTION("GOOGLETRANSLATE(B2424,""en"",""pt-br"")"),"negativo")</f>
        <v>negativo</v>
      </c>
    </row>
    <row r="2425" ht="15.75" customHeight="1">
      <c r="A2425" s="2" t="s">
        <v>2424</v>
      </c>
      <c r="B2425" s="2" t="s">
        <v>3</v>
      </c>
      <c r="C2425" s="1" t="str">
        <f>IFERROR(__xludf.DUMMYFUNCTION("GOOGLETRANSLATE(A2425,""en"",""pt-br"")"),"flareups")</f>
        <v>flareups</v>
      </c>
      <c r="D2425" s="1" t="str">
        <f>IFERROR(__xludf.DUMMYFUNCTION("GOOGLETRANSLATE(B2425,""en"",""pt-br"")"),"negativo")</f>
        <v>negativo</v>
      </c>
    </row>
    <row r="2426" ht="15.75" customHeight="1">
      <c r="A2426" s="2" t="s">
        <v>2425</v>
      </c>
      <c r="B2426" s="2" t="s">
        <v>14</v>
      </c>
      <c r="C2426" s="1" t="str">
        <f>IFERROR(__xludf.DUMMYFUNCTION("GOOGLETRANSLATE(A2426,""en"",""pt-br"")"),"chamativo")</f>
        <v>chamativo</v>
      </c>
      <c r="D2426" s="1" t="str">
        <f>IFERROR(__xludf.DUMMYFUNCTION("GOOGLETRANSLATE(B2426,""en"",""pt-br"")"),"positivo")</f>
        <v>positivo</v>
      </c>
    </row>
    <row r="2427" ht="15.75" customHeight="1">
      <c r="A2427" s="2" t="s">
        <v>2426</v>
      </c>
      <c r="B2427" s="2" t="s">
        <v>3</v>
      </c>
      <c r="C2427" s="1" t="str">
        <f>IFERROR(__xludf.DUMMYFUNCTION("GOOGLETRANSLATE(A2427,""en"",""pt-br"")"),"pisar fundo")</f>
        <v>pisar fundo</v>
      </c>
      <c r="D2427" s="1" t="str">
        <f>IFERROR(__xludf.DUMMYFUNCTION("GOOGLETRANSLATE(B2427,""en"",""pt-br"")"),"negativo")</f>
        <v>negativo</v>
      </c>
    </row>
    <row r="2428" ht="15.75" customHeight="1">
      <c r="A2428" s="2" t="s">
        <v>2427</v>
      </c>
      <c r="B2428" s="2" t="s">
        <v>14</v>
      </c>
      <c r="C2428" s="1" t="str">
        <f>IFERROR(__xludf.DUMMYFUNCTION("GOOGLETRANSLATE(A2428,""en"",""pt-br"")"),"bajular")</f>
        <v>bajular</v>
      </c>
      <c r="D2428" s="1" t="str">
        <f>IFERROR(__xludf.DUMMYFUNCTION("GOOGLETRANSLATE(B2428,""en"",""pt-br"")"),"positivo")</f>
        <v>positivo</v>
      </c>
    </row>
    <row r="2429" ht="15.75" customHeight="1">
      <c r="A2429" s="2" t="s">
        <v>2428</v>
      </c>
      <c r="B2429" s="2" t="s">
        <v>14</v>
      </c>
      <c r="C2429" s="1" t="str">
        <f>IFERROR(__xludf.DUMMYFUNCTION("GOOGLETRANSLATE(A2429,""en"",""pt-br"")"),"lisonjeiro")</f>
        <v>lisonjeiro</v>
      </c>
      <c r="D2429" s="1" t="str">
        <f>IFERROR(__xludf.DUMMYFUNCTION("GOOGLETRANSLATE(B2429,""en"",""pt-br"")"),"positivo")</f>
        <v>positivo</v>
      </c>
    </row>
    <row r="2430" ht="15.75" customHeight="1">
      <c r="A2430" s="2" t="s">
        <v>2429</v>
      </c>
      <c r="B2430" s="2" t="s">
        <v>14</v>
      </c>
      <c r="C2430" s="1" t="str">
        <f>IFERROR(__xludf.DUMMYFUNCTION("GOOGLETRANSLATE(A2430,""en"",""pt-br"")"),"flatteringly")</f>
        <v>flatteringly</v>
      </c>
      <c r="D2430" s="1" t="str">
        <f>IFERROR(__xludf.DUMMYFUNCTION("GOOGLETRANSLATE(B2430,""en"",""pt-br"")"),"positivo")</f>
        <v>positivo</v>
      </c>
    </row>
    <row r="2431" ht="15.75" customHeight="1">
      <c r="A2431" s="2" t="s">
        <v>2430</v>
      </c>
      <c r="B2431" s="2" t="s">
        <v>3</v>
      </c>
      <c r="C2431" s="1" t="str">
        <f>IFERROR(__xludf.DUMMYFUNCTION("GOOGLETRANSLATE(A2431,""en"",""pt-br"")"),"Flaunt")</f>
        <v>Flaunt</v>
      </c>
      <c r="D2431" s="1" t="str">
        <f>IFERROR(__xludf.DUMMYFUNCTION("GOOGLETRANSLATE(B2431,""en"",""pt-br"")"),"negativo")</f>
        <v>negativo</v>
      </c>
    </row>
    <row r="2432" ht="15.75" customHeight="1">
      <c r="A2432" s="2" t="s">
        <v>2431</v>
      </c>
      <c r="B2432" s="2" t="s">
        <v>3</v>
      </c>
      <c r="C2432" s="1" t="str">
        <f>IFERROR(__xludf.DUMMYFUNCTION("GOOGLETRANSLATE(A2432,""en"",""pt-br"")"),"falha")</f>
        <v>falha</v>
      </c>
      <c r="D2432" s="1" t="str">
        <f>IFERROR(__xludf.DUMMYFUNCTION("GOOGLETRANSLATE(B2432,""en"",""pt-br"")"),"negativo")</f>
        <v>negativo</v>
      </c>
    </row>
    <row r="2433" ht="15.75" customHeight="1">
      <c r="A2433" s="2" t="s">
        <v>2432</v>
      </c>
      <c r="B2433" s="2" t="s">
        <v>3</v>
      </c>
      <c r="C2433" s="1" t="str">
        <f>IFERROR(__xludf.DUMMYFUNCTION("GOOGLETRANSLATE(A2433,""en"",""pt-br"")"),"falho")</f>
        <v>falho</v>
      </c>
      <c r="D2433" s="1" t="str">
        <f>IFERROR(__xludf.DUMMYFUNCTION("GOOGLETRANSLATE(B2433,""en"",""pt-br"")"),"negativo")</f>
        <v>negativo</v>
      </c>
    </row>
    <row r="2434" ht="15.75" customHeight="1">
      <c r="A2434" s="2" t="s">
        <v>2433</v>
      </c>
      <c r="B2434" s="2" t="s">
        <v>14</v>
      </c>
      <c r="C2434" s="1" t="str">
        <f>IFERROR(__xludf.DUMMYFUNCTION("GOOGLETRANSLATE(A2434,""en"",""pt-br"")"),"sem falhas")</f>
        <v>sem falhas</v>
      </c>
      <c r="D2434" s="1" t="str">
        <f>IFERROR(__xludf.DUMMYFUNCTION("GOOGLETRANSLATE(B2434,""en"",""pt-br"")"),"positivo")</f>
        <v>positivo</v>
      </c>
    </row>
    <row r="2435" ht="15.75" customHeight="1">
      <c r="A2435" s="2" t="s">
        <v>2434</v>
      </c>
      <c r="B2435" s="2" t="s">
        <v>14</v>
      </c>
      <c r="C2435" s="1" t="str">
        <f>IFERROR(__xludf.DUMMYFUNCTION("GOOGLETRANSLATE(A2435,""en"",""pt-br"")"),"perfeição")</f>
        <v>perfeição</v>
      </c>
      <c r="D2435" s="1" t="str">
        <f>IFERROR(__xludf.DUMMYFUNCTION("GOOGLETRANSLATE(B2435,""en"",""pt-br"")"),"positivo")</f>
        <v>positivo</v>
      </c>
    </row>
    <row r="2436" ht="15.75" customHeight="1">
      <c r="A2436" s="2" t="s">
        <v>2435</v>
      </c>
      <c r="B2436" s="2" t="s">
        <v>3</v>
      </c>
      <c r="C2436" s="1" t="str">
        <f>IFERROR(__xludf.DUMMYFUNCTION("GOOGLETRANSLATE(A2436,""en"",""pt-br"")"),"falhas")</f>
        <v>falhas</v>
      </c>
      <c r="D2436" s="1" t="str">
        <f>IFERROR(__xludf.DUMMYFUNCTION("GOOGLETRANSLATE(B2436,""en"",""pt-br"")"),"negativo")</f>
        <v>negativo</v>
      </c>
    </row>
    <row r="2437" ht="15.75" customHeight="1">
      <c r="A2437" s="2" t="s">
        <v>2436</v>
      </c>
      <c r="B2437" s="2" t="s">
        <v>3</v>
      </c>
      <c r="C2437" s="1" t="str">
        <f>IFERROR(__xludf.DUMMYFUNCTION("GOOGLETRANSLATE(A2437,""en"",""pt-br"")"),"fugir")</f>
        <v>fugir</v>
      </c>
      <c r="D2437" s="1" t="str">
        <f>IFERROR(__xludf.DUMMYFUNCTION("GOOGLETRANSLATE(B2437,""en"",""pt-br"")"),"negativo")</f>
        <v>negativo</v>
      </c>
    </row>
    <row r="2438" ht="15.75" customHeight="1">
      <c r="A2438" s="2" t="s">
        <v>2437</v>
      </c>
      <c r="B2438" s="2" t="s">
        <v>3</v>
      </c>
      <c r="C2438" s="1" t="str">
        <f>IFERROR(__xludf.DUMMYFUNCTION("GOOGLETRANSLATE(A2438,""en"",""pt-br"")"),"fugiu")</f>
        <v>fugiu</v>
      </c>
      <c r="D2438" s="1" t="str">
        <f>IFERROR(__xludf.DUMMYFUNCTION("GOOGLETRANSLATE(B2438,""en"",""pt-br"")"),"negativo")</f>
        <v>negativo</v>
      </c>
    </row>
    <row r="2439" ht="15.75" customHeight="1">
      <c r="A2439" s="2" t="s">
        <v>2438</v>
      </c>
      <c r="B2439" s="2" t="s">
        <v>3</v>
      </c>
      <c r="C2439" s="1" t="str">
        <f>IFERROR(__xludf.DUMMYFUNCTION("GOOGLETRANSLATE(A2439,""en"",""pt-br"")"),"fuga")</f>
        <v>fuga</v>
      </c>
      <c r="D2439" s="1" t="str">
        <f>IFERROR(__xludf.DUMMYFUNCTION("GOOGLETRANSLATE(B2439,""en"",""pt-br"")"),"negativo")</f>
        <v>negativo</v>
      </c>
    </row>
    <row r="2440" ht="15.75" customHeight="1">
      <c r="A2440" s="2" t="s">
        <v>2439</v>
      </c>
      <c r="B2440" s="2" t="s">
        <v>3</v>
      </c>
      <c r="C2440" s="1" t="str">
        <f>IFERROR(__xludf.DUMMYFUNCTION("GOOGLETRANSLATE(A2440,""en"",""pt-br"")"),"fugitivo")</f>
        <v>fugitivo</v>
      </c>
      <c r="D2440" s="1" t="str">
        <f>IFERROR(__xludf.DUMMYFUNCTION("GOOGLETRANSLATE(B2440,""en"",""pt-br"")"),"negativo")</f>
        <v>negativo</v>
      </c>
    </row>
    <row r="2441" ht="15.75" customHeight="1">
      <c r="A2441" s="2" t="s">
        <v>2440</v>
      </c>
      <c r="B2441" s="2" t="s">
        <v>3</v>
      </c>
      <c r="C2441" s="1" t="str">
        <f>IFERROR(__xludf.DUMMYFUNCTION("GOOGLETRANSLATE(A2441,""en"",""pt-br"")"),"foge")</f>
        <v>foge</v>
      </c>
      <c r="D2441" s="1" t="str">
        <f>IFERROR(__xludf.DUMMYFUNCTION("GOOGLETRANSLATE(B2441,""en"",""pt-br"")"),"negativo")</f>
        <v>negativo</v>
      </c>
    </row>
    <row r="2442" ht="15.75" customHeight="1">
      <c r="A2442" s="2" t="s">
        <v>2441</v>
      </c>
      <c r="B2442" s="2" t="s">
        <v>3</v>
      </c>
      <c r="C2442" s="1" t="str">
        <f>IFERROR(__xludf.DUMMYFUNCTION("GOOGLETRANSLATE(A2442,""en"",""pt-br"")"),"fugaz")</f>
        <v>fugaz</v>
      </c>
      <c r="D2442" s="1" t="str">
        <f>IFERROR(__xludf.DUMMYFUNCTION("GOOGLETRANSLATE(B2442,""en"",""pt-br"")"),"negativo")</f>
        <v>negativo</v>
      </c>
    </row>
    <row r="2443" ht="15.75" customHeight="1">
      <c r="A2443" s="2" t="s">
        <v>2442</v>
      </c>
      <c r="B2443" s="2" t="s">
        <v>14</v>
      </c>
      <c r="C2443" s="1" t="str">
        <f>IFERROR(__xludf.DUMMYFUNCTION("GOOGLETRANSLATE(A2443,""en"",""pt-br"")"),"flexibilidade")</f>
        <v>flexibilidade</v>
      </c>
      <c r="D2443" s="1" t="str">
        <f>IFERROR(__xludf.DUMMYFUNCTION("GOOGLETRANSLATE(B2443,""en"",""pt-br"")"),"positivo")</f>
        <v>positivo</v>
      </c>
    </row>
    <row r="2444" ht="15.75" customHeight="1">
      <c r="A2444" s="2" t="s">
        <v>2443</v>
      </c>
      <c r="B2444" s="2" t="s">
        <v>14</v>
      </c>
      <c r="C2444" s="1" t="str">
        <f>IFERROR(__xludf.DUMMYFUNCTION("GOOGLETRANSLATE(A2444,""en"",""pt-br"")"),"flexível")</f>
        <v>flexível</v>
      </c>
      <c r="D2444" s="1" t="str">
        <f>IFERROR(__xludf.DUMMYFUNCTION("GOOGLETRANSLATE(B2444,""en"",""pt-br"")"),"positivo")</f>
        <v>positivo</v>
      </c>
    </row>
    <row r="2445" ht="15.75" customHeight="1">
      <c r="A2445" s="2" t="s">
        <v>2444</v>
      </c>
      <c r="B2445" s="2" t="s">
        <v>3</v>
      </c>
      <c r="C2445" s="1" t="str">
        <f>IFERROR(__xludf.DUMMYFUNCTION("GOOGLETRANSLATE(A2445,""en"",""pt-br"")"),"flicering")</f>
        <v>flicering</v>
      </c>
      <c r="D2445" s="1" t="str">
        <f>IFERROR(__xludf.DUMMYFUNCTION("GOOGLETRANSLATE(B2445,""en"",""pt-br"")"),"negativo")</f>
        <v>negativo</v>
      </c>
    </row>
    <row r="2446" ht="15.75" customHeight="1">
      <c r="A2446" s="2" t="s">
        <v>2445</v>
      </c>
      <c r="B2446" s="2" t="s">
        <v>3</v>
      </c>
      <c r="C2446" s="1" t="str">
        <f>IFERROR(__xludf.DUMMYFUNCTION("GOOGLETRANSLATE(A2446,""en"",""pt-br"")"),"tremulação")</f>
        <v>tremulação</v>
      </c>
      <c r="D2446" s="1" t="str">
        <f>IFERROR(__xludf.DUMMYFUNCTION("GOOGLETRANSLATE(B2446,""en"",""pt-br"")"),"negativo")</f>
        <v>negativo</v>
      </c>
    </row>
    <row r="2447" ht="15.75" customHeight="1">
      <c r="A2447" s="2" t="s">
        <v>2446</v>
      </c>
      <c r="B2447" s="2" t="s">
        <v>3</v>
      </c>
      <c r="C2447" s="1" t="str">
        <f>IFERROR(__xludf.DUMMYFUNCTION("GOOGLETRANSLATE(A2447,""en"",""pt-br"")"),"vacilante")</f>
        <v>vacilante</v>
      </c>
      <c r="D2447" s="1" t="str">
        <f>IFERROR(__xludf.DUMMYFUNCTION("GOOGLETRANSLATE(B2447,""en"",""pt-br"")"),"negativo")</f>
        <v>negativo</v>
      </c>
    </row>
    <row r="2448" ht="15.75" customHeight="1">
      <c r="A2448" s="2" t="s">
        <v>2447</v>
      </c>
      <c r="B2448" s="2" t="s">
        <v>3</v>
      </c>
      <c r="C2448" s="1" t="str">
        <f>IFERROR(__xludf.DUMMYFUNCTION("GOOGLETRANSLATE(A2448,""en"",""pt-br"")"),"cintilações")</f>
        <v>cintilações</v>
      </c>
      <c r="D2448" s="1" t="str">
        <f>IFERROR(__xludf.DUMMYFUNCTION("GOOGLETRANSLATE(B2448,""en"",""pt-br"")"),"negativo")</f>
        <v>negativo</v>
      </c>
    </row>
    <row r="2449" ht="15.75" customHeight="1">
      <c r="A2449" s="2" t="s">
        <v>2448</v>
      </c>
      <c r="B2449" s="2" t="s">
        <v>3</v>
      </c>
      <c r="C2449" s="1" t="str">
        <f>IFERROR(__xludf.DUMMYFUNCTION("GOOGLETRANSLATE(A2449,""en"",""pt-br"")"),"volúvel")</f>
        <v>volúvel</v>
      </c>
      <c r="D2449" s="1" t="str">
        <f>IFERROR(__xludf.DUMMYFUNCTION("GOOGLETRANSLATE(B2449,""en"",""pt-br"")"),"negativo")</f>
        <v>negativo</v>
      </c>
    </row>
    <row r="2450" ht="15.75" customHeight="1">
      <c r="A2450" s="2" t="s">
        <v>2449</v>
      </c>
      <c r="B2450" s="2" t="s">
        <v>3</v>
      </c>
      <c r="C2450" s="1" t="str">
        <f>IFERROR(__xludf.DUMMYFUNCTION("GOOGLETRANSLATE(A2450,""en"",""pt-br"")"),"enganar")</f>
        <v>enganar</v>
      </c>
      <c r="D2450" s="1" t="str">
        <f>IFERROR(__xludf.DUMMYFUNCTION("GOOGLETRANSLATE(B2450,""en"",""pt-br"")"),"negativo")</f>
        <v>negativo</v>
      </c>
    </row>
    <row r="2451" ht="15.75" customHeight="1">
      <c r="A2451" s="2" t="s">
        <v>2450</v>
      </c>
      <c r="B2451" s="2" t="s">
        <v>3</v>
      </c>
      <c r="C2451" s="1" t="str">
        <f>IFERROR(__xludf.DUMMYFUNCTION("GOOGLETRANSLATE(A2451,""en"",""pt-br"")"),"inconsistente")</f>
        <v>inconsistente</v>
      </c>
      <c r="D2451" s="1" t="str">
        <f>IFERROR(__xludf.DUMMYFUNCTION("GOOGLETRANSLATE(B2451,""en"",""pt-br"")"),"negativo")</f>
        <v>negativo</v>
      </c>
    </row>
    <row r="2452" ht="15.75" customHeight="1">
      <c r="A2452" s="2" t="s">
        <v>2451</v>
      </c>
      <c r="B2452" s="2" t="s">
        <v>3</v>
      </c>
      <c r="C2452" s="1" t="str">
        <f>IFERROR(__xludf.DUMMYFUNCTION("GOOGLETRANSLATE(A2452,""en"",""pt-br"")"),"flerte")</f>
        <v>flerte</v>
      </c>
      <c r="D2452" s="1" t="str">
        <f>IFERROR(__xludf.DUMMYFUNCTION("GOOGLETRANSLATE(B2452,""en"",""pt-br"")"),"negativo")</f>
        <v>negativo</v>
      </c>
    </row>
    <row r="2453" ht="15.75" customHeight="1">
      <c r="A2453" s="2" t="s">
        <v>2452</v>
      </c>
      <c r="B2453" s="2" t="s">
        <v>3</v>
      </c>
      <c r="C2453" s="1" t="str">
        <f>IFERROR(__xludf.DUMMYFUNCTION("GOOGLETRANSLATE(A2453,""en"",""pt-br"")"),"provocante")</f>
        <v>provocante</v>
      </c>
      <c r="D2453" s="1" t="str">
        <f>IFERROR(__xludf.DUMMYFUNCTION("GOOGLETRANSLATE(B2453,""en"",""pt-br"")"),"negativo")</f>
        <v>negativo</v>
      </c>
    </row>
    <row r="2454" ht="15.75" customHeight="1">
      <c r="A2454" s="2" t="s">
        <v>2453</v>
      </c>
      <c r="B2454" s="2" t="s">
        <v>3</v>
      </c>
      <c r="C2454" s="1" t="str">
        <f>IFERROR(__xludf.DUMMYFUNCTION("GOOGLETRANSLATE(A2454,""en"",""pt-br"")"),"piso")</f>
        <v>piso</v>
      </c>
      <c r="D2454" s="1" t="str">
        <f>IFERROR(__xludf.DUMMYFUNCTION("GOOGLETRANSLATE(B2454,""en"",""pt-br"")"),"negativo")</f>
        <v>negativo</v>
      </c>
    </row>
    <row r="2455" ht="15.75" customHeight="1">
      <c r="A2455" s="2" t="s">
        <v>2454</v>
      </c>
      <c r="B2455" s="2" t="s">
        <v>3</v>
      </c>
      <c r="C2455" s="1" t="str">
        <f>IFERROR(__xludf.DUMMYFUNCTION("GOOGLETRANSLATE(A2455,""en"",""pt-br"")"),"linguado")</f>
        <v>linguado</v>
      </c>
      <c r="D2455" s="1" t="str">
        <f>IFERROR(__xludf.DUMMYFUNCTION("GOOGLETRANSLATE(B2455,""en"",""pt-br"")"),"negativo")</f>
        <v>negativo</v>
      </c>
    </row>
    <row r="2456" ht="15.75" customHeight="1">
      <c r="A2456" s="2" t="s">
        <v>2455</v>
      </c>
      <c r="B2456" s="2" t="s">
        <v>3</v>
      </c>
      <c r="C2456" s="1" t="str">
        <f>IFERROR(__xludf.DUMMYFUNCTION("GOOGLETRANSLATE(A2456,""en"",""pt-br"")"),"debatendo")</f>
        <v>debatendo</v>
      </c>
      <c r="D2456" s="1" t="str">
        <f>IFERROR(__xludf.DUMMYFUNCTION("GOOGLETRANSLATE(B2456,""en"",""pt-br"")"),"negativo")</f>
        <v>negativo</v>
      </c>
    </row>
    <row r="2457" ht="15.75" customHeight="1">
      <c r="A2457" s="2" t="s">
        <v>2456</v>
      </c>
      <c r="B2457" s="2" t="s">
        <v>14</v>
      </c>
      <c r="C2457" s="1" t="str">
        <f>IFERROR(__xludf.DUMMYFUNCTION("GOOGLETRANSLATE(A2457,""en"",""pt-br"")"),"florescer")</f>
        <v>florescer</v>
      </c>
      <c r="D2457" s="1" t="str">
        <f>IFERROR(__xludf.DUMMYFUNCTION("GOOGLETRANSLATE(B2457,""en"",""pt-br"")"),"positivo")</f>
        <v>positivo</v>
      </c>
    </row>
    <row r="2458" ht="15.75" customHeight="1">
      <c r="A2458" s="2" t="s">
        <v>2457</v>
      </c>
      <c r="B2458" s="2" t="s">
        <v>14</v>
      </c>
      <c r="C2458" s="1" t="str">
        <f>IFERROR(__xludf.DUMMYFUNCTION("GOOGLETRANSLATE(A2458,""en"",""pt-br"")"),"florescente")</f>
        <v>florescente</v>
      </c>
      <c r="D2458" s="1" t="str">
        <f>IFERROR(__xludf.DUMMYFUNCTION("GOOGLETRANSLATE(B2458,""en"",""pt-br"")"),"positivo")</f>
        <v>positivo</v>
      </c>
    </row>
    <row r="2459" ht="15.75" customHeight="1">
      <c r="A2459" s="2" t="s">
        <v>2458</v>
      </c>
      <c r="B2459" s="2" t="s">
        <v>3</v>
      </c>
      <c r="C2459" s="1" t="str">
        <f>IFERROR(__xludf.DUMMYFUNCTION("GOOGLETRANSLATE(A2459,""en"",""pt-br"")"),"desprezar")</f>
        <v>desprezar</v>
      </c>
      <c r="D2459" s="1" t="str">
        <f>IFERROR(__xludf.DUMMYFUNCTION("GOOGLETRANSLATE(B2459,""en"",""pt-br"")"),"negativo")</f>
        <v>negativo</v>
      </c>
    </row>
    <row r="2460" ht="15.75" customHeight="1">
      <c r="A2460" s="2" t="s">
        <v>2459</v>
      </c>
      <c r="B2460" s="2" t="s">
        <v>14</v>
      </c>
      <c r="C2460" s="1" t="str">
        <f>IFERROR(__xludf.DUMMYFUNCTION("GOOGLETRANSLATE(A2460,""en"",""pt-br"")"),"fluente")</f>
        <v>fluente</v>
      </c>
      <c r="D2460" s="1" t="str">
        <f>IFERROR(__xludf.DUMMYFUNCTION("GOOGLETRANSLATE(B2460,""en"",""pt-br"")"),"positivo")</f>
        <v>positivo</v>
      </c>
    </row>
    <row r="2461" ht="15.75" customHeight="1">
      <c r="A2461" s="2" t="s">
        <v>2460</v>
      </c>
      <c r="B2461" s="2" t="s">
        <v>3</v>
      </c>
      <c r="C2461" s="1" t="str">
        <f>IFERROR(__xludf.DUMMYFUNCTION("GOOGLETRANSLATE(A2461,""en"",""pt-br"")"),"fluster")</f>
        <v>fluster</v>
      </c>
      <c r="D2461" s="1" t="str">
        <f>IFERROR(__xludf.DUMMYFUNCTION("GOOGLETRANSLATE(B2461,""en"",""pt-br"")"),"negativo")</f>
        <v>negativo</v>
      </c>
    </row>
    <row r="2462" ht="15.75" customHeight="1">
      <c r="A2462" s="2" t="s">
        <v>2461</v>
      </c>
      <c r="B2462" s="2" t="s">
        <v>14</v>
      </c>
      <c r="C2462" s="1" t="str">
        <f>IFERROR(__xludf.DUMMYFUNCTION("GOOGLETRANSLATE(A2462,""en"",""pt-br"")"),"palpitação")</f>
        <v>palpitação</v>
      </c>
      <c r="D2462" s="1" t="str">
        <f>IFERROR(__xludf.DUMMYFUNCTION("GOOGLETRANSLATE(B2462,""en"",""pt-br"")"),"positivo")</f>
        <v>positivo</v>
      </c>
    </row>
    <row r="2463" ht="15.75" customHeight="1">
      <c r="A2463" s="2" t="s">
        <v>2462</v>
      </c>
      <c r="B2463" s="2" t="s">
        <v>3</v>
      </c>
      <c r="C2463" s="1" t="str">
        <f>IFERROR(__xludf.DUMMYFUNCTION("GOOGLETRANSLATE(A2463,""en"",""pt-br"")"),"inimigo")</f>
        <v>inimigo</v>
      </c>
      <c r="D2463" s="1" t="str">
        <f>IFERROR(__xludf.DUMMYFUNCTION("GOOGLETRANSLATE(B2463,""en"",""pt-br"")"),"negativo")</f>
        <v>negativo</v>
      </c>
    </row>
    <row r="2464" ht="15.75" customHeight="1">
      <c r="A2464" s="2" t="s">
        <v>2463</v>
      </c>
      <c r="B2464" s="2" t="s">
        <v>14</v>
      </c>
      <c r="C2464" s="1" t="str">
        <f>IFERROR(__xludf.DUMMYFUNCTION("GOOGLETRANSLATE(A2464,""en"",""pt-br"")"),"afeiçoado")</f>
        <v>afeiçoado</v>
      </c>
      <c r="D2464" s="1" t="str">
        <f>IFERROR(__xludf.DUMMYFUNCTION("GOOGLETRANSLATE(B2464,""en"",""pt-br"")"),"positivo")</f>
        <v>positivo</v>
      </c>
    </row>
    <row r="2465" ht="15.75" customHeight="1">
      <c r="A2465" s="2" t="s">
        <v>2464</v>
      </c>
      <c r="B2465" s="2" t="s">
        <v>14</v>
      </c>
      <c r="C2465" s="1" t="str">
        <f>IFERROR(__xludf.DUMMYFUNCTION("GOOGLETRANSLATE(A2465,""en"",""pt-br"")"),"com carinho")</f>
        <v>com carinho</v>
      </c>
      <c r="D2465" s="1" t="str">
        <f>IFERROR(__xludf.DUMMYFUNCTION("GOOGLETRANSLATE(B2465,""en"",""pt-br"")"),"positivo")</f>
        <v>positivo</v>
      </c>
    </row>
    <row r="2466" ht="15.75" customHeight="1">
      <c r="A2466" s="2" t="s">
        <v>2465</v>
      </c>
      <c r="B2466" s="2" t="s">
        <v>14</v>
      </c>
      <c r="C2466" s="1" t="str">
        <f>IFERROR(__xludf.DUMMYFUNCTION("GOOGLETRANSLATE(A2466,""en"",""pt-br"")"),"carinho")</f>
        <v>carinho</v>
      </c>
      <c r="D2466" s="1" t="str">
        <f>IFERROR(__xludf.DUMMYFUNCTION("GOOGLETRANSLATE(B2466,""en"",""pt-br"")"),"positivo")</f>
        <v>positivo</v>
      </c>
    </row>
    <row r="2467" ht="15.75" customHeight="1">
      <c r="A2467" s="2" t="s">
        <v>2466</v>
      </c>
      <c r="B2467" s="2" t="s">
        <v>3</v>
      </c>
      <c r="C2467" s="1" t="str">
        <f>IFERROR(__xludf.DUMMYFUNCTION("GOOGLETRANSLATE(A2467,""en"",""pt-br"")"),"idiota")</f>
        <v>idiota</v>
      </c>
      <c r="D2467" s="1" t="str">
        <f>IFERROR(__xludf.DUMMYFUNCTION("GOOGLETRANSLATE(B2467,""en"",""pt-br"")"),"negativo")</f>
        <v>negativo</v>
      </c>
    </row>
    <row r="2468" ht="15.75" customHeight="1">
      <c r="A2468" s="2" t="s">
        <v>2467</v>
      </c>
      <c r="B2468" s="2" t="s">
        <v>3</v>
      </c>
      <c r="C2468" s="1" t="str">
        <f>IFERROR(__xludf.DUMMYFUNCTION("GOOGLETRANSLATE(A2468,""en"",""pt-br"")"),"Fooled")</f>
        <v>Fooled</v>
      </c>
      <c r="D2468" s="1" t="str">
        <f>IFERROR(__xludf.DUMMYFUNCTION("GOOGLETRANSLATE(B2468,""en"",""pt-br"")"),"negativo")</f>
        <v>negativo</v>
      </c>
    </row>
    <row r="2469" ht="15.75" customHeight="1">
      <c r="A2469" s="2" t="s">
        <v>2468</v>
      </c>
      <c r="B2469" s="2" t="s">
        <v>3</v>
      </c>
      <c r="C2469" s="1" t="str">
        <f>IFERROR(__xludf.DUMMYFUNCTION("GOOGLETRANSLATE(A2469,""en"",""pt-br"")"),"temerário")</f>
        <v>temerário</v>
      </c>
      <c r="D2469" s="1" t="str">
        <f>IFERROR(__xludf.DUMMYFUNCTION("GOOGLETRANSLATE(B2469,""en"",""pt-br"")"),"negativo")</f>
        <v>negativo</v>
      </c>
    </row>
    <row r="2470" ht="15.75" customHeight="1">
      <c r="A2470" s="2" t="s">
        <v>2469</v>
      </c>
      <c r="B2470" s="2" t="s">
        <v>3</v>
      </c>
      <c r="C2470" s="1" t="str">
        <f>IFERROR(__xludf.DUMMYFUNCTION("GOOGLETRANSLATE(A2470,""en"",""pt-br"")"),"Insensato")</f>
        <v>Insensato</v>
      </c>
      <c r="D2470" s="1" t="str">
        <f>IFERROR(__xludf.DUMMYFUNCTION("GOOGLETRANSLATE(B2470,""en"",""pt-br"")"),"negativo")</f>
        <v>negativo</v>
      </c>
    </row>
    <row r="2471" ht="15.75" customHeight="1">
      <c r="A2471" s="2" t="s">
        <v>2470</v>
      </c>
      <c r="B2471" s="2" t="s">
        <v>3</v>
      </c>
      <c r="C2471" s="1" t="str">
        <f>IFERROR(__xludf.DUMMYFUNCTION("GOOGLETRANSLATE(A2471,""en"",""pt-br"")"),"tolamente")</f>
        <v>tolamente</v>
      </c>
      <c r="D2471" s="1" t="str">
        <f>IFERROR(__xludf.DUMMYFUNCTION("GOOGLETRANSLATE(B2471,""en"",""pt-br"")"),"negativo")</f>
        <v>negativo</v>
      </c>
    </row>
    <row r="2472" ht="15.75" customHeight="1">
      <c r="A2472" s="2" t="s">
        <v>2471</v>
      </c>
      <c r="B2472" s="2" t="s">
        <v>3</v>
      </c>
      <c r="C2472" s="1" t="str">
        <f>IFERROR(__xludf.DUMMYFUNCTION("GOOGLETRANSLATE(A2472,""en"",""pt-br"")"),"loucura")</f>
        <v>loucura</v>
      </c>
      <c r="D2472" s="1" t="str">
        <f>IFERROR(__xludf.DUMMYFUNCTION("GOOGLETRANSLATE(B2472,""en"",""pt-br"")"),"negativo")</f>
        <v>negativo</v>
      </c>
    </row>
    <row r="2473" ht="15.75" customHeight="1">
      <c r="A2473" s="2" t="s">
        <v>2472</v>
      </c>
      <c r="B2473" s="2" t="s">
        <v>14</v>
      </c>
      <c r="C2473" s="1" t="str">
        <f>IFERROR(__xludf.DUMMYFUNCTION("GOOGLETRANSLATE(A2473,""en"",""pt-br"")"),"infalível")</f>
        <v>infalível</v>
      </c>
      <c r="D2473" s="1" t="str">
        <f>IFERROR(__xludf.DUMMYFUNCTION("GOOGLETRANSLATE(B2473,""en"",""pt-br"")"),"positivo")</f>
        <v>positivo</v>
      </c>
    </row>
    <row r="2474" ht="15.75" customHeight="1">
      <c r="A2474" s="2" t="s">
        <v>2473</v>
      </c>
      <c r="B2474" s="2" t="s">
        <v>3</v>
      </c>
      <c r="C2474" s="1" t="str">
        <f>IFERROR(__xludf.DUMMYFUNCTION("GOOGLETRANSLATE(A2474,""en"",""pt-br"")"),"proibir")</f>
        <v>proibir</v>
      </c>
      <c r="D2474" s="1" t="str">
        <f>IFERROR(__xludf.DUMMYFUNCTION("GOOGLETRANSLATE(B2474,""en"",""pt-br"")"),"negativo")</f>
        <v>negativo</v>
      </c>
    </row>
    <row r="2475" ht="15.75" customHeight="1">
      <c r="A2475" s="2" t="s">
        <v>2474</v>
      </c>
      <c r="B2475" s="2" t="s">
        <v>3</v>
      </c>
      <c r="C2475" s="1" t="str">
        <f>IFERROR(__xludf.DUMMYFUNCTION("GOOGLETRANSLATE(A2475,""en"",""pt-br"")"),"proibido")</f>
        <v>proibido</v>
      </c>
      <c r="D2475" s="1" t="str">
        <f>IFERROR(__xludf.DUMMYFUNCTION("GOOGLETRANSLATE(B2475,""en"",""pt-br"")"),"negativo")</f>
        <v>negativo</v>
      </c>
    </row>
    <row r="2476" ht="15.75" customHeight="1">
      <c r="A2476" s="2" t="s">
        <v>2475</v>
      </c>
      <c r="B2476" s="2" t="s">
        <v>3</v>
      </c>
      <c r="C2476" s="1" t="str">
        <f>IFERROR(__xludf.DUMMYFUNCTION("GOOGLETRANSLATE(A2476,""en"",""pt-br"")"),"ameaçador")</f>
        <v>ameaçador</v>
      </c>
      <c r="D2476" s="1" t="str">
        <f>IFERROR(__xludf.DUMMYFUNCTION("GOOGLETRANSLATE(B2476,""en"",""pt-br"")"),"negativo")</f>
        <v>negativo</v>
      </c>
    </row>
    <row r="2477" ht="15.75" customHeight="1">
      <c r="A2477" s="2" t="s">
        <v>2476</v>
      </c>
      <c r="B2477" s="2" t="s">
        <v>3</v>
      </c>
      <c r="C2477" s="1" t="str">
        <f>IFERROR(__xludf.DUMMYFUNCTION("GOOGLETRANSLATE(A2477,""en"",""pt-br"")"),"forte")</f>
        <v>forte</v>
      </c>
      <c r="D2477" s="1" t="str">
        <f>IFERROR(__xludf.DUMMYFUNCTION("GOOGLETRANSLATE(B2477,""en"",""pt-br"")"),"negativo")</f>
        <v>negativo</v>
      </c>
    </row>
    <row r="2478" ht="15.75" customHeight="1">
      <c r="A2478" s="2" t="s">
        <v>2477</v>
      </c>
      <c r="B2478" s="2" t="s">
        <v>3</v>
      </c>
      <c r="C2478" s="1" t="str">
        <f>IFERROR(__xludf.DUMMYFUNCTION("GOOGLETRANSLATE(A2478,""en"",""pt-br"")"),"pressentimento")</f>
        <v>pressentimento</v>
      </c>
      <c r="D2478" s="1" t="str">
        <f>IFERROR(__xludf.DUMMYFUNCTION("GOOGLETRANSLATE(B2478,""en"",""pt-br"")"),"negativo")</f>
        <v>negativo</v>
      </c>
    </row>
    <row r="2479" ht="15.75" customHeight="1">
      <c r="A2479" s="2" t="s">
        <v>2478</v>
      </c>
      <c r="B2479" s="2" t="s">
        <v>3</v>
      </c>
      <c r="C2479" s="1" t="str">
        <f>IFERROR(__xludf.DUMMYFUNCTION("GOOGLETRANSLATE(A2479,""en"",""pt-br"")"),"forebodingly")</f>
        <v>forebodingly</v>
      </c>
      <c r="D2479" s="1" t="str">
        <f>IFERROR(__xludf.DUMMYFUNCTION("GOOGLETRANSLATE(B2479,""en"",""pt-br"")"),"negativo")</f>
        <v>negativo</v>
      </c>
    </row>
    <row r="2480" ht="15.75" customHeight="1">
      <c r="A2480" s="2" t="s">
        <v>2479</v>
      </c>
      <c r="B2480" s="2" t="s">
        <v>14</v>
      </c>
      <c r="C2480" s="1" t="str">
        <f>IFERROR(__xludf.DUMMYFUNCTION("GOOGLETRANSLATE(A2480,""en"",""pt-br"")"),"principal")</f>
        <v>principal</v>
      </c>
      <c r="D2480" s="1" t="str">
        <f>IFERROR(__xludf.DUMMYFUNCTION("GOOGLETRANSLATE(B2480,""en"",""pt-br"")"),"positivo")</f>
        <v>positivo</v>
      </c>
    </row>
    <row r="2481" ht="15.75" customHeight="1">
      <c r="A2481" s="2" t="s">
        <v>2480</v>
      </c>
      <c r="B2481" s="2" t="s">
        <v>14</v>
      </c>
      <c r="C2481" s="1" t="str">
        <f>IFERROR(__xludf.DUMMYFUNCTION("GOOGLETRANSLATE(A2481,""en"",""pt-br"")"),"previdência")</f>
        <v>previdência</v>
      </c>
      <c r="D2481" s="1" t="str">
        <f>IFERROR(__xludf.DUMMYFUNCTION("GOOGLETRANSLATE(B2481,""en"",""pt-br"")"),"positivo")</f>
        <v>positivo</v>
      </c>
    </row>
    <row r="2482" ht="15.75" customHeight="1">
      <c r="A2482" s="2" t="s">
        <v>2481</v>
      </c>
      <c r="B2482" s="2" t="s">
        <v>3</v>
      </c>
      <c r="C2482" s="1" t="str">
        <f>IFERROR(__xludf.DUMMYFUNCTION("GOOGLETRANSLATE(A2482,""en"",""pt-br"")"),"forfetada")</f>
        <v>forfetada</v>
      </c>
      <c r="D2482" s="1" t="str">
        <f>IFERROR(__xludf.DUMMYFUNCTION("GOOGLETRANSLATE(B2482,""en"",""pt-br"")"),"negativo")</f>
        <v>negativo</v>
      </c>
    </row>
    <row r="2483" ht="15.75" customHeight="1">
      <c r="A2483" s="2" t="s">
        <v>2482</v>
      </c>
      <c r="B2483" s="2" t="s">
        <v>3</v>
      </c>
      <c r="C2483" s="1" t="str">
        <f>IFERROR(__xludf.DUMMYFUNCTION("GOOGLETRANSLATE(A2483,""en"",""pt-br"")"),"forjado")</f>
        <v>forjado</v>
      </c>
      <c r="D2483" s="1" t="str">
        <f>IFERROR(__xludf.DUMMYFUNCTION("GOOGLETRANSLATE(B2483,""en"",""pt-br"")"),"negativo")</f>
        <v>negativo</v>
      </c>
    </row>
    <row r="2484" ht="15.75" customHeight="1">
      <c r="A2484" s="2" t="s">
        <v>2483</v>
      </c>
      <c r="B2484" s="2" t="s">
        <v>3</v>
      </c>
      <c r="C2484" s="1" t="str">
        <f>IFERROR(__xludf.DUMMYFUNCTION("GOOGLETRANSLATE(A2484,""en"",""pt-br"")"),"esquecido")</f>
        <v>esquecido</v>
      </c>
      <c r="D2484" s="1" t="str">
        <f>IFERROR(__xludf.DUMMYFUNCTION("GOOGLETRANSLATE(B2484,""en"",""pt-br"")"),"negativo")</f>
        <v>negativo</v>
      </c>
    </row>
    <row r="2485" ht="15.75" customHeight="1">
      <c r="A2485" s="2" t="s">
        <v>2484</v>
      </c>
      <c r="B2485" s="2" t="s">
        <v>3</v>
      </c>
      <c r="C2485" s="1" t="str">
        <f>IFERROR(__xludf.DUMMYFUNCTION("GOOGLETRANSLATE(A2485,""en"",""pt-br"")"),"forgetfully")</f>
        <v>forgetfully</v>
      </c>
      <c r="D2485" s="1" t="str">
        <f>IFERROR(__xludf.DUMMYFUNCTION("GOOGLETRANSLATE(B2485,""en"",""pt-br"")"),"negativo")</f>
        <v>negativo</v>
      </c>
    </row>
    <row r="2486" ht="15.75" customHeight="1">
      <c r="A2486" s="2" t="s">
        <v>2485</v>
      </c>
      <c r="B2486" s="2" t="s">
        <v>3</v>
      </c>
      <c r="C2486" s="1" t="str">
        <f>IFERROR(__xludf.DUMMYFUNCTION("GOOGLETRANSLATE(A2486,""en"",""pt-br"")"),"esquecimento")</f>
        <v>esquecimento</v>
      </c>
      <c r="D2486" s="1" t="str">
        <f>IFERROR(__xludf.DUMMYFUNCTION("GOOGLETRANSLATE(B2486,""en"",""pt-br"")"),"negativo")</f>
        <v>negativo</v>
      </c>
    </row>
    <row r="2487" ht="15.75" customHeight="1">
      <c r="A2487" s="2" t="s">
        <v>2486</v>
      </c>
      <c r="B2487" s="2" t="s">
        <v>3</v>
      </c>
      <c r="C2487" s="1" t="str">
        <f>IFERROR(__xludf.DUMMYFUNCTION("GOOGLETRANSLATE(A2487,""en"",""pt-br"")"),"desamparado")</f>
        <v>desamparado</v>
      </c>
      <c r="D2487" s="1" t="str">
        <f>IFERROR(__xludf.DUMMYFUNCTION("GOOGLETRANSLATE(B2487,""en"",""pt-br"")"),"negativo")</f>
        <v>negativo</v>
      </c>
    </row>
    <row r="2488" ht="15.75" customHeight="1">
      <c r="A2488" s="2" t="s">
        <v>2487</v>
      </c>
      <c r="B2488" s="2" t="s">
        <v>3</v>
      </c>
      <c r="C2488" s="1" t="str">
        <f>IFERROR(__xludf.DUMMYFUNCTION("GOOGLETRANSLATE(A2488,""en"",""pt-br"")"),"forlornly")</f>
        <v>forlornly</v>
      </c>
      <c r="D2488" s="1" t="str">
        <f>IFERROR(__xludf.DUMMYFUNCTION("GOOGLETRANSLATE(B2488,""en"",""pt-br"")"),"negativo")</f>
        <v>negativo</v>
      </c>
    </row>
    <row r="2489" ht="15.75" customHeight="1">
      <c r="A2489" s="2" t="s">
        <v>2488</v>
      </c>
      <c r="B2489" s="2" t="s">
        <v>14</v>
      </c>
      <c r="C2489" s="1" t="str">
        <f>IFERROR(__xludf.DUMMYFUNCTION("GOOGLETRANSLATE(A2489,""en"",""pt-br"")"),"formidável")</f>
        <v>formidável</v>
      </c>
      <c r="D2489" s="1" t="str">
        <f>IFERROR(__xludf.DUMMYFUNCTION("GOOGLETRANSLATE(B2489,""en"",""pt-br"")"),"positivo")</f>
        <v>positivo</v>
      </c>
    </row>
    <row r="2490" ht="15.75" customHeight="1">
      <c r="A2490" s="2" t="s">
        <v>2489</v>
      </c>
      <c r="B2490" s="2" t="s">
        <v>3</v>
      </c>
      <c r="C2490" s="1" t="str">
        <f>IFERROR(__xludf.DUMMYFUNCTION("GOOGLETRANSLATE(A2490,""en"",""pt-br"")"),"forsake")</f>
        <v>forsake</v>
      </c>
      <c r="D2490" s="1" t="str">
        <f>IFERROR(__xludf.DUMMYFUNCTION("GOOGLETRANSLATE(B2490,""en"",""pt-br"")"),"negativo")</f>
        <v>negativo</v>
      </c>
    </row>
    <row r="2491" ht="15.75" customHeight="1">
      <c r="A2491" s="2" t="s">
        <v>2490</v>
      </c>
      <c r="B2491" s="2" t="s">
        <v>3</v>
      </c>
      <c r="C2491" s="1" t="str">
        <f>IFERROR(__xludf.DUMMYFUNCTION("GOOGLETRANSLATE(A2491,""en"",""pt-br"")"),"Forsaken")</f>
        <v>Forsaken</v>
      </c>
      <c r="D2491" s="1" t="str">
        <f>IFERROR(__xludf.DUMMYFUNCTION("GOOGLETRANSLATE(B2491,""en"",""pt-br"")"),"negativo")</f>
        <v>negativo</v>
      </c>
    </row>
    <row r="2492" ht="15.75" customHeight="1">
      <c r="A2492" s="2" t="s">
        <v>2491</v>
      </c>
      <c r="B2492" s="2" t="s">
        <v>3</v>
      </c>
      <c r="C2492" s="1" t="str">
        <f>IFERROR(__xludf.DUMMYFUNCTION("GOOGLETRANSLATE(A2492,""en"",""pt-br"")"),"renegar")</f>
        <v>renegar</v>
      </c>
      <c r="D2492" s="1" t="str">
        <f>IFERROR(__xludf.DUMMYFUNCTION("GOOGLETRANSLATE(B2492,""en"",""pt-br"")"),"negativo")</f>
        <v>negativo</v>
      </c>
    </row>
    <row r="2493" ht="15.75" customHeight="1">
      <c r="A2493" s="2" t="s">
        <v>2492</v>
      </c>
      <c r="B2493" s="2" t="s">
        <v>14</v>
      </c>
      <c r="C2493" s="1" t="str">
        <f>IFERROR(__xludf.DUMMYFUNCTION("GOOGLETRANSLATE(A2493,""en"",""pt-br"")"),"fortitude")</f>
        <v>fortitude</v>
      </c>
      <c r="D2493" s="1" t="str">
        <f>IFERROR(__xludf.DUMMYFUNCTION("GOOGLETRANSLATE(B2493,""en"",""pt-br"")"),"positivo")</f>
        <v>positivo</v>
      </c>
    </row>
    <row r="2494" ht="15.75" customHeight="1">
      <c r="A2494" s="2" t="s">
        <v>2493</v>
      </c>
      <c r="B2494" s="2" t="s">
        <v>14</v>
      </c>
      <c r="C2494" s="1" t="str">
        <f>IFERROR(__xludf.DUMMYFUNCTION("GOOGLETRANSLATE(A2494,""en"",""pt-br"")"),"fortuito")</f>
        <v>fortuito</v>
      </c>
      <c r="D2494" s="1" t="str">
        <f>IFERROR(__xludf.DUMMYFUNCTION("GOOGLETRANSLATE(B2494,""en"",""pt-br"")"),"positivo")</f>
        <v>positivo</v>
      </c>
    </row>
    <row r="2495" ht="15.75" customHeight="1">
      <c r="A2495" s="2" t="s">
        <v>2494</v>
      </c>
      <c r="B2495" s="2" t="s">
        <v>14</v>
      </c>
      <c r="C2495" s="1" t="str">
        <f>IFERROR(__xludf.DUMMYFUNCTION("GOOGLETRANSLATE(A2495,""en"",""pt-br"")"),"fortuitamente")</f>
        <v>fortuitamente</v>
      </c>
      <c r="D2495" s="1" t="str">
        <f>IFERROR(__xludf.DUMMYFUNCTION("GOOGLETRANSLATE(B2495,""en"",""pt-br"")"),"positivo")</f>
        <v>positivo</v>
      </c>
    </row>
    <row r="2496" ht="15.75" customHeight="1">
      <c r="A2496" s="2" t="s">
        <v>2495</v>
      </c>
      <c r="B2496" s="2" t="s">
        <v>14</v>
      </c>
      <c r="C2496" s="1" t="str">
        <f>IFERROR(__xludf.DUMMYFUNCTION("GOOGLETRANSLATE(A2496,""en"",""pt-br"")"),"afortunado")</f>
        <v>afortunado</v>
      </c>
      <c r="D2496" s="1" t="str">
        <f>IFERROR(__xludf.DUMMYFUNCTION("GOOGLETRANSLATE(B2496,""en"",""pt-br"")"),"positivo")</f>
        <v>positivo</v>
      </c>
    </row>
    <row r="2497" ht="15.75" customHeight="1">
      <c r="A2497" s="2" t="s">
        <v>2496</v>
      </c>
      <c r="B2497" s="2" t="s">
        <v>14</v>
      </c>
      <c r="C2497" s="1" t="str">
        <f>IFERROR(__xludf.DUMMYFUNCTION("GOOGLETRANSLATE(A2497,""en"",""pt-br"")"),"Felizmente")</f>
        <v>Felizmente</v>
      </c>
      <c r="D2497" s="1" t="str">
        <f>IFERROR(__xludf.DUMMYFUNCTION("GOOGLETRANSLATE(B2497,""en"",""pt-br"")"),"positivo")</f>
        <v>positivo</v>
      </c>
    </row>
    <row r="2498" ht="15.75" customHeight="1">
      <c r="A2498" s="2" t="s">
        <v>2497</v>
      </c>
      <c r="B2498" s="2" t="s">
        <v>14</v>
      </c>
      <c r="C2498" s="1" t="str">
        <f>IFERROR(__xludf.DUMMYFUNCTION("GOOGLETRANSLATE(A2498,""en"",""pt-br"")"),"fortuna")</f>
        <v>fortuna</v>
      </c>
      <c r="D2498" s="1" t="str">
        <f>IFERROR(__xludf.DUMMYFUNCTION("GOOGLETRANSLATE(B2498,""en"",""pt-br"")"),"positivo")</f>
        <v>positivo</v>
      </c>
    </row>
    <row r="2499" ht="15.75" customHeight="1">
      <c r="A2499" s="2" t="s">
        <v>2498</v>
      </c>
      <c r="B2499" s="2" t="s">
        <v>3</v>
      </c>
      <c r="C2499" s="1" t="str">
        <f>IFERROR(__xludf.DUMMYFUNCTION("GOOGLETRANSLATE(A2499,""en"",""pt-br"")"),"falta")</f>
        <v>falta</v>
      </c>
      <c r="D2499" s="1" t="str">
        <f>IFERROR(__xludf.DUMMYFUNCTION("GOOGLETRANSLATE(B2499,""en"",""pt-br"")"),"negativo")</f>
        <v>negativo</v>
      </c>
    </row>
    <row r="2500" ht="15.75" customHeight="1">
      <c r="A2500" s="2" t="s">
        <v>2499</v>
      </c>
      <c r="B2500" s="2" t="s">
        <v>3</v>
      </c>
      <c r="C2500" s="1" t="str">
        <f>IFERROR(__xludf.DUMMYFUNCTION("GOOGLETRANSLATE(A2500,""en"",""pt-br"")"),"abominavelmente")</f>
        <v>abominavelmente</v>
      </c>
      <c r="D2500" s="1" t="str">
        <f>IFERROR(__xludf.DUMMYFUNCTION("GOOGLETRANSLATE(B2500,""en"",""pt-br"")"),"negativo")</f>
        <v>negativo</v>
      </c>
    </row>
    <row r="2501" ht="15.75" customHeight="1">
      <c r="A2501" s="2" t="s">
        <v>2500</v>
      </c>
      <c r="B2501" s="2" t="s">
        <v>3</v>
      </c>
      <c r="C2501" s="1" t="str">
        <f>IFERROR(__xludf.DUMMYFUNCTION("GOOGLETRANSLATE(A2501,""en"",""pt-br"")"),"impureza")</f>
        <v>impureza</v>
      </c>
      <c r="D2501" s="1" t="str">
        <f>IFERROR(__xludf.DUMMYFUNCTION("GOOGLETRANSLATE(B2501,""en"",""pt-br"")"),"negativo")</f>
        <v>negativo</v>
      </c>
    </row>
    <row r="2502" ht="15.75" customHeight="1">
      <c r="A2502" s="2" t="s">
        <v>2501</v>
      </c>
      <c r="B2502" s="2" t="s">
        <v>3</v>
      </c>
      <c r="C2502" s="1" t="str">
        <f>IFERROR(__xludf.DUMMYFUNCTION("GOOGLETRANSLATE(A2502,""en"",""pt-br"")"),"irascível")</f>
        <v>irascível</v>
      </c>
      <c r="D2502" s="1" t="str">
        <f>IFERROR(__xludf.DUMMYFUNCTION("GOOGLETRANSLATE(B2502,""en"",""pt-br"")"),"negativo")</f>
        <v>negativo</v>
      </c>
    </row>
    <row r="2503" ht="15.75" customHeight="1">
      <c r="A2503" s="2" t="s">
        <v>2502</v>
      </c>
      <c r="B2503" s="2" t="s">
        <v>3</v>
      </c>
      <c r="C2503" s="1" t="str">
        <f>IFERROR(__xludf.DUMMYFUNCTION("GOOGLETRANSLATE(A2503,""en"",""pt-br"")"),"fractiously")</f>
        <v>fractiously</v>
      </c>
      <c r="D2503" s="1" t="str">
        <f>IFERROR(__xludf.DUMMYFUNCTION("GOOGLETRANSLATE(B2503,""en"",""pt-br"")"),"negativo")</f>
        <v>negativo</v>
      </c>
    </row>
    <row r="2504" ht="15.75" customHeight="1">
      <c r="A2504" s="2" t="s">
        <v>2503</v>
      </c>
      <c r="B2504" s="2" t="s">
        <v>3</v>
      </c>
      <c r="C2504" s="1" t="str">
        <f>IFERROR(__xludf.DUMMYFUNCTION("GOOGLETRANSLATE(A2504,""en"",""pt-br"")"),"fratura")</f>
        <v>fratura</v>
      </c>
      <c r="D2504" s="1" t="str">
        <f>IFERROR(__xludf.DUMMYFUNCTION("GOOGLETRANSLATE(B2504,""en"",""pt-br"")"),"negativo")</f>
        <v>negativo</v>
      </c>
    </row>
    <row r="2505" ht="15.75" customHeight="1">
      <c r="A2505" s="2" t="s">
        <v>2504</v>
      </c>
      <c r="B2505" s="2" t="s">
        <v>3</v>
      </c>
      <c r="C2505" s="1" t="str">
        <f>IFERROR(__xludf.DUMMYFUNCTION("GOOGLETRANSLATE(A2505,""en"",""pt-br"")"),"frágil")</f>
        <v>frágil</v>
      </c>
      <c r="D2505" s="1" t="str">
        <f>IFERROR(__xludf.DUMMYFUNCTION("GOOGLETRANSLATE(B2505,""en"",""pt-br"")"),"negativo")</f>
        <v>negativo</v>
      </c>
    </row>
    <row r="2506" ht="15.75" customHeight="1">
      <c r="A2506" s="2" t="s">
        <v>2505</v>
      </c>
      <c r="B2506" s="2" t="s">
        <v>3</v>
      </c>
      <c r="C2506" s="1" t="str">
        <f>IFERROR(__xludf.DUMMYFUNCTION("GOOGLETRANSLATE(A2506,""en"",""pt-br"")"),"fragmentado")</f>
        <v>fragmentado</v>
      </c>
      <c r="D2506" s="1" t="str">
        <f>IFERROR(__xludf.DUMMYFUNCTION("GOOGLETRANSLATE(B2506,""en"",""pt-br"")"),"negativo")</f>
        <v>negativo</v>
      </c>
    </row>
    <row r="2507" ht="15.75" customHeight="1">
      <c r="A2507" s="2" t="s">
        <v>2506</v>
      </c>
      <c r="B2507" s="2" t="s">
        <v>14</v>
      </c>
      <c r="C2507" s="1" t="str">
        <f>IFERROR(__xludf.DUMMYFUNCTION("GOOGLETRANSLATE(A2507,""en"",""pt-br"")"),"perfumado")</f>
        <v>perfumado</v>
      </c>
      <c r="D2507" s="1" t="str">
        <f>IFERROR(__xludf.DUMMYFUNCTION("GOOGLETRANSLATE(B2507,""en"",""pt-br"")"),"positivo")</f>
        <v>positivo</v>
      </c>
    </row>
    <row r="2508" ht="15.75" customHeight="1">
      <c r="A2508" s="2" t="s">
        <v>2507</v>
      </c>
      <c r="B2508" s="2" t="s">
        <v>3</v>
      </c>
      <c r="C2508" s="1" t="str">
        <f>IFERROR(__xludf.DUMMYFUNCTION("GOOGLETRANSLATE(A2508,""en"",""pt-br"")"),"frágil")</f>
        <v>frágil</v>
      </c>
      <c r="D2508" s="1" t="str">
        <f>IFERROR(__xludf.DUMMYFUNCTION("GOOGLETRANSLATE(B2508,""en"",""pt-br"")"),"negativo")</f>
        <v>negativo</v>
      </c>
    </row>
    <row r="2509" ht="15.75" customHeight="1">
      <c r="A2509" s="2" t="s">
        <v>2508</v>
      </c>
      <c r="B2509" s="2" t="s">
        <v>3</v>
      </c>
      <c r="C2509" s="1" t="str">
        <f>IFERROR(__xludf.DUMMYFUNCTION("GOOGLETRANSLATE(A2509,""en"",""pt-br"")"),"frenético")</f>
        <v>frenético</v>
      </c>
      <c r="D2509" s="1" t="str">
        <f>IFERROR(__xludf.DUMMYFUNCTION("GOOGLETRANSLATE(B2509,""en"",""pt-br"")"),"negativo")</f>
        <v>negativo</v>
      </c>
    </row>
    <row r="2510" ht="15.75" customHeight="1">
      <c r="A2510" s="2" t="s">
        <v>2509</v>
      </c>
      <c r="B2510" s="2" t="s">
        <v>3</v>
      </c>
      <c r="C2510" s="1" t="str">
        <f>IFERROR(__xludf.DUMMYFUNCTION("GOOGLETRANSLATE(A2510,""en"",""pt-br"")"),"freneticamente")</f>
        <v>freneticamente</v>
      </c>
      <c r="D2510" s="1" t="str">
        <f>IFERROR(__xludf.DUMMYFUNCTION("GOOGLETRANSLATE(B2510,""en"",""pt-br"")"),"negativo")</f>
        <v>negativo</v>
      </c>
    </row>
    <row r="2511" ht="15.75" customHeight="1">
      <c r="A2511" s="2" t="s">
        <v>2510</v>
      </c>
      <c r="B2511" s="2" t="s">
        <v>3</v>
      </c>
      <c r="C2511" s="1" t="str">
        <f>IFERROR(__xludf.DUMMYFUNCTION("GOOGLETRANSLATE(A2511,""en"",""pt-br"")"),"franticly")</f>
        <v>franticly</v>
      </c>
      <c r="D2511" s="1" t="str">
        <f>IFERROR(__xludf.DUMMYFUNCTION("GOOGLETRANSLATE(B2511,""en"",""pt-br"")"),"negativo")</f>
        <v>negativo</v>
      </c>
    </row>
    <row r="2512" ht="15.75" customHeight="1">
      <c r="A2512" s="2" t="s">
        <v>2511</v>
      </c>
      <c r="B2512" s="2" t="s">
        <v>3</v>
      </c>
      <c r="C2512" s="1" t="str">
        <f>IFERROR(__xludf.DUMMYFUNCTION("GOOGLETRANSLATE(A2512,""en"",""pt-br"")"),"fraude")</f>
        <v>fraude</v>
      </c>
      <c r="D2512" s="1" t="str">
        <f>IFERROR(__xludf.DUMMYFUNCTION("GOOGLETRANSLATE(B2512,""en"",""pt-br"")"),"negativo")</f>
        <v>negativo</v>
      </c>
    </row>
    <row r="2513" ht="15.75" customHeight="1">
      <c r="A2513" s="2" t="s">
        <v>2512</v>
      </c>
      <c r="B2513" s="2" t="s">
        <v>3</v>
      </c>
      <c r="C2513" s="1" t="str">
        <f>IFERROR(__xludf.DUMMYFUNCTION("GOOGLETRANSLATE(A2513,""en"",""pt-br"")"),"fraudulento")</f>
        <v>fraudulento</v>
      </c>
      <c r="D2513" s="1" t="str">
        <f>IFERROR(__xludf.DUMMYFUNCTION("GOOGLETRANSLATE(B2513,""en"",""pt-br"")"),"negativo")</f>
        <v>negativo</v>
      </c>
    </row>
    <row r="2514" ht="15.75" customHeight="1">
      <c r="A2514" s="2" t="s">
        <v>2513</v>
      </c>
      <c r="B2514" s="2" t="s">
        <v>3</v>
      </c>
      <c r="C2514" s="1" t="str">
        <f>IFERROR(__xludf.DUMMYFUNCTION("GOOGLETRANSLATE(A2514,""en"",""pt-br"")"),"cheio")</f>
        <v>cheio</v>
      </c>
      <c r="D2514" s="1" t="str">
        <f>IFERROR(__xludf.DUMMYFUNCTION("GOOGLETRANSLATE(B2514,""en"",""pt-br"")"),"negativo")</f>
        <v>negativo</v>
      </c>
    </row>
    <row r="2515" ht="15.75" customHeight="1">
      <c r="A2515" s="2" t="s">
        <v>2514</v>
      </c>
      <c r="B2515" s="2" t="s">
        <v>3</v>
      </c>
      <c r="C2515" s="1" t="str">
        <f>IFERROR(__xludf.DUMMYFUNCTION("GOOGLETRANSLATE(A2515,""en"",""pt-br"")"),"trapo")</f>
        <v>trapo</v>
      </c>
      <c r="D2515" s="1" t="str">
        <f>IFERROR(__xludf.DUMMYFUNCTION("GOOGLETRANSLATE(B2515,""en"",""pt-br"")"),"negativo")</f>
        <v>negativo</v>
      </c>
    </row>
    <row r="2516" ht="15.75" customHeight="1">
      <c r="A2516" s="2" t="s">
        <v>2515</v>
      </c>
      <c r="B2516" s="2" t="s">
        <v>3</v>
      </c>
      <c r="C2516" s="1" t="str">
        <f>IFERROR(__xludf.DUMMYFUNCTION("GOOGLETRANSLATE(A2516,""en"",""pt-br"")"),"frazzled")</f>
        <v>frazzled</v>
      </c>
      <c r="D2516" s="1" t="str">
        <f>IFERROR(__xludf.DUMMYFUNCTION("GOOGLETRANSLATE(B2516,""en"",""pt-br"")"),"negativo")</f>
        <v>negativo</v>
      </c>
    </row>
    <row r="2517" ht="15.75" customHeight="1">
      <c r="A2517" s="2" t="s">
        <v>2516</v>
      </c>
      <c r="B2517" s="2" t="s">
        <v>3</v>
      </c>
      <c r="C2517" s="1" t="str">
        <f>IFERROR(__xludf.DUMMYFUNCTION("GOOGLETRANSLATE(A2517,""en"",""pt-br"")"),"aberração")</f>
        <v>aberração</v>
      </c>
      <c r="D2517" s="1" t="str">
        <f>IFERROR(__xludf.DUMMYFUNCTION("GOOGLETRANSLATE(B2517,""en"",""pt-br"")"),"negativo")</f>
        <v>negativo</v>
      </c>
    </row>
    <row r="2518" ht="15.75" customHeight="1">
      <c r="A2518" s="2" t="s">
        <v>2517</v>
      </c>
      <c r="B2518" s="2" t="s">
        <v>3</v>
      </c>
      <c r="C2518" s="1" t="str">
        <f>IFERROR(__xludf.DUMMYFUNCTION("GOOGLETRANSLATE(A2518,""en"",""pt-br"")"),"parvos")</f>
        <v>parvos</v>
      </c>
      <c r="D2518" s="1" t="str">
        <f>IFERROR(__xludf.DUMMYFUNCTION("GOOGLETRANSLATE(B2518,""en"",""pt-br"")"),"negativo")</f>
        <v>negativo</v>
      </c>
    </row>
    <row r="2519" ht="15.75" customHeight="1">
      <c r="A2519" s="2" t="s">
        <v>2518</v>
      </c>
      <c r="B2519" s="2" t="s">
        <v>3</v>
      </c>
      <c r="C2519" s="1" t="str">
        <f>IFERROR(__xludf.DUMMYFUNCTION("GOOGLETRANSLATE(A2519,""en"",""pt-br"")"),"bizarro")</f>
        <v>bizarro</v>
      </c>
      <c r="D2519" s="1" t="str">
        <f>IFERROR(__xludf.DUMMYFUNCTION("GOOGLETRANSLATE(B2519,""en"",""pt-br"")"),"negativo")</f>
        <v>negativo</v>
      </c>
    </row>
    <row r="2520" ht="15.75" customHeight="1">
      <c r="A2520" s="2" t="s">
        <v>2519</v>
      </c>
      <c r="B2520" s="2" t="s">
        <v>3</v>
      </c>
      <c r="C2520" s="1" t="str">
        <f>IFERROR(__xludf.DUMMYFUNCTION("GOOGLETRANSLATE(A2520,""en"",""pt-br"")"),"freakishly")</f>
        <v>freakishly</v>
      </c>
      <c r="D2520" s="1" t="str">
        <f>IFERROR(__xludf.DUMMYFUNCTION("GOOGLETRANSLATE(B2520,""en"",""pt-br"")"),"negativo")</f>
        <v>negativo</v>
      </c>
    </row>
    <row r="2521" ht="15.75" customHeight="1">
      <c r="A2521" s="2" t="s">
        <v>2520</v>
      </c>
      <c r="B2521" s="2" t="s">
        <v>3</v>
      </c>
      <c r="C2521" s="1" t="str">
        <f>IFERROR(__xludf.DUMMYFUNCTION("GOOGLETRANSLATE(A2521,""en"",""pt-br"")"),"malucos")</f>
        <v>malucos</v>
      </c>
      <c r="D2521" s="1" t="str">
        <f>IFERROR(__xludf.DUMMYFUNCTION("GOOGLETRANSLATE(B2521,""en"",""pt-br"")"),"negativo")</f>
        <v>negativo</v>
      </c>
    </row>
    <row r="2522" ht="15.75" customHeight="1">
      <c r="A2522" s="2" t="s">
        <v>2521</v>
      </c>
      <c r="B2522" s="2" t="s">
        <v>14</v>
      </c>
      <c r="C2522" s="1" t="str">
        <f>IFERROR(__xludf.DUMMYFUNCTION("GOOGLETRANSLATE(A2522,""en"",""pt-br"")"),"livre")</f>
        <v>livre</v>
      </c>
      <c r="D2522" s="1" t="str">
        <f>IFERROR(__xludf.DUMMYFUNCTION("GOOGLETRANSLATE(B2522,""en"",""pt-br"")"),"positivo")</f>
        <v>positivo</v>
      </c>
    </row>
    <row r="2523" ht="15.75" customHeight="1">
      <c r="A2523" s="2" t="s">
        <v>2522</v>
      </c>
      <c r="B2523" s="2" t="s">
        <v>14</v>
      </c>
      <c r="C2523" s="1" t="str">
        <f>IFERROR(__xludf.DUMMYFUNCTION("GOOGLETRANSLATE(A2523,""en"",""pt-br"")"),"Freed")</f>
        <v>Freed</v>
      </c>
      <c r="D2523" s="1" t="str">
        <f>IFERROR(__xludf.DUMMYFUNCTION("GOOGLETRANSLATE(B2523,""en"",""pt-br"")"),"positivo")</f>
        <v>positivo</v>
      </c>
    </row>
    <row r="2524" ht="15.75" customHeight="1">
      <c r="A2524" s="2" t="s">
        <v>2523</v>
      </c>
      <c r="B2524" s="2" t="s">
        <v>14</v>
      </c>
      <c r="C2524" s="1" t="str">
        <f>IFERROR(__xludf.DUMMYFUNCTION("GOOGLETRANSLATE(A2524,""en"",""pt-br"")"),"liberdade")</f>
        <v>liberdade</v>
      </c>
      <c r="D2524" s="1" t="str">
        <f>IFERROR(__xludf.DUMMYFUNCTION("GOOGLETRANSLATE(B2524,""en"",""pt-br"")"),"positivo")</f>
        <v>positivo</v>
      </c>
    </row>
    <row r="2525" ht="15.75" customHeight="1">
      <c r="A2525" s="2" t="s">
        <v>2524</v>
      </c>
      <c r="B2525" s="2" t="s">
        <v>14</v>
      </c>
      <c r="C2525" s="1" t="str">
        <f>IFERROR(__xludf.DUMMYFUNCTION("GOOGLETRANSLATE(A2525,""en"",""pt-br"")"),"liberdades")</f>
        <v>liberdades</v>
      </c>
      <c r="D2525" s="1" t="str">
        <f>IFERROR(__xludf.DUMMYFUNCTION("GOOGLETRANSLATE(B2525,""en"",""pt-br"")"),"positivo")</f>
        <v>positivo</v>
      </c>
    </row>
    <row r="2526" ht="15.75" customHeight="1">
      <c r="A2526" s="2" t="s">
        <v>2525</v>
      </c>
      <c r="B2526" s="2" t="s">
        <v>3</v>
      </c>
      <c r="C2526" s="1" t="str">
        <f>IFERROR(__xludf.DUMMYFUNCTION("GOOGLETRANSLATE(A2526,""en"",""pt-br"")"),"congelar")</f>
        <v>congelar</v>
      </c>
      <c r="D2526" s="1" t="str">
        <f>IFERROR(__xludf.DUMMYFUNCTION("GOOGLETRANSLATE(B2526,""en"",""pt-br"")"),"negativo")</f>
        <v>negativo</v>
      </c>
    </row>
    <row r="2527" ht="15.75" customHeight="1">
      <c r="A2527" s="2" t="s">
        <v>2526</v>
      </c>
      <c r="B2527" s="2" t="s">
        <v>3</v>
      </c>
      <c r="C2527" s="1" t="str">
        <f>IFERROR(__xludf.DUMMYFUNCTION("GOOGLETRANSLATE(A2527,""en"",""pt-br"")"),"congela")</f>
        <v>congela</v>
      </c>
      <c r="D2527" s="1" t="str">
        <f>IFERROR(__xludf.DUMMYFUNCTION("GOOGLETRANSLATE(B2527,""en"",""pt-br"")"),"negativo")</f>
        <v>negativo</v>
      </c>
    </row>
    <row r="2528" ht="15.75" customHeight="1">
      <c r="A2528" s="2" t="s">
        <v>2527</v>
      </c>
      <c r="B2528" s="2" t="s">
        <v>3</v>
      </c>
      <c r="C2528" s="1" t="str">
        <f>IFERROR(__xludf.DUMMYFUNCTION("GOOGLETRANSLATE(A2528,""en"",""pt-br"")"),"congelando")</f>
        <v>congelando</v>
      </c>
      <c r="D2528" s="1" t="str">
        <f>IFERROR(__xludf.DUMMYFUNCTION("GOOGLETRANSLATE(B2528,""en"",""pt-br"")"),"negativo")</f>
        <v>negativo</v>
      </c>
    </row>
    <row r="2529" ht="15.75" customHeight="1">
      <c r="A2529" s="2" t="s">
        <v>2528</v>
      </c>
      <c r="B2529" s="2" t="s">
        <v>3</v>
      </c>
      <c r="C2529" s="1" t="str">
        <f>IFERROR(__xludf.DUMMYFUNCTION("GOOGLETRANSLATE(A2529,""en"",""pt-br"")"),"frenético")</f>
        <v>frenético</v>
      </c>
      <c r="D2529" s="1" t="str">
        <f>IFERROR(__xludf.DUMMYFUNCTION("GOOGLETRANSLATE(B2529,""en"",""pt-br"")"),"negativo")</f>
        <v>negativo</v>
      </c>
    </row>
    <row r="2530" ht="15.75" customHeight="1">
      <c r="A2530" s="2" t="s">
        <v>2529</v>
      </c>
      <c r="B2530" s="2" t="s">
        <v>3</v>
      </c>
      <c r="C2530" s="1" t="str">
        <f>IFERROR(__xludf.DUMMYFUNCTION("GOOGLETRANSLATE(A2530,""en"",""pt-br"")"),"frenetically")</f>
        <v>frenetically</v>
      </c>
      <c r="D2530" s="1" t="str">
        <f>IFERROR(__xludf.DUMMYFUNCTION("GOOGLETRANSLATE(B2530,""en"",""pt-br"")"),"negativo")</f>
        <v>negativo</v>
      </c>
    </row>
    <row r="2531" ht="15.75" customHeight="1">
      <c r="A2531" s="2" t="s">
        <v>2530</v>
      </c>
      <c r="B2531" s="2" t="s">
        <v>3</v>
      </c>
      <c r="C2531" s="1" t="str">
        <f>IFERROR(__xludf.DUMMYFUNCTION("GOOGLETRANSLATE(A2531,""en"",""pt-br"")"),"frenético")</f>
        <v>frenético</v>
      </c>
      <c r="D2531" s="1" t="str">
        <f>IFERROR(__xludf.DUMMYFUNCTION("GOOGLETRANSLATE(B2531,""en"",""pt-br"")"),"negativo")</f>
        <v>negativo</v>
      </c>
    </row>
    <row r="2532" ht="15.75" customHeight="1">
      <c r="A2532" s="2" t="s">
        <v>2531</v>
      </c>
      <c r="B2532" s="2" t="s">
        <v>3</v>
      </c>
      <c r="C2532" s="1" t="str">
        <f>IFERROR(__xludf.DUMMYFUNCTION("GOOGLETRANSLATE(A2532,""en"",""pt-br"")"),"frenesi")</f>
        <v>frenesi</v>
      </c>
      <c r="D2532" s="1" t="str">
        <f>IFERROR(__xludf.DUMMYFUNCTION("GOOGLETRANSLATE(B2532,""en"",""pt-br"")"),"negativo")</f>
        <v>negativo</v>
      </c>
    </row>
    <row r="2533" ht="15.75" customHeight="1">
      <c r="A2533" s="2" t="s">
        <v>2532</v>
      </c>
      <c r="B2533" s="2" t="s">
        <v>14</v>
      </c>
      <c r="C2533" s="1" t="str">
        <f>IFERROR(__xludf.DUMMYFUNCTION("GOOGLETRANSLATE(A2533,""en"",""pt-br"")"),"fresco")</f>
        <v>fresco</v>
      </c>
      <c r="D2533" s="1" t="str">
        <f>IFERROR(__xludf.DUMMYFUNCTION("GOOGLETRANSLATE(B2533,""en"",""pt-br"")"),"positivo")</f>
        <v>positivo</v>
      </c>
    </row>
    <row r="2534" ht="15.75" customHeight="1">
      <c r="A2534" s="2" t="s">
        <v>2533</v>
      </c>
      <c r="B2534" s="2" t="s">
        <v>14</v>
      </c>
      <c r="C2534" s="1" t="str">
        <f>IFERROR(__xludf.DUMMYFUNCTION("GOOGLETRANSLATE(A2534,""en"",""pt-br"")"),"calouro")</f>
        <v>calouro</v>
      </c>
      <c r="D2534" s="1" t="str">
        <f>IFERROR(__xludf.DUMMYFUNCTION("GOOGLETRANSLATE(B2534,""en"",""pt-br"")"),"positivo")</f>
        <v>positivo</v>
      </c>
    </row>
    <row r="2535" ht="15.75" customHeight="1">
      <c r="A2535" s="2" t="s">
        <v>2534</v>
      </c>
      <c r="B2535" s="2" t="s">
        <v>14</v>
      </c>
      <c r="C2535" s="1" t="str">
        <f>IFERROR(__xludf.DUMMYFUNCTION("GOOGLETRANSLATE(A2535,""en"",""pt-br"")"),"frescos")</f>
        <v>frescos</v>
      </c>
      <c r="D2535" s="1" t="str">
        <f>IFERROR(__xludf.DUMMYFUNCTION("GOOGLETRANSLATE(B2535,""en"",""pt-br"")"),"positivo")</f>
        <v>positivo</v>
      </c>
    </row>
    <row r="2536" ht="15.75" customHeight="1">
      <c r="A2536" s="2" t="s">
        <v>2535</v>
      </c>
      <c r="B2536" s="2" t="s">
        <v>3</v>
      </c>
      <c r="C2536" s="1" t="str">
        <f>IFERROR(__xludf.DUMMYFUNCTION("GOOGLETRANSLATE(A2536,""en"",""pt-br"")"),"fricção")</f>
        <v>fricção</v>
      </c>
      <c r="D2536" s="1" t="str">
        <f>IFERROR(__xludf.DUMMYFUNCTION("GOOGLETRANSLATE(B2536,""en"",""pt-br"")"),"negativo")</f>
        <v>negativo</v>
      </c>
    </row>
    <row r="2537" ht="15.75" customHeight="1">
      <c r="A2537" s="2" t="s">
        <v>2536</v>
      </c>
      <c r="B2537" s="2" t="s">
        <v>3</v>
      </c>
      <c r="C2537" s="1" t="str">
        <f>IFERROR(__xludf.DUMMYFUNCTION("GOOGLETRANSLATE(A2537,""en"",""pt-br"")"),"irritável")</f>
        <v>irritável</v>
      </c>
      <c r="D2537" s="1" t="str">
        <f>IFERROR(__xludf.DUMMYFUNCTION("GOOGLETRANSLATE(B2537,""en"",""pt-br"")"),"negativo")</f>
        <v>negativo</v>
      </c>
    </row>
    <row r="2538" ht="15.75" customHeight="1">
      <c r="A2538" s="2" t="s">
        <v>2537</v>
      </c>
      <c r="B2538" s="2" t="s">
        <v>3</v>
      </c>
      <c r="C2538" s="1" t="str">
        <f>IFERROR(__xludf.DUMMYFUNCTION("GOOGLETRANSLATE(A2538,""en"",""pt-br"")"),"trastes")</f>
        <v>trastes</v>
      </c>
      <c r="D2538" s="1" t="str">
        <f>IFERROR(__xludf.DUMMYFUNCTION("GOOGLETRANSLATE(B2538,""en"",""pt-br"")"),"negativo")</f>
        <v>negativo</v>
      </c>
    </row>
    <row r="2539" ht="15.75" customHeight="1">
      <c r="A2539" s="2" t="s">
        <v>2538</v>
      </c>
      <c r="B2539" s="2" t="s">
        <v>3</v>
      </c>
      <c r="C2539" s="1" t="str">
        <f>IFERROR(__xludf.DUMMYFUNCTION("GOOGLETRANSLATE(A2539,""en"",""pt-br"")"),"atrito")</f>
        <v>atrito</v>
      </c>
      <c r="D2539" s="1" t="str">
        <f>IFERROR(__xludf.DUMMYFUNCTION("GOOGLETRANSLATE(B2539,""en"",""pt-br"")"),"negativo")</f>
        <v>negativo</v>
      </c>
    </row>
    <row r="2540" ht="15.75" customHeight="1">
      <c r="A2540" s="2" t="s">
        <v>2539</v>
      </c>
      <c r="B2540" s="2" t="s">
        <v>3</v>
      </c>
      <c r="C2540" s="1" t="str">
        <f>IFERROR(__xludf.DUMMYFUNCTION("GOOGLETRANSLATE(A2540,""en"",""pt-br"")"),"atritos")</f>
        <v>atritos</v>
      </c>
      <c r="D2540" s="1" t="str">
        <f>IFERROR(__xludf.DUMMYFUNCTION("GOOGLETRANSLATE(B2540,""en"",""pt-br"")"),"negativo")</f>
        <v>negativo</v>
      </c>
    </row>
    <row r="2541" ht="15.75" customHeight="1">
      <c r="A2541" s="2" t="s">
        <v>2540</v>
      </c>
      <c r="B2541" s="2" t="s">
        <v>3</v>
      </c>
      <c r="C2541" s="1" t="str">
        <f>IFERROR(__xludf.DUMMYFUNCTION("GOOGLETRANSLATE(A2541,""en"",""pt-br"")"),"frito")</f>
        <v>frito</v>
      </c>
      <c r="D2541" s="1" t="str">
        <f>IFERROR(__xludf.DUMMYFUNCTION("GOOGLETRANSLATE(B2541,""en"",""pt-br"")"),"negativo")</f>
        <v>negativo</v>
      </c>
    </row>
    <row r="2542" ht="15.75" customHeight="1">
      <c r="A2542" s="2" t="s">
        <v>2541</v>
      </c>
      <c r="B2542" s="2" t="s">
        <v>14</v>
      </c>
      <c r="C2542" s="1" t="str">
        <f>IFERROR(__xludf.DUMMYFUNCTION("GOOGLETRANSLATE(A2542,""en"",""pt-br"")"),"afabilidade")</f>
        <v>afabilidade</v>
      </c>
      <c r="D2542" s="1" t="str">
        <f>IFERROR(__xludf.DUMMYFUNCTION("GOOGLETRANSLATE(B2542,""en"",""pt-br"")"),"positivo")</f>
        <v>positivo</v>
      </c>
    </row>
    <row r="2543" ht="15.75" customHeight="1">
      <c r="A2543" s="2" t="s">
        <v>2542</v>
      </c>
      <c r="B2543" s="2" t="s">
        <v>14</v>
      </c>
      <c r="C2543" s="1" t="str">
        <f>IFERROR(__xludf.DUMMYFUNCTION("GOOGLETRANSLATE(A2543,""en"",""pt-br"")"),"amigáveis")</f>
        <v>amigáveis</v>
      </c>
      <c r="D2543" s="1" t="str">
        <f>IFERROR(__xludf.DUMMYFUNCTION("GOOGLETRANSLATE(B2543,""en"",""pt-br"")"),"positivo")</f>
        <v>positivo</v>
      </c>
    </row>
    <row r="2544" ht="15.75" customHeight="1">
      <c r="A2544" s="2" t="s">
        <v>2543</v>
      </c>
      <c r="B2544" s="2" t="s">
        <v>3</v>
      </c>
      <c r="C2544" s="1" t="str">
        <f>IFERROR(__xludf.DUMMYFUNCTION("GOOGLETRANSLATE(A2544,""en"",""pt-br"")"),"friggin")</f>
        <v>friggin</v>
      </c>
      <c r="D2544" s="1" t="str">
        <f>IFERROR(__xludf.DUMMYFUNCTION("GOOGLETRANSLATE(B2544,""en"",""pt-br"")"),"negativo")</f>
        <v>negativo</v>
      </c>
    </row>
    <row r="2545" ht="15.75" customHeight="1">
      <c r="A2545" s="2" t="s">
        <v>2544</v>
      </c>
      <c r="B2545" s="2" t="s">
        <v>3</v>
      </c>
      <c r="C2545" s="1" t="str">
        <f>IFERROR(__xludf.DUMMYFUNCTION("GOOGLETRANSLATE(A2545,""en"",""pt-br"")"),"frigging")</f>
        <v>frigging</v>
      </c>
      <c r="D2545" s="1" t="str">
        <f>IFERROR(__xludf.DUMMYFUNCTION("GOOGLETRANSLATE(B2545,""en"",""pt-br"")"),"negativo")</f>
        <v>negativo</v>
      </c>
    </row>
    <row r="2546" ht="15.75" customHeight="1">
      <c r="A2546" s="2" t="s">
        <v>2545</v>
      </c>
      <c r="B2546" s="2" t="s">
        <v>3</v>
      </c>
      <c r="C2546" s="1" t="str">
        <f>IFERROR(__xludf.DUMMYFUNCTION("GOOGLETRANSLATE(A2546,""en"",""pt-br"")"),"susto")</f>
        <v>susto</v>
      </c>
      <c r="D2546" s="1" t="str">
        <f>IFERROR(__xludf.DUMMYFUNCTION("GOOGLETRANSLATE(B2546,""en"",""pt-br"")"),"negativo")</f>
        <v>negativo</v>
      </c>
    </row>
    <row r="2547" ht="15.75" customHeight="1">
      <c r="A2547" s="2" t="s">
        <v>2546</v>
      </c>
      <c r="B2547" s="2" t="s">
        <v>3</v>
      </c>
      <c r="C2547" s="1" t="str">
        <f>IFERROR(__xludf.DUMMYFUNCTION("GOOGLETRANSLATE(A2547,""en"",""pt-br"")"),"amedrontar")</f>
        <v>amedrontar</v>
      </c>
      <c r="D2547" s="1" t="str">
        <f>IFERROR(__xludf.DUMMYFUNCTION("GOOGLETRANSLATE(B2547,""en"",""pt-br"")"),"negativo")</f>
        <v>negativo</v>
      </c>
    </row>
    <row r="2548" ht="15.75" customHeight="1">
      <c r="A2548" s="2" t="s">
        <v>2547</v>
      </c>
      <c r="B2548" s="2" t="s">
        <v>3</v>
      </c>
      <c r="C2548" s="1" t="str">
        <f>IFERROR(__xludf.DUMMYFUNCTION("GOOGLETRANSLATE(A2548,""en"",""pt-br"")"),"assustador")</f>
        <v>assustador</v>
      </c>
      <c r="D2548" s="1" t="str">
        <f>IFERROR(__xludf.DUMMYFUNCTION("GOOGLETRANSLATE(B2548,""en"",""pt-br"")"),"negativo")</f>
        <v>negativo</v>
      </c>
    </row>
    <row r="2549" ht="15.75" customHeight="1">
      <c r="A2549" s="2" t="s">
        <v>2548</v>
      </c>
      <c r="B2549" s="2" t="s">
        <v>3</v>
      </c>
      <c r="C2549" s="1" t="str">
        <f>IFERROR(__xludf.DUMMYFUNCTION("GOOGLETRANSLATE(A2549,""en"",""pt-br"")"),"assustadoramente")</f>
        <v>assustadoramente</v>
      </c>
      <c r="D2549" s="1" t="str">
        <f>IFERROR(__xludf.DUMMYFUNCTION("GOOGLETRANSLATE(B2549,""en"",""pt-br"")"),"negativo")</f>
        <v>negativo</v>
      </c>
    </row>
    <row r="2550" ht="15.75" customHeight="1">
      <c r="A2550" s="2" t="s">
        <v>2549</v>
      </c>
      <c r="B2550" s="2" t="s">
        <v>3</v>
      </c>
      <c r="C2550" s="1" t="str">
        <f>IFERROR(__xludf.DUMMYFUNCTION("GOOGLETRANSLATE(A2550,""en"",""pt-br"")"),"medonho")</f>
        <v>medonho</v>
      </c>
      <c r="D2550" s="1" t="str">
        <f>IFERROR(__xludf.DUMMYFUNCTION("GOOGLETRANSLATE(B2550,""en"",""pt-br"")"),"negativo")</f>
        <v>negativo</v>
      </c>
    </row>
    <row r="2551" ht="15.75" customHeight="1">
      <c r="A2551" s="2" t="s">
        <v>2550</v>
      </c>
      <c r="B2551" s="2" t="s">
        <v>3</v>
      </c>
      <c r="C2551" s="1" t="str">
        <f>IFERROR(__xludf.DUMMYFUNCTION("GOOGLETRANSLATE(A2551,""en"",""pt-br"")"),"frightfully")</f>
        <v>frightfully</v>
      </c>
      <c r="D2551" s="1" t="str">
        <f>IFERROR(__xludf.DUMMYFUNCTION("GOOGLETRANSLATE(B2551,""en"",""pt-br"")"),"negativo")</f>
        <v>negativo</v>
      </c>
    </row>
    <row r="2552" ht="15.75" customHeight="1">
      <c r="A2552" s="2" t="s">
        <v>2551</v>
      </c>
      <c r="B2552" s="2" t="s">
        <v>3</v>
      </c>
      <c r="C2552" s="1" t="str">
        <f>IFERROR(__xludf.DUMMYFUNCTION("GOOGLETRANSLATE(A2552,""en"",""pt-br"")"),"frígido")</f>
        <v>frígido</v>
      </c>
      <c r="D2552" s="1" t="str">
        <f>IFERROR(__xludf.DUMMYFUNCTION("GOOGLETRANSLATE(B2552,""en"",""pt-br"")"),"negativo")</f>
        <v>negativo</v>
      </c>
    </row>
    <row r="2553" ht="15.75" customHeight="1">
      <c r="A2553" s="2" t="s">
        <v>2552</v>
      </c>
      <c r="B2553" s="2" t="s">
        <v>14</v>
      </c>
      <c r="C2553" s="1" t="str">
        <f>IFERROR(__xludf.DUMMYFUNCTION("GOOGLETRANSLATE(A2553,""en"",""pt-br"")"),"brincadeira")</f>
        <v>brincadeira</v>
      </c>
      <c r="D2553" s="1" t="str">
        <f>IFERROR(__xludf.DUMMYFUNCTION("GOOGLETRANSLATE(B2553,""en"",""pt-br"")"),"positivo")</f>
        <v>positivo</v>
      </c>
    </row>
    <row r="2554" ht="15.75" customHeight="1">
      <c r="A2554" s="2" t="s">
        <v>2553</v>
      </c>
      <c r="B2554" s="2" t="s">
        <v>3</v>
      </c>
      <c r="C2554" s="1" t="str">
        <f>IFERROR(__xludf.DUMMYFUNCTION("GOOGLETRANSLATE(A2554,""en"",""pt-br"")"),"geada")</f>
        <v>geada</v>
      </c>
      <c r="D2554" s="1" t="str">
        <f>IFERROR(__xludf.DUMMYFUNCTION("GOOGLETRANSLATE(B2554,""en"",""pt-br"")"),"negativo")</f>
        <v>negativo</v>
      </c>
    </row>
    <row r="2555" ht="15.75" customHeight="1">
      <c r="A2555" s="2" t="s">
        <v>2554</v>
      </c>
      <c r="B2555" s="2" t="s">
        <v>3</v>
      </c>
      <c r="C2555" s="1" t="str">
        <f>IFERROR(__xludf.DUMMYFUNCTION("GOOGLETRANSLATE(A2555,""en"",""pt-br"")"),"olhar severo")</f>
        <v>olhar severo</v>
      </c>
      <c r="D2555" s="1" t="str">
        <f>IFERROR(__xludf.DUMMYFUNCTION("GOOGLETRANSLATE(B2555,""en"",""pt-br"")"),"negativo")</f>
        <v>negativo</v>
      </c>
    </row>
    <row r="2556" ht="15.75" customHeight="1">
      <c r="A2556" s="2" t="s">
        <v>2555</v>
      </c>
      <c r="B2556" s="2" t="s">
        <v>3</v>
      </c>
      <c r="C2556" s="1" t="str">
        <f>IFERROR(__xludf.DUMMYFUNCTION("GOOGLETRANSLATE(A2556,""en"",""pt-br"")"),"congelou")</f>
        <v>congelou</v>
      </c>
      <c r="D2556" s="1" t="str">
        <f>IFERROR(__xludf.DUMMYFUNCTION("GOOGLETRANSLATE(B2556,""en"",""pt-br"")"),"negativo")</f>
        <v>negativo</v>
      </c>
    </row>
    <row r="2557" ht="15.75" customHeight="1">
      <c r="A2557" s="2" t="s">
        <v>2556</v>
      </c>
      <c r="B2557" s="2" t="s">
        <v>3</v>
      </c>
      <c r="C2557" s="1" t="str">
        <f>IFERROR(__xludf.DUMMYFUNCTION("GOOGLETRANSLATE(A2557,""en"",""pt-br"")"),"congeladas")</f>
        <v>congeladas</v>
      </c>
      <c r="D2557" s="1" t="str">
        <f>IFERROR(__xludf.DUMMYFUNCTION("GOOGLETRANSLATE(B2557,""en"",""pt-br"")"),"negativo")</f>
        <v>negativo</v>
      </c>
    </row>
    <row r="2558" ht="15.75" customHeight="1">
      <c r="A2558" s="2" t="s">
        <v>2557</v>
      </c>
      <c r="B2558" s="2" t="s">
        <v>14</v>
      </c>
      <c r="C2558" s="1" t="str">
        <f>IFERROR(__xludf.DUMMYFUNCTION("GOOGLETRANSLATE(A2558,""en"",""pt-br"")"),"frugal")</f>
        <v>frugal</v>
      </c>
      <c r="D2558" s="1" t="str">
        <f>IFERROR(__xludf.DUMMYFUNCTION("GOOGLETRANSLATE(B2558,""en"",""pt-br"")"),"positivo")</f>
        <v>positivo</v>
      </c>
    </row>
    <row r="2559" ht="15.75" customHeight="1">
      <c r="A2559" s="2" t="s">
        <v>2558</v>
      </c>
      <c r="B2559" s="2" t="s">
        <v>14</v>
      </c>
      <c r="C2559" s="1" t="str">
        <f>IFERROR(__xludf.DUMMYFUNCTION("GOOGLETRANSLATE(A2559,""en"",""pt-br"")"),"frutífero")</f>
        <v>frutífero</v>
      </c>
      <c r="D2559" s="1" t="str">
        <f>IFERROR(__xludf.DUMMYFUNCTION("GOOGLETRANSLATE(B2559,""en"",""pt-br"")"),"positivo")</f>
        <v>positivo</v>
      </c>
    </row>
    <row r="2560" ht="15.75" customHeight="1">
      <c r="A2560" s="2" t="s">
        <v>2559</v>
      </c>
      <c r="B2560" s="2" t="s">
        <v>3</v>
      </c>
      <c r="C2560" s="1" t="str">
        <f>IFERROR(__xludf.DUMMYFUNCTION("GOOGLETRANSLATE(A2560,""en"",""pt-br"")"),"infrutífero")</f>
        <v>infrutífero</v>
      </c>
      <c r="D2560" s="1" t="str">
        <f>IFERROR(__xludf.DUMMYFUNCTION("GOOGLETRANSLATE(B2560,""en"",""pt-br"")"),"negativo")</f>
        <v>negativo</v>
      </c>
    </row>
    <row r="2561" ht="15.75" customHeight="1">
      <c r="A2561" s="2" t="s">
        <v>2560</v>
      </c>
      <c r="B2561" s="2" t="s">
        <v>3</v>
      </c>
      <c r="C2561" s="1" t="str">
        <f>IFERROR(__xludf.DUMMYFUNCTION("GOOGLETRANSLATE(A2561,""en"",""pt-br"")"),"fruitlessly")</f>
        <v>fruitlessly</v>
      </c>
      <c r="D2561" s="1" t="str">
        <f>IFERROR(__xludf.DUMMYFUNCTION("GOOGLETRANSLATE(B2561,""en"",""pt-br"")"),"negativo")</f>
        <v>negativo</v>
      </c>
    </row>
    <row r="2562" ht="15.75" customHeight="1">
      <c r="A2562" s="2" t="s">
        <v>2561</v>
      </c>
      <c r="B2562" s="2" t="s">
        <v>3</v>
      </c>
      <c r="C2562" s="1" t="str">
        <f>IFERROR(__xludf.DUMMYFUNCTION("GOOGLETRANSLATE(A2562,""en"",""pt-br"")"),"frustrar")</f>
        <v>frustrar</v>
      </c>
      <c r="D2562" s="1" t="str">
        <f>IFERROR(__xludf.DUMMYFUNCTION("GOOGLETRANSLATE(B2562,""en"",""pt-br"")"),"negativo")</f>
        <v>negativo</v>
      </c>
    </row>
    <row r="2563" ht="15.75" customHeight="1">
      <c r="A2563" s="2" t="s">
        <v>2562</v>
      </c>
      <c r="B2563" s="2" t="s">
        <v>3</v>
      </c>
      <c r="C2563" s="1" t="str">
        <f>IFERROR(__xludf.DUMMYFUNCTION("GOOGLETRANSLATE(A2563,""en"",""pt-br"")"),"frustrado")</f>
        <v>frustrado</v>
      </c>
      <c r="D2563" s="1" t="str">
        <f>IFERROR(__xludf.DUMMYFUNCTION("GOOGLETRANSLATE(B2563,""en"",""pt-br"")"),"negativo")</f>
        <v>negativo</v>
      </c>
    </row>
    <row r="2564" ht="15.75" customHeight="1">
      <c r="A2564" s="2" t="s">
        <v>2563</v>
      </c>
      <c r="B2564" s="2" t="s">
        <v>3</v>
      </c>
      <c r="C2564" s="1" t="str">
        <f>IFERROR(__xludf.DUMMYFUNCTION("GOOGLETRANSLATE(A2564,""en"",""pt-br"")"),"frustra")</f>
        <v>frustra</v>
      </c>
      <c r="D2564" s="1" t="str">
        <f>IFERROR(__xludf.DUMMYFUNCTION("GOOGLETRANSLATE(B2564,""en"",""pt-br"")"),"negativo")</f>
        <v>negativo</v>
      </c>
    </row>
    <row r="2565" ht="15.75" customHeight="1">
      <c r="A2565" s="2" t="s">
        <v>2564</v>
      </c>
      <c r="B2565" s="2" t="s">
        <v>3</v>
      </c>
      <c r="C2565" s="1" t="str">
        <f>IFERROR(__xludf.DUMMYFUNCTION("GOOGLETRANSLATE(A2565,""en"",""pt-br"")"),"frustrante")</f>
        <v>frustrante</v>
      </c>
      <c r="D2565" s="1" t="str">
        <f>IFERROR(__xludf.DUMMYFUNCTION("GOOGLETRANSLATE(B2565,""en"",""pt-br"")"),"negativo")</f>
        <v>negativo</v>
      </c>
    </row>
    <row r="2566" ht="15.75" customHeight="1">
      <c r="A2566" s="2" t="s">
        <v>2565</v>
      </c>
      <c r="B2566" s="2" t="s">
        <v>3</v>
      </c>
      <c r="C2566" s="1" t="str">
        <f>IFERROR(__xludf.DUMMYFUNCTION("GOOGLETRANSLATE(A2566,""en"",""pt-br"")"),"frustrantemente")</f>
        <v>frustrantemente</v>
      </c>
      <c r="D2566" s="1" t="str">
        <f>IFERROR(__xludf.DUMMYFUNCTION("GOOGLETRANSLATE(B2566,""en"",""pt-br"")"),"negativo")</f>
        <v>negativo</v>
      </c>
    </row>
    <row r="2567" ht="15.75" customHeight="1">
      <c r="A2567" s="2" t="s">
        <v>2566</v>
      </c>
      <c r="B2567" s="2" t="s">
        <v>3</v>
      </c>
      <c r="C2567" s="1" t="str">
        <f>IFERROR(__xludf.DUMMYFUNCTION("GOOGLETRANSLATE(A2567,""en"",""pt-br"")"),"frustração")</f>
        <v>frustração</v>
      </c>
      <c r="D2567" s="1" t="str">
        <f>IFERROR(__xludf.DUMMYFUNCTION("GOOGLETRANSLATE(B2567,""en"",""pt-br"")"),"negativo")</f>
        <v>negativo</v>
      </c>
    </row>
    <row r="2568" ht="15.75" customHeight="1">
      <c r="A2568" s="2" t="s">
        <v>2567</v>
      </c>
      <c r="B2568" s="2" t="s">
        <v>3</v>
      </c>
      <c r="C2568" s="1" t="str">
        <f>IFERROR(__xludf.DUMMYFUNCTION("GOOGLETRANSLATE(A2568,""en"",""pt-br"")"),"frustrações")</f>
        <v>frustrações</v>
      </c>
      <c r="D2568" s="1" t="str">
        <f>IFERROR(__xludf.DUMMYFUNCTION("GOOGLETRANSLATE(B2568,""en"",""pt-br"")"),"negativo")</f>
        <v>negativo</v>
      </c>
    </row>
    <row r="2569" ht="15.75" customHeight="1">
      <c r="A2569" s="2" t="s">
        <v>2568</v>
      </c>
      <c r="B2569" s="2" t="s">
        <v>14</v>
      </c>
      <c r="C2569" s="1" t="str">
        <f>IFERROR(__xludf.DUMMYFUNCTION("GOOGLETRANSLATE(A2569,""en"",""pt-br"")"),"ftw")</f>
        <v>ftw</v>
      </c>
      <c r="D2569" s="1" t="str">
        <f>IFERROR(__xludf.DUMMYFUNCTION("GOOGLETRANSLATE(B2569,""en"",""pt-br"")"),"positivo")</f>
        <v>positivo</v>
      </c>
    </row>
    <row r="2570" ht="15.75" customHeight="1">
      <c r="A2570" s="2" t="s">
        <v>2569</v>
      </c>
      <c r="B2570" s="2" t="s">
        <v>3</v>
      </c>
      <c r="C2570" s="1" t="str">
        <f>IFERROR(__xludf.DUMMYFUNCTION("GOOGLETRANSLATE(A2570,""en"",""pt-br"")"),"Porra")</f>
        <v>Porra</v>
      </c>
      <c r="D2570" s="1" t="str">
        <f>IFERROR(__xludf.DUMMYFUNCTION("GOOGLETRANSLATE(B2570,""en"",""pt-br"")"),"negativo")</f>
        <v>negativo</v>
      </c>
    </row>
    <row r="2571" ht="15.75" customHeight="1">
      <c r="A2571" s="2" t="s">
        <v>2570</v>
      </c>
      <c r="B2571" s="2" t="s">
        <v>3</v>
      </c>
      <c r="C2571" s="1" t="str">
        <f>IFERROR(__xludf.DUMMYFUNCTION("GOOGLETRANSLATE(A2571,""en"",""pt-br"")"),"maldito")</f>
        <v>maldito</v>
      </c>
      <c r="D2571" s="1" t="str">
        <f>IFERROR(__xludf.DUMMYFUNCTION("GOOGLETRANSLATE(B2571,""en"",""pt-br"")"),"negativo")</f>
        <v>negativo</v>
      </c>
    </row>
    <row r="2572" ht="15.75" customHeight="1">
      <c r="A2572" s="2" t="s">
        <v>2571</v>
      </c>
      <c r="B2572" s="2" t="s">
        <v>3</v>
      </c>
      <c r="C2572" s="1" t="str">
        <f>IFERROR(__xludf.DUMMYFUNCTION("GOOGLETRANSLATE(A2572,""en"",""pt-br"")"),"doce de açúcar")</f>
        <v>doce de açúcar</v>
      </c>
      <c r="D2572" s="1" t="str">
        <f>IFERROR(__xludf.DUMMYFUNCTION("GOOGLETRANSLATE(B2572,""en"",""pt-br"")"),"negativo")</f>
        <v>negativo</v>
      </c>
    </row>
    <row r="2573" ht="15.75" customHeight="1">
      <c r="A2573" s="2" t="s">
        <v>2572</v>
      </c>
      <c r="B2573" s="2" t="s">
        <v>3</v>
      </c>
      <c r="C2573" s="1" t="str">
        <f>IFERROR(__xludf.DUMMYFUNCTION("GOOGLETRANSLATE(A2573,""en"",""pt-br"")"),"fugitivo")</f>
        <v>fugitivo</v>
      </c>
      <c r="D2573" s="1" t="str">
        <f>IFERROR(__xludf.DUMMYFUNCTION("GOOGLETRANSLATE(B2573,""en"",""pt-br"")"),"negativo")</f>
        <v>negativo</v>
      </c>
    </row>
    <row r="2574" ht="15.75" customHeight="1">
      <c r="A2574" s="2" t="s">
        <v>2573</v>
      </c>
      <c r="B2574" s="2" t="s">
        <v>14</v>
      </c>
      <c r="C2574" s="1" t="str">
        <f>IFERROR(__xludf.DUMMYFUNCTION("GOOGLETRANSLATE(A2574,""en"",""pt-br"")"),"cumprimento")</f>
        <v>cumprimento</v>
      </c>
      <c r="D2574" s="1" t="str">
        <f>IFERROR(__xludf.DUMMYFUNCTION("GOOGLETRANSLATE(B2574,""en"",""pt-br"")"),"positivo")</f>
        <v>positivo</v>
      </c>
    </row>
    <row r="2575" ht="15.75" customHeight="1">
      <c r="A2575" s="2" t="s">
        <v>2574</v>
      </c>
      <c r="B2575" s="2" t="s">
        <v>3</v>
      </c>
      <c r="C2575" s="1" t="str">
        <f>IFERROR(__xludf.DUMMYFUNCTION("GOOGLETRANSLATE(A2575,""en"",""pt-br"")"),"desenvolvido")</f>
        <v>desenvolvido</v>
      </c>
      <c r="D2575" s="1" t="str">
        <f>IFERROR(__xludf.DUMMYFUNCTION("GOOGLETRANSLATE(B2575,""en"",""pt-br"")"),"negativo")</f>
        <v>negativo</v>
      </c>
    </row>
    <row r="2576" ht="15.75" customHeight="1">
      <c r="A2576" s="2" t="s">
        <v>2575</v>
      </c>
      <c r="B2576" s="2" t="s">
        <v>3</v>
      </c>
      <c r="C2576" s="1" t="str">
        <f>IFERROR(__xludf.DUMMYFUNCTION("GOOGLETRANSLATE(A2576,""en"",""pt-br"")"),"fulminate")</f>
        <v>fulminate</v>
      </c>
      <c r="D2576" s="1" t="str">
        <f>IFERROR(__xludf.DUMMYFUNCTION("GOOGLETRANSLATE(B2576,""en"",""pt-br"")"),"negativo")</f>
        <v>negativo</v>
      </c>
    </row>
    <row r="2577" ht="15.75" customHeight="1">
      <c r="A2577" s="2" t="s">
        <v>2576</v>
      </c>
      <c r="B2577" s="2" t="s">
        <v>3</v>
      </c>
      <c r="C2577" s="1" t="str">
        <f>IFERROR(__xludf.DUMMYFUNCTION("GOOGLETRANSLATE(A2577,""en"",""pt-br"")"),"inépcia")</f>
        <v>inépcia</v>
      </c>
      <c r="D2577" s="1" t="str">
        <f>IFERROR(__xludf.DUMMYFUNCTION("GOOGLETRANSLATE(B2577,""en"",""pt-br"")"),"negativo")</f>
        <v>negativo</v>
      </c>
    </row>
    <row r="2578" ht="15.75" customHeight="1">
      <c r="A2578" s="2" t="s">
        <v>2577</v>
      </c>
      <c r="B2578" s="2" t="s">
        <v>3</v>
      </c>
      <c r="C2578" s="1" t="str">
        <f>IFERROR(__xludf.DUMMYFUNCTION("GOOGLETRANSLATE(A2578,""en"",""pt-br"")"),"fumo")</f>
        <v>fumo</v>
      </c>
      <c r="D2578" s="1" t="str">
        <f>IFERROR(__xludf.DUMMYFUNCTION("GOOGLETRANSLATE(B2578,""en"",""pt-br"")"),"negativo")</f>
        <v>negativo</v>
      </c>
    </row>
    <row r="2579" ht="15.75" customHeight="1">
      <c r="A2579" s="2" t="s">
        <v>2578</v>
      </c>
      <c r="B2579" s="2" t="s">
        <v>3</v>
      </c>
      <c r="C2579" s="1" t="str">
        <f>IFERROR(__xludf.DUMMYFUNCTION("GOOGLETRANSLATE(A2579,""en"",""pt-br"")"),"vapores")</f>
        <v>vapores</v>
      </c>
      <c r="D2579" s="1" t="str">
        <f>IFERROR(__xludf.DUMMYFUNCTION("GOOGLETRANSLATE(B2579,""en"",""pt-br"")"),"negativo")</f>
        <v>negativo</v>
      </c>
    </row>
    <row r="2580" ht="15.75" customHeight="1">
      <c r="A2580" s="2" t="s">
        <v>2579</v>
      </c>
      <c r="B2580" s="2" t="s">
        <v>14</v>
      </c>
      <c r="C2580" s="1" t="str">
        <f>IFERROR(__xludf.DUMMYFUNCTION("GOOGLETRANSLATE(A2580,""en"",""pt-br"")"),"Diversão")</f>
        <v>Diversão</v>
      </c>
      <c r="D2580" s="1" t="str">
        <f>IFERROR(__xludf.DUMMYFUNCTION("GOOGLETRANSLATE(B2580,""en"",""pt-br"")"),"positivo")</f>
        <v>positivo</v>
      </c>
    </row>
    <row r="2581" ht="15.75" customHeight="1">
      <c r="A2581" s="2" t="s">
        <v>2580</v>
      </c>
      <c r="B2581" s="2" t="s">
        <v>3</v>
      </c>
      <c r="C2581" s="1" t="str">
        <f>IFERROR(__xludf.DUMMYFUNCTION("GOOGLETRANSLATE(A2581,""en"",""pt-br"")"),"fundamentalismo")</f>
        <v>fundamentalismo</v>
      </c>
      <c r="D2581" s="1" t="str">
        <f>IFERROR(__xludf.DUMMYFUNCTION("GOOGLETRANSLATE(B2581,""en"",""pt-br"")"),"negativo")</f>
        <v>negativo</v>
      </c>
    </row>
    <row r="2582" ht="15.75" customHeight="1">
      <c r="A2582" s="2" t="s">
        <v>2581</v>
      </c>
      <c r="B2582" s="2" t="s">
        <v>3</v>
      </c>
      <c r="C2582" s="1" t="str">
        <f>IFERROR(__xludf.DUMMYFUNCTION("GOOGLETRANSLATE(A2582,""en"",""pt-br"")"),"descolados")</f>
        <v>descolados</v>
      </c>
      <c r="D2582" s="1" t="str">
        <f>IFERROR(__xludf.DUMMYFUNCTION("GOOGLETRANSLATE(B2582,""en"",""pt-br"")"),"negativo")</f>
        <v>negativo</v>
      </c>
    </row>
    <row r="2583" ht="15.75" customHeight="1">
      <c r="A2583" s="2" t="s">
        <v>2582</v>
      </c>
      <c r="B2583" s="2" t="s">
        <v>3</v>
      </c>
      <c r="C2583" s="1" t="str">
        <f>IFERROR(__xludf.DUMMYFUNCTION("GOOGLETRANSLATE(A2583,""en"",""pt-br"")"),"de maneira engraçada")</f>
        <v>de maneira engraçada</v>
      </c>
      <c r="D2583" s="1" t="str">
        <f>IFERROR(__xludf.DUMMYFUNCTION("GOOGLETRANSLATE(B2583,""en"",""pt-br"")"),"negativo")</f>
        <v>negativo</v>
      </c>
    </row>
    <row r="2584" ht="15.75" customHeight="1">
      <c r="A2584" s="2" t="s">
        <v>2583</v>
      </c>
      <c r="B2584" s="2" t="s">
        <v>3</v>
      </c>
      <c r="C2584" s="1" t="str">
        <f>IFERROR(__xludf.DUMMYFUNCTION("GOOGLETRANSLATE(A2584,""en"",""pt-br"")"),"engraçado")</f>
        <v>engraçado</v>
      </c>
      <c r="D2584" s="1" t="str">
        <f>IFERROR(__xludf.DUMMYFUNCTION("GOOGLETRANSLATE(B2584,""en"",""pt-br"")"),"negativo")</f>
        <v>negativo</v>
      </c>
    </row>
    <row r="2585" ht="15.75" customHeight="1">
      <c r="A2585" s="2" t="s">
        <v>2584</v>
      </c>
      <c r="B2585" s="2" t="s">
        <v>3</v>
      </c>
      <c r="C2585" s="1" t="str">
        <f>IFERROR(__xludf.DUMMYFUNCTION("GOOGLETRANSLATE(A2585,""en"",""pt-br"")"),"furioso")</f>
        <v>furioso</v>
      </c>
      <c r="D2585" s="1" t="str">
        <f>IFERROR(__xludf.DUMMYFUNCTION("GOOGLETRANSLATE(B2585,""en"",""pt-br"")"),"negativo")</f>
        <v>negativo</v>
      </c>
    </row>
    <row r="2586" ht="15.75" customHeight="1">
      <c r="A2586" s="2" t="s">
        <v>2585</v>
      </c>
      <c r="B2586" s="2" t="s">
        <v>3</v>
      </c>
      <c r="C2586" s="1" t="str">
        <f>IFERROR(__xludf.DUMMYFUNCTION("GOOGLETRANSLATE(A2586,""en"",""pt-br"")"),"furiosamente")</f>
        <v>furiosamente</v>
      </c>
      <c r="D2586" s="1" t="str">
        <f>IFERROR(__xludf.DUMMYFUNCTION("GOOGLETRANSLATE(B2586,""en"",""pt-br"")"),"negativo")</f>
        <v>negativo</v>
      </c>
    </row>
    <row r="2587" ht="15.75" customHeight="1">
      <c r="A2587" s="2" t="s">
        <v>2586</v>
      </c>
      <c r="B2587" s="2" t="s">
        <v>3</v>
      </c>
      <c r="C2587" s="1" t="str">
        <f>IFERROR(__xludf.DUMMYFUNCTION("GOOGLETRANSLATE(A2587,""en"",""pt-br"")"),"furor")</f>
        <v>furor</v>
      </c>
      <c r="D2587" s="1" t="str">
        <f>IFERROR(__xludf.DUMMYFUNCTION("GOOGLETRANSLATE(B2587,""en"",""pt-br"")"),"negativo")</f>
        <v>negativo</v>
      </c>
    </row>
    <row r="2588" ht="15.75" customHeight="1">
      <c r="A2588" s="2" t="s">
        <v>2587</v>
      </c>
      <c r="B2588" s="2" t="s">
        <v>3</v>
      </c>
      <c r="C2588" s="1" t="str">
        <f>IFERROR(__xludf.DUMMYFUNCTION("GOOGLETRANSLATE(A2588,""en"",""pt-br"")"),"fúria")</f>
        <v>fúria</v>
      </c>
      <c r="D2588" s="1" t="str">
        <f>IFERROR(__xludf.DUMMYFUNCTION("GOOGLETRANSLATE(B2588,""en"",""pt-br"")"),"negativo")</f>
        <v>negativo</v>
      </c>
    </row>
    <row r="2589" ht="15.75" customHeight="1">
      <c r="A2589" s="2" t="s">
        <v>2588</v>
      </c>
      <c r="B2589" s="2" t="s">
        <v>3</v>
      </c>
      <c r="C2589" s="1" t="str">
        <f>IFERROR(__xludf.DUMMYFUNCTION("GOOGLETRANSLATE(A2589,""en"",""pt-br"")"),"discutir")</f>
        <v>discutir</v>
      </c>
      <c r="D2589" s="1" t="str">
        <f>IFERROR(__xludf.DUMMYFUNCTION("GOOGLETRANSLATE(B2589,""en"",""pt-br"")"),"negativo")</f>
        <v>negativo</v>
      </c>
    </row>
    <row r="2590" ht="15.75" customHeight="1">
      <c r="A2590" s="2" t="s">
        <v>2589</v>
      </c>
      <c r="B2590" s="2" t="s">
        <v>3</v>
      </c>
      <c r="C2590" s="1" t="str">
        <f>IFERROR(__xludf.DUMMYFUNCTION("GOOGLETRANSLATE(A2590,""en"",""pt-br"")"),"espalhafatoso")</f>
        <v>espalhafatoso</v>
      </c>
      <c r="D2590" s="1" t="str">
        <f>IFERROR(__xludf.DUMMYFUNCTION("GOOGLETRANSLATE(B2590,""en"",""pt-br"")"),"negativo")</f>
        <v>negativo</v>
      </c>
    </row>
    <row r="2591" ht="15.75" customHeight="1">
      <c r="A2591" s="2" t="s">
        <v>2590</v>
      </c>
      <c r="B2591" s="2" t="s">
        <v>3</v>
      </c>
      <c r="C2591" s="1" t="str">
        <f>IFERROR(__xludf.DUMMYFUNCTION("GOOGLETRANSLATE(A2591,""en"",""pt-br"")"),"fustigar")</f>
        <v>fustigar</v>
      </c>
      <c r="D2591" s="1" t="str">
        <f>IFERROR(__xludf.DUMMYFUNCTION("GOOGLETRANSLATE(B2591,""en"",""pt-br"")"),"negativo")</f>
        <v>negativo</v>
      </c>
    </row>
    <row r="2592" ht="15.75" customHeight="1">
      <c r="A2592" s="2" t="s">
        <v>2591</v>
      </c>
      <c r="B2592" s="2" t="s">
        <v>3</v>
      </c>
      <c r="C2592" s="1" t="str">
        <f>IFERROR(__xludf.DUMMYFUNCTION("GOOGLETRANSLATE(A2592,""en"",""pt-br"")"),"bolorento")</f>
        <v>bolorento</v>
      </c>
      <c r="D2592" s="1" t="str">
        <f>IFERROR(__xludf.DUMMYFUNCTION("GOOGLETRANSLATE(B2592,""en"",""pt-br"")"),"negativo")</f>
        <v>negativo</v>
      </c>
    </row>
    <row r="2593" ht="15.75" customHeight="1">
      <c r="A2593" s="2" t="s">
        <v>2592</v>
      </c>
      <c r="B2593" s="2" t="s">
        <v>3</v>
      </c>
      <c r="C2593" s="1" t="str">
        <f>IFERROR(__xludf.DUMMYFUNCTION("GOOGLETRANSLATE(A2593,""en"",""pt-br"")"),"Fútil")</f>
        <v>Fútil</v>
      </c>
      <c r="D2593" s="1" t="str">
        <f>IFERROR(__xludf.DUMMYFUNCTION("GOOGLETRANSLATE(B2593,""en"",""pt-br"")"),"negativo")</f>
        <v>negativo</v>
      </c>
    </row>
    <row r="2594" ht="15.75" customHeight="1">
      <c r="A2594" s="2" t="s">
        <v>2593</v>
      </c>
      <c r="B2594" s="2" t="s">
        <v>3</v>
      </c>
      <c r="C2594" s="1" t="str">
        <f>IFERROR(__xludf.DUMMYFUNCTION("GOOGLETRANSLATE(A2594,""en"",""pt-br"")"),"inutilmente")</f>
        <v>inutilmente</v>
      </c>
      <c r="D2594" s="1" t="str">
        <f>IFERROR(__xludf.DUMMYFUNCTION("GOOGLETRANSLATE(B2594,""en"",""pt-br"")"),"negativo")</f>
        <v>negativo</v>
      </c>
    </row>
    <row r="2595" ht="15.75" customHeight="1">
      <c r="A2595" s="2" t="s">
        <v>2594</v>
      </c>
      <c r="B2595" s="2" t="s">
        <v>3</v>
      </c>
      <c r="C2595" s="1" t="str">
        <f>IFERROR(__xludf.DUMMYFUNCTION("GOOGLETRANSLATE(A2595,""en"",""pt-br"")"),"futilidade")</f>
        <v>futilidade</v>
      </c>
      <c r="D2595" s="1" t="str">
        <f>IFERROR(__xludf.DUMMYFUNCTION("GOOGLETRANSLATE(B2595,""en"",""pt-br"")"),"negativo")</f>
        <v>negativo</v>
      </c>
    </row>
    <row r="2596" ht="15.75" customHeight="1">
      <c r="A2596" s="2" t="s">
        <v>2595</v>
      </c>
      <c r="B2596" s="2" t="s">
        <v>14</v>
      </c>
      <c r="C2596" s="1" t="str">
        <f>IFERROR(__xludf.DUMMYFUNCTION("GOOGLETRANSLATE(A2596,""en"",""pt-br"")"),"futurestic")</f>
        <v>futurestic</v>
      </c>
      <c r="D2596" s="1" t="str">
        <f>IFERROR(__xludf.DUMMYFUNCTION("GOOGLETRANSLATE(B2596,""en"",""pt-br"")"),"positivo")</f>
        <v>positivo</v>
      </c>
    </row>
    <row r="2597" ht="15.75" customHeight="1">
      <c r="A2597" s="2" t="s">
        <v>2596</v>
      </c>
      <c r="B2597" s="2" t="s">
        <v>14</v>
      </c>
      <c r="C2597" s="1" t="str">
        <f>IFERROR(__xludf.DUMMYFUNCTION("GOOGLETRANSLATE(A2597,""en"",""pt-br"")"),"futurista")</f>
        <v>futurista</v>
      </c>
      <c r="D2597" s="1" t="str">
        <f>IFERROR(__xludf.DUMMYFUNCTION("GOOGLETRANSLATE(B2597,""en"",""pt-br"")"),"positivo")</f>
        <v>positivo</v>
      </c>
    </row>
    <row r="2598" ht="15.75" customHeight="1">
      <c r="A2598" s="2" t="s">
        <v>2597</v>
      </c>
      <c r="B2598" s="2" t="s">
        <v>3</v>
      </c>
      <c r="C2598" s="1" t="str">
        <f>IFERROR(__xludf.DUMMYFUNCTION("GOOGLETRANSLATE(A2598,""en"",""pt-br"")"),"felpudo")</f>
        <v>felpudo</v>
      </c>
      <c r="D2598" s="1" t="str">
        <f>IFERROR(__xludf.DUMMYFUNCTION("GOOGLETRANSLATE(B2598,""en"",""pt-br"")"),"negativo")</f>
        <v>negativo</v>
      </c>
    </row>
    <row r="2599" ht="15.75" customHeight="1">
      <c r="A2599" s="2" t="s">
        <v>2598</v>
      </c>
      <c r="B2599" s="2" t="s">
        <v>3</v>
      </c>
      <c r="C2599" s="1" t="str">
        <f>IFERROR(__xludf.DUMMYFUNCTION("GOOGLETRANSLATE(A2599,""en"",""pt-br"")"),"tagarelice")</f>
        <v>tagarelice</v>
      </c>
      <c r="D2599" s="1" t="str">
        <f>IFERROR(__xludf.DUMMYFUNCTION("GOOGLETRANSLATE(B2599,""en"",""pt-br"")"),"negativo")</f>
        <v>negativo</v>
      </c>
    </row>
    <row r="2600" ht="15.75" customHeight="1">
      <c r="A2600" s="2" t="s">
        <v>2599</v>
      </c>
      <c r="B2600" s="2" t="s">
        <v>3</v>
      </c>
      <c r="C2600" s="1" t="str">
        <f>IFERROR(__xludf.DUMMYFUNCTION("GOOGLETRANSLATE(A2600,""en"",""pt-br"")"),"arpão")</f>
        <v>arpão</v>
      </c>
      <c r="D2600" s="1" t="str">
        <f>IFERROR(__xludf.DUMMYFUNCTION("GOOGLETRANSLATE(B2600,""en"",""pt-br"")"),"negativo")</f>
        <v>negativo</v>
      </c>
    </row>
    <row r="2601" ht="15.75" customHeight="1">
      <c r="A2601" s="2" t="s">
        <v>2600</v>
      </c>
      <c r="B2601" s="2" t="s">
        <v>3</v>
      </c>
      <c r="C2601" s="1" t="str">
        <f>IFERROR(__xludf.DUMMYFUNCTION("GOOGLETRANSLATE(A2601,""en"",""pt-br"")"),"gafe")</f>
        <v>gafe</v>
      </c>
      <c r="D2601" s="1" t="str">
        <f>IFERROR(__xludf.DUMMYFUNCTION("GOOGLETRANSLATE(B2601,""en"",""pt-br"")"),"negativo")</f>
        <v>negativo</v>
      </c>
    </row>
    <row r="2602" ht="15.75" customHeight="1">
      <c r="A2602" s="2" t="s">
        <v>2601</v>
      </c>
      <c r="B2602" s="2" t="s">
        <v>14</v>
      </c>
      <c r="C2602" s="1" t="str">
        <f>IFERROR(__xludf.DUMMYFUNCTION("GOOGLETRANSLATE(A2602,""en"",""pt-br"")"),"alegria")</f>
        <v>alegria</v>
      </c>
      <c r="D2602" s="1" t="str">
        <f>IFERROR(__xludf.DUMMYFUNCTION("GOOGLETRANSLATE(B2602,""en"",""pt-br"")"),"positivo")</f>
        <v>positivo</v>
      </c>
    </row>
    <row r="2603" ht="15.75" customHeight="1">
      <c r="A2603" s="2" t="s">
        <v>2602</v>
      </c>
      <c r="B2603" s="2" t="s">
        <v>14</v>
      </c>
      <c r="C2603" s="1" t="str">
        <f>IFERROR(__xludf.DUMMYFUNCTION("GOOGLETRANSLATE(A2603,""en"",""pt-br"")"),"alegremente")</f>
        <v>alegremente</v>
      </c>
      <c r="D2603" s="1" t="str">
        <f>IFERROR(__xludf.DUMMYFUNCTION("GOOGLETRANSLATE(B2603,""en"",""pt-br"")"),"positivo")</f>
        <v>positivo</v>
      </c>
    </row>
    <row r="2604" ht="15.75" customHeight="1">
      <c r="A2604" s="2" t="s">
        <v>2603</v>
      </c>
      <c r="B2604" s="2" t="s">
        <v>14</v>
      </c>
      <c r="C2604" s="1" t="str">
        <f>IFERROR(__xludf.DUMMYFUNCTION("GOOGLETRANSLATE(A2604,""en"",""pt-br"")"),"ganho")</f>
        <v>ganho</v>
      </c>
      <c r="D2604" s="1" t="str">
        <f>IFERROR(__xludf.DUMMYFUNCTION("GOOGLETRANSLATE(B2604,""en"",""pt-br"")"),"positivo")</f>
        <v>positivo</v>
      </c>
    </row>
    <row r="2605" ht="15.75" customHeight="1">
      <c r="A2605" s="2" t="s">
        <v>2604</v>
      </c>
      <c r="B2605" s="2" t="s">
        <v>14</v>
      </c>
      <c r="C2605" s="1" t="str">
        <f>IFERROR(__xludf.DUMMYFUNCTION("GOOGLETRANSLATE(A2605,""en"",""pt-br"")"),"ganhou")</f>
        <v>ganhou</v>
      </c>
      <c r="D2605" s="1" t="str">
        <f>IFERROR(__xludf.DUMMYFUNCTION("GOOGLETRANSLATE(B2605,""en"",""pt-br"")"),"positivo")</f>
        <v>positivo</v>
      </c>
    </row>
    <row r="2606" ht="15.75" customHeight="1">
      <c r="A2606" s="2" t="s">
        <v>2605</v>
      </c>
      <c r="B2606" s="2" t="s">
        <v>14</v>
      </c>
      <c r="C2606" s="1" t="str">
        <f>IFERROR(__xludf.DUMMYFUNCTION("GOOGLETRANSLATE(A2606,""en"",""pt-br"")"),"lucrativo")</f>
        <v>lucrativo</v>
      </c>
      <c r="D2606" s="1" t="str">
        <f>IFERROR(__xludf.DUMMYFUNCTION("GOOGLETRANSLATE(B2606,""en"",""pt-br"")"),"positivo")</f>
        <v>positivo</v>
      </c>
    </row>
    <row r="2607" ht="15.75" customHeight="1">
      <c r="A2607" s="2" t="s">
        <v>2606</v>
      </c>
      <c r="B2607" s="2" t="s">
        <v>14</v>
      </c>
      <c r="C2607" s="1" t="str">
        <f>IFERROR(__xludf.DUMMYFUNCTION("GOOGLETRANSLATE(A2607,""en"",""pt-br"")"),"gainfully")</f>
        <v>gainfully</v>
      </c>
      <c r="D2607" s="1" t="str">
        <f>IFERROR(__xludf.DUMMYFUNCTION("GOOGLETRANSLATE(B2607,""en"",""pt-br"")"),"positivo")</f>
        <v>positivo</v>
      </c>
    </row>
    <row r="2608" ht="15.75" customHeight="1">
      <c r="A2608" s="2" t="s">
        <v>2607</v>
      </c>
      <c r="B2608" s="2" t="s">
        <v>14</v>
      </c>
      <c r="C2608" s="1" t="str">
        <f>IFERROR(__xludf.DUMMYFUNCTION("GOOGLETRANSLATE(A2608,""en"",""pt-br"")"),"ganhando")</f>
        <v>ganhando</v>
      </c>
      <c r="D2608" s="1" t="str">
        <f>IFERROR(__xludf.DUMMYFUNCTION("GOOGLETRANSLATE(B2608,""en"",""pt-br"")"),"positivo")</f>
        <v>positivo</v>
      </c>
    </row>
    <row r="2609" ht="15.75" customHeight="1">
      <c r="A2609" s="2" t="s">
        <v>2608</v>
      </c>
      <c r="B2609" s="2" t="s">
        <v>14</v>
      </c>
      <c r="C2609" s="1" t="str">
        <f>IFERROR(__xludf.DUMMYFUNCTION("GOOGLETRANSLATE(A2609,""en"",""pt-br"")"),"ganhos")</f>
        <v>ganhos</v>
      </c>
      <c r="D2609" s="1" t="str">
        <f>IFERROR(__xludf.DUMMYFUNCTION("GOOGLETRANSLATE(B2609,""en"",""pt-br"")"),"positivo")</f>
        <v>positivo</v>
      </c>
    </row>
    <row r="2610" ht="15.75" customHeight="1">
      <c r="A2610" s="2" t="s">
        <v>2609</v>
      </c>
      <c r="B2610" s="2" t="s">
        <v>3</v>
      </c>
      <c r="C2610" s="1" t="str">
        <f>IFERROR(__xludf.DUMMYFUNCTION("GOOGLETRANSLATE(A2610,""en"",""pt-br"")"),"contradizer")</f>
        <v>contradizer</v>
      </c>
      <c r="D2610" s="1" t="str">
        <f>IFERROR(__xludf.DUMMYFUNCTION("GOOGLETRANSLATE(B2610,""en"",""pt-br"")"),"negativo")</f>
        <v>negativo</v>
      </c>
    </row>
    <row r="2611" ht="15.75" customHeight="1">
      <c r="A2611" s="2" t="s">
        <v>2610</v>
      </c>
      <c r="B2611" s="2" t="s">
        <v>3</v>
      </c>
      <c r="C2611" s="1" t="str">
        <f>IFERROR(__xludf.DUMMYFUNCTION("GOOGLETRANSLATE(A2611,""en"",""pt-br"")"),"gainsayer")</f>
        <v>gainsayer</v>
      </c>
      <c r="D2611" s="1" t="str">
        <f>IFERROR(__xludf.DUMMYFUNCTION("GOOGLETRANSLATE(B2611,""en"",""pt-br"")"),"negativo")</f>
        <v>negativo</v>
      </c>
    </row>
    <row r="2612" ht="15.75" customHeight="1">
      <c r="A2612" s="2" t="s">
        <v>2611</v>
      </c>
      <c r="B2612" s="2" t="s">
        <v>3</v>
      </c>
      <c r="C2612" s="1" t="str">
        <f>IFERROR(__xludf.DUMMYFUNCTION("GOOGLETRANSLATE(A2612,""en"",""pt-br"")"),"fel")</f>
        <v>fel</v>
      </c>
      <c r="D2612" s="1" t="str">
        <f>IFERROR(__xludf.DUMMYFUNCTION("GOOGLETRANSLATE(B2612,""en"",""pt-br"")"),"negativo")</f>
        <v>negativo</v>
      </c>
    </row>
    <row r="2613" ht="15.75" customHeight="1">
      <c r="A2613" s="2" t="s">
        <v>2612</v>
      </c>
      <c r="B2613" s="2" t="s">
        <v>14</v>
      </c>
      <c r="C2613" s="1" t="str">
        <f>IFERROR(__xludf.DUMMYFUNCTION("GOOGLETRANSLATE(A2613,""en"",""pt-br"")"),"valente")</f>
        <v>valente</v>
      </c>
      <c r="D2613" s="1" t="str">
        <f>IFERROR(__xludf.DUMMYFUNCTION("GOOGLETRANSLATE(B2613,""en"",""pt-br"")"),"positivo")</f>
        <v>positivo</v>
      </c>
    </row>
    <row r="2614" ht="15.75" customHeight="1">
      <c r="A2614" s="2" t="s">
        <v>2613</v>
      </c>
      <c r="B2614" s="2" t="s">
        <v>14</v>
      </c>
      <c r="C2614" s="1" t="str">
        <f>IFERROR(__xludf.DUMMYFUNCTION("GOOGLETRANSLATE(A2614,""en"",""pt-br"")"),"galantemente")</f>
        <v>galantemente</v>
      </c>
      <c r="D2614" s="1" t="str">
        <f>IFERROR(__xludf.DUMMYFUNCTION("GOOGLETRANSLATE(B2614,""en"",""pt-br"")"),"positivo")</f>
        <v>positivo</v>
      </c>
    </row>
    <row r="2615" ht="15.75" customHeight="1">
      <c r="A2615" s="2" t="s">
        <v>2614</v>
      </c>
      <c r="B2615" s="2" t="s">
        <v>3</v>
      </c>
      <c r="C2615" s="1" t="str">
        <f>IFERROR(__xludf.DUMMYFUNCTION("GOOGLETRANSLATE(A2615,""en"",""pt-br"")"),"irritante")</f>
        <v>irritante</v>
      </c>
      <c r="D2615" s="1" t="str">
        <f>IFERROR(__xludf.DUMMYFUNCTION("GOOGLETRANSLATE(B2615,""en"",""pt-br"")"),"negativo")</f>
        <v>negativo</v>
      </c>
    </row>
    <row r="2616" ht="15.75" customHeight="1">
      <c r="A2616" s="2" t="s">
        <v>2615</v>
      </c>
      <c r="B2616" s="2" t="s">
        <v>3</v>
      </c>
      <c r="C2616" s="1" t="str">
        <f>IFERROR(__xludf.DUMMYFUNCTION("GOOGLETRANSLATE(A2616,""en"",""pt-br"")"),"gallingly")</f>
        <v>gallingly</v>
      </c>
      <c r="D2616" s="1" t="str">
        <f>IFERROR(__xludf.DUMMYFUNCTION("GOOGLETRANSLATE(B2616,""en"",""pt-br"")"),"negativo")</f>
        <v>negativo</v>
      </c>
    </row>
    <row r="2617" ht="15.75" customHeight="1">
      <c r="A2617" s="2" t="s">
        <v>2616</v>
      </c>
      <c r="B2617" s="2" t="s">
        <v>3</v>
      </c>
      <c r="C2617" s="1" t="str">
        <f>IFERROR(__xludf.DUMMYFUNCTION("GOOGLETRANSLATE(A2617,""en"",""pt-br"")"),"galhas")</f>
        <v>galhas</v>
      </c>
      <c r="D2617" s="1" t="str">
        <f>IFERROR(__xludf.DUMMYFUNCTION("GOOGLETRANSLATE(B2617,""en"",""pt-br"")"),"negativo")</f>
        <v>negativo</v>
      </c>
    </row>
    <row r="2618" ht="15.75" customHeight="1">
      <c r="A2618" s="2" t="s">
        <v>2617</v>
      </c>
      <c r="B2618" s="2" t="s">
        <v>14</v>
      </c>
      <c r="C2618" s="1" t="str">
        <f>IFERROR(__xludf.DUMMYFUNCTION("GOOGLETRANSLATE(A2618,""en"",""pt-br"")"),"abundância")</f>
        <v>abundância</v>
      </c>
      <c r="D2618" s="1" t="str">
        <f>IFERROR(__xludf.DUMMYFUNCTION("GOOGLETRANSLATE(B2618,""en"",""pt-br"")"),"positivo")</f>
        <v>positivo</v>
      </c>
    </row>
    <row r="2619" ht="15.75" customHeight="1">
      <c r="A2619" s="2" t="s">
        <v>2618</v>
      </c>
      <c r="B2619" s="2" t="s">
        <v>3</v>
      </c>
      <c r="C2619" s="1" t="str">
        <f>IFERROR(__xludf.DUMMYFUNCTION("GOOGLETRANSLATE(A2619,""en"",""pt-br"")"),"bandido")</f>
        <v>bandido</v>
      </c>
      <c r="D2619" s="1" t="str">
        <f>IFERROR(__xludf.DUMMYFUNCTION("GOOGLETRANSLATE(B2619,""en"",""pt-br"")"),"negativo")</f>
        <v>negativo</v>
      </c>
    </row>
    <row r="2620" ht="15.75" customHeight="1">
      <c r="A2620" s="2" t="s">
        <v>2619</v>
      </c>
      <c r="B2620" s="2" t="s">
        <v>3</v>
      </c>
      <c r="C2620" s="1" t="str">
        <f>IFERROR(__xludf.DUMMYFUNCTION("GOOGLETRANSLATE(A2620,""en"",""pt-br"")"),"bocejar")</f>
        <v>bocejar</v>
      </c>
      <c r="D2620" s="1" t="str">
        <f>IFERROR(__xludf.DUMMYFUNCTION("GOOGLETRANSLATE(B2620,""en"",""pt-br"")"),"negativo")</f>
        <v>negativo</v>
      </c>
    </row>
    <row r="2621" ht="15.75" customHeight="1">
      <c r="A2621" s="2" t="s">
        <v>2620</v>
      </c>
      <c r="B2621" s="2" t="s">
        <v>3</v>
      </c>
      <c r="C2621" s="1" t="str">
        <f>IFERROR(__xludf.DUMMYFUNCTION("GOOGLETRANSLATE(A2621,""en"",""pt-br"")"),"lixo")</f>
        <v>lixo</v>
      </c>
      <c r="D2621" s="1" t="str">
        <f>IFERROR(__xludf.DUMMYFUNCTION("GOOGLETRANSLATE(B2621,""en"",""pt-br"")"),"negativo")</f>
        <v>negativo</v>
      </c>
    </row>
    <row r="2622" ht="15.75" customHeight="1">
      <c r="A2622" s="2" t="s">
        <v>2621</v>
      </c>
      <c r="B2622" s="2" t="s">
        <v>3</v>
      </c>
      <c r="C2622" s="1" t="str">
        <f>IFERROR(__xludf.DUMMYFUNCTION("GOOGLETRANSLATE(A2622,""en"",""pt-br"")"),"berrante")</f>
        <v>berrante</v>
      </c>
      <c r="D2622" s="1" t="str">
        <f>IFERROR(__xludf.DUMMYFUNCTION("GOOGLETRANSLATE(B2622,""en"",""pt-br"")"),"negativo")</f>
        <v>negativo</v>
      </c>
    </row>
    <row r="2623" ht="15.75" customHeight="1">
      <c r="A2623" s="2" t="s">
        <v>2622</v>
      </c>
      <c r="B2623" s="2" t="s">
        <v>3</v>
      </c>
      <c r="C2623" s="1" t="str">
        <f>IFERROR(__xludf.DUMMYFUNCTION("GOOGLETRANSLATE(A2623,""en"",""pt-br"")"),"suspiro")</f>
        <v>suspiro</v>
      </c>
      <c r="D2623" s="1" t="str">
        <f>IFERROR(__xludf.DUMMYFUNCTION("GOOGLETRANSLATE(B2623,""en"",""pt-br"")"),"negativo")</f>
        <v>negativo</v>
      </c>
    </row>
    <row r="2624" ht="15.75" customHeight="1">
      <c r="A2624" s="2" t="s">
        <v>2623</v>
      </c>
      <c r="B2624" s="2" t="s">
        <v>3</v>
      </c>
      <c r="C2624" s="1" t="str">
        <f>IFERROR(__xludf.DUMMYFUNCTION("GOOGLETRANSLATE(A2624,""en"",""pt-br"")"),"acanhado")</f>
        <v>acanhado</v>
      </c>
      <c r="D2624" s="1" t="str">
        <f>IFERROR(__xludf.DUMMYFUNCTION("GOOGLETRANSLATE(B2624,""en"",""pt-br"")"),"negativo")</f>
        <v>negativo</v>
      </c>
    </row>
    <row r="2625" ht="15.75" customHeight="1">
      <c r="A2625" s="2" t="s">
        <v>2624</v>
      </c>
      <c r="B2625" s="2" t="s">
        <v>3</v>
      </c>
      <c r="C2625" s="1" t="str">
        <f>IFERROR(__xludf.DUMMYFUNCTION("GOOGLETRANSLATE(A2625,""en"",""pt-br"")"),"berrante")</f>
        <v>berrante</v>
      </c>
      <c r="D2625" s="1" t="str">
        <f>IFERROR(__xludf.DUMMYFUNCTION("GOOGLETRANSLATE(B2625,""en"",""pt-br"")"),"negativo")</f>
        <v>negativo</v>
      </c>
    </row>
    <row r="2626" ht="15.75" customHeight="1">
      <c r="A2626" s="2" t="s">
        <v>2625</v>
      </c>
      <c r="B2626" s="2" t="s">
        <v>3</v>
      </c>
      <c r="C2626" s="1" t="str">
        <f>IFERROR(__xludf.DUMMYFUNCTION("GOOGLETRANSLATE(A2626,""en"",""pt-br"")"),"gawk")</f>
        <v>gawk</v>
      </c>
      <c r="D2626" s="1" t="str">
        <f>IFERROR(__xludf.DUMMYFUNCTION("GOOGLETRANSLATE(B2626,""en"",""pt-br"")"),"negativo")</f>
        <v>negativo</v>
      </c>
    </row>
    <row r="2627" ht="15.75" customHeight="1">
      <c r="A2627" s="2" t="s">
        <v>2626</v>
      </c>
      <c r="B2627" s="2" t="s">
        <v>3</v>
      </c>
      <c r="C2627" s="1" t="str">
        <f>IFERROR(__xludf.DUMMYFUNCTION("GOOGLETRANSLATE(A2627,""en"",""pt-br"")"),"desajeitado")</f>
        <v>desajeitado</v>
      </c>
      <c r="D2627" s="1" t="str">
        <f>IFERROR(__xludf.DUMMYFUNCTION("GOOGLETRANSLATE(B2627,""en"",""pt-br"")"),"negativo")</f>
        <v>negativo</v>
      </c>
    </row>
    <row r="2628" ht="15.75" customHeight="1">
      <c r="A2628" s="2" t="s">
        <v>2627</v>
      </c>
      <c r="B2628" s="2" t="s">
        <v>14</v>
      </c>
      <c r="C2628" s="1" t="str">
        <f>IFERROR(__xludf.DUMMYFUNCTION("GOOGLETRANSLATE(A2628,""en"",""pt-br"")"),"geekier")</f>
        <v>geekier</v>
      </c>
      <c r="D2628" s="1" t="str">
        <f>IFERROR(__xludf.DUMMYFUNCTION("GOOGLETRANSLATE(B2628,""en"",""pt-br"")"),"positivo")</f>
        <v>positivo</v>
      </c>
    </row>
    <row r="2629" ht="15.75" customHeight="1">
      <c r="A2629" s="2" t="s">
        <v>2628</v>
      </c>
      <c r="B2629" s="2" t="s">
        <v>14</v>
      </c>
      <c r="C2629" s="1" t="str">
        <f>IFERROR(__xludf.DUMMYFUNCTION("GOOGLETRANSLATE(A2629,""en"",""pt-br"")"),"geeky")</f>
        <v>geeky</v>
      </c>
      <c r="D2629" s="1" t="str">
        <f>IFERROR(__xludf.DUMMYFUNCTION("GOOGLETRANSLATE(B2629,""en"",""pt-br"")"),"positivo")</f>
        <v>positivo</v>
      </c>
    </row>
    <row r="2630" ht="15.75" customHeight="1">
      <c r="A2630" s="2" t="s">
        <v>2629</v>
      </c>
      <c r="B2630" s="2" t="s">
        <v>3</v>
      </c>
      <c r="C2630" s="1" t="str">
        <f>IFERROR(__xludf.DUMMYFUNCTION("GOOGLETRANSLATE(A2630,""en"",""pt-br"")"),"velhote")</f>
        <v>velhote</v>
      </c>
      <c r="D2630" s="1" t="str">
        <f>IFERROR(__xludf.DUMMYFUNCTION("GOOGLETRANSLATE(B2630,""en"",""pt-br"")"),"negativo")</f>
        <v>negativo</v>
      </c>
    </row>
    <row r="2631" ht="15.75" customHeight="1">
      <c r="A2631" s="2" t="s">
        <v>2630</v>
      </c>
      <c r="B2631" s="2" t="s">
        <v>14</v>
      </c>
      <c r="C2631" s="1" t="str">
        <f>IFERROR(__xludf.DUMMYFUNCTION("GOOGLETRANSLATE(A2631,""en"",""pt-br"")"),"gema")</f>
        <v>gema</v>
      </c>
      <c r="D2631" s="1" t="str">
        <f>IFERROR(__xludf.DUMMYFUNCTION("GOOGLETRANSLATE(B2631,""en"",""pt-br"")"),"positivo")</f>
        <v>positivo</v>
      </c>
    </row>
    <row r="2632" ht="15.75" customHeight="1">
      <c r="A2632" s="2" t="s">
        <v>2631</v>
      </c>
      <c r="B2632" s="2" t="s">
        <v>14</v>
      </c>
      <c r="C2632" s="1" t="str">
        <f>IFERROR(__xludf.DUMMYFUNCTION("GOOGLETRANSLATE(A2632,""en"",""pt-br"")"),"gemas")</f>
        <v>gemas</v>
      </c>
      <c r="D2632" s="1" t="str">
        <f>IFERROR(__xludf.DUMMYFUNCTION("GOOGLETRANSLATE(B2632,""en"",""pt-br"")"),"positivo")</f>
        <v>positivo</v>
      </c>
    </row>
    <row r="2633" ht="15.75" customHeight="1">
      <c r="A2633" s="2" t="s">
        <v>2632</v>
      </c>
      <c r="B2633" s="2" t="s">
        <v>14</v>
      </c>
      <c r="C2633" s="1" t="str">
        <f>IFERROR(__xludf.DUMMYFUNCTION("GOOGLETRANSLATE(A2633,""en"",""pt-br"")"),"generosidade")</f>
        <v>generosidade</v>
      </c>
      <c r="D2633" s="1" t="str">
        <f>IFERROR(__xludf.DUMMYFUNCTION("GOOGLETRANSLATE(B2633,""en"",""pt-br"")"),"positivo")</f>
        <v>positivo</v>
      </c>
    </row>
    <row r="2634" ht="15.75" customHeight="1">
      <c r="A2634" s="2" t="s">
        <v>2633</v>
      </c>
      <c r="B2634" s="2" t="s">
        <v>14</v>
      </c>
      <c r="C2634" s="1" t="str">
        <f>IFERROR(__xludf.DUMMYFUNCTION("GOOGLETRANSLATE(A2634,""en"",""pt-br"")"),"generoso")</f>
        <v>generoso</v>
      </c>
      <c r="D2634" s="1" t="str">
        <f>IFERROR(__xludf.DUMMYFUNCTION("GOOGLETRANSLATE(B2634,""en"",""pt-br"")"),"positivo")</f>
        <v>positivo</v>
      </c>
    </row>
    <row r="2635" ht="15.75" customHeight="1">
      <c r="A2635" s="2" t="s">
        <v>2634</v>
      </c>
      <c r="B2635" s="2" t="s">
        <v>14</v>
      </c>
      <c r="C2635" s="1" t="str">
        <f>IFERROR(__xludf.DUMMYFUNCTION("GOOGLETRANSLATE(A2635,""en"",""pt-br"")"),"generosamente")</f>
        <v>generosamente</v>
      </c>
      <c r="D2635" s="1" t="str">
        <f>IFERROR(__xludf.DUMMYFUNCTION("GOOGLETRANSLATE(B2635,""en"",""pt-br"")"),"positivo")</f>
        <v>positivo</v>
      </c>
    </row>
    <row r="2636" ht="15.75" customHeight="1">
      <c r="A2636" s="2" t="s">
        <v>2635</v>
      </c>
      <c r="B2636" s="2" t="s">
        <v>14</v>
      </c>
      <c r="C2636" s="1" t="str">
        <f>IFERROR(__xludf.DUMMYFUNCTION("GOOGLETRANSLATE(A2636,""en"",""pt-br"")"),"genial")</f>
        <v>genial</v>
      </c>
      <c r="D2636" s="1" t="str">
        <f>IFERROR(__xludf.DUMMYFUNCTION("GOOGLETRANSLATE(B2636,""en"",""pt-br"")"),"positivo")</f>
        <v>positivo</v>
      </c>
    </row>
    <row r="2637" ht="15.75" customHeight="1">
      <c r="A2637" s="2" t="s">
        <v>2636</v>
      </c>
      <c r="B2637" s="2" t="s">
        <v>14</v>
      </c>
      <c r="C2637" s="1" t="str">
        <f>IFERROR(__xludf.DUMMYFUNCTION("GOOGLETRANSLATE(A2637,""en"",""pt-br"")"),"gênio")</f>
        <v>gênio</v>
      </c>
      <c r="D2637" s="1" t="str">
        <f>IFERROR(__xludf.DUMMYFUNCTION("GOOGLETRANSLATE(B2637,""en"",""pt-br"")"),"positivo")</f>
        <v>positivo</v>
      </c>
    </row>
    <row r="2638" ht="15.75" customHeight="1">
      <c r="A2638" s="2" t="s">
        <v>2637</v>
      </c>
      <c r="B2638" s="2" t="s">
        <v>3</v>
      </c>
      <c r="C2638" s="1" t="str">
        <f>IFERROR(__xludf.DUMMYFUNCTION("GOOGLETRANSLATE(A2638,""en"",""pt-br"")"),"genocídio")</f>
        <v>genocídio</v>
      </c>
      <c r="D2638" s="1" t="str">
        <f>IFERROR(__xludf.DUMMYFUNCTION("GOOGLETRANSLATE(B2638,""en"",""pt-br"")"),"negativo")</f>
        <v>negativo</v>
      </c>
    </row>
    <row r="2639" ht="15.75" customHeight="1">
      <c r="A2639" s="2" t="s">
        <v>2638</v>
      </c>
      <c r="B2639" s="2" t="s">
        <v>14</v>
      </c>
      <c r="C2639" s="1" t="str">
        <f>IFERROR(__xludf.DUMMYFUNCTION("GOOGLETRANSLATE(A2639,""en"",""pt-br"")"),"□ Gentil")</f>
        <v>□ Gentil</v>
      </c>
      <c r="D2639" s="1" t="str">
        <f>IFERROR(__xludf.DUMMYFUNCTION("GOOGLETRANSLATE(B2639,""en"",""pt-br"")"),"positivo")</f>
        <v>positivo</v>
      </c>
    </row>
    <row r="2640" ht="15.75" customHeight="1">
      <c r="A2640" s="2" t="s">
        <v>2639</v>
      </c>
      <c r="B2640" s="2" t="s">
        <v>14</v>
      </c>
      <c r="C2640" s="1" t="str">
        <f>IFERROR(__xludf.DUMMYFUNCTION("GOOGLETRANSLATE(A2640,""en"",""pt-br"")"),"gentlest")</f>
        <v>gentlest</v>
      </c>
      <c r="D2640" s="1" t="str">
        <f>IFERROR(__xludf.DUMMYFUNCTION("GOOGLETRANSLATE(B2640,""en"",""pt-br"")"),"positivo")</f>
        <v>positivo</v>
      </c>
    </row>
    <row r="2641" ht="15.75" customHeight="1">
      <c r="A2641" s="2" t="s">
        <v>2640</v>
      </c>
      <c r="B2641" s="2" t="s">
        <v>14</v>
      </c>
      <c r="C2641" s="1" t="str">
        <f>IFERROR(__xludf.DUMMYFUNCTION("GOOGLETRANSLATE(A2641,""en"",""pt-br"")"),"genuíno")</f>
        <v>genuíno</v>
      </c>
      <c r="D2641" s="1" t="str">
        <f>IFERROR(__xludf.DUMMYFUNCTION("GOOGLETRANSLATE(B2641,""en"",""pt-br"")"),"positivo")</f>
        <v>positivo</v>
      </c>
    </row>
    <row r="2642" ht="15.75" customHeight="1">
      <c r="A2642" s="2" t="s">
        <v>2641</v>
      </c>
      <c r="B2642" s="2" t="s">
        <v>3</v>
      </c>
      <c r="C2642" s="1" t="str">
        <f>IFERROR(__xludf.DUMMYFUNCTION("GOOGLETRANSLATE(A2642,""en"",""pt-br"")"),"ficar rico")</f>
        <v>ficar rico</v>
      </c>
      <c r="D2642" s="1" t="str">
        <f>IFERROR(__xludf.DUMMYFUNCTION("GOOGLETRANSLATE(B2642,""en"",""pt-br"")"),"negativo")</f>
        <v>negativo</v>
      </c>
    </row>
    <row r="2643" ht="15.75" customHeight="1">
      <c r="A2643" s="2" t="s">
        <v>2642</v>
      </c>
      <c r="B2643" s="2" t="s">
        <v>3</v>
      </c>
      <c r="C2643" s="1" t="str">
        <f>IFERROR(__xludf.DUMMYFUNCTION("GOOGLETRANSLATE(A2643,""en"",""pt-br"")"),"medonho")</f>
        <v>medonho</v>
      </c>
      <c r="D2643" s="1" t="str">
        <f>IFERROR(__xludf.DUMMYFUNCTION("GOOGLETRANSLATE(B2643,""en"",""pt-br"")"),"negativo")</f>
        <v>negativo</v>
      </c>
    </row>
    <row r="2644" ht="15.75" customHeight="1">
      <c r="A2644" s="2" t="s">
        <v>2643</v>
      </c>
      <c r="B2644" s="2" t="s">
        <v>3</v>
      </c>
      <c r="C2644" s="1" t="str">
        <f>IFERROR(__xludf.DUMMYFUNCTION("GOOGLETRANSLATE(A2644,""en"",""pt-br"")"),"gueto")</f>
        <v>gueto</v>
      </c>
      <c r="D2644" s="1" t="str">
        <f>IFERROR(__xludf.DUMMYFUNCTION("GOOGLETRANSLATE(B2644,""en"",""pt-br"")"),"negativo")</f>
        <v>negativo</v>
      </c>
    </row>
    <row r="2645" ht="15.75" customHeight="1">
      <c r="A2645" s="2" t="s">
        <v>2644</v>
      </c>
      <c r="B2645" s="2" t="s">
        <v>3</v>
      </c>
      <c r="C2645" s="1" t="str">
        <f>IFERROR(__xludf.DUMMYFUNCTION("GOOGLETRANSLATE(A2645,""en"",""pt-br"")"),"ghosting")</f>
        <v>ghosting</v>
      </c>
      <c r="D2645" s="1" t="str">
        <f>IFERROR(__xludf.DUMMYFUNCTION("GOOGLETRANSLATE(B2645,""en"",""pt-br"")"),"negativo")</f>
        <v>negativo</v>
      </c>
    </row>
    <row r="2646" ht="15.75" customHeight="1">
      <c r="A2646" s="2" t="s">
        <v>2645</v>
      </c>
      <c r="B2646" s="2" t="s">
        <v>3</v>
      </c>
      <c r="C2646" s="1" t="str">
        <f>IFERROR(__xludf.DUMMYFUNCTION("GOOGLETRANSLATE(A2646,""en"",""pt-br"")"),"algaravia")</f>
        <v>algaravia</v>
      </c>
      <c r="D2646" s="1" t="str">
        <f>IFERROR(__xludf.DUMMYFUNCTION("GOOGLETRANSLATE(B2646,""en"",""pt-br"")"),"negativo")</f>
        <v>negativo</v>
      </c>
    </row>
    <row r="2647" ht="15.75" customHeight="1">
      <c r="A2647" s="2" t="s">
        <v>2646</v>
      </c>
      <c r="B2647" s="2" t="s">
        <v>3</v>
      </c>
      <c r="C2647" s="1" t="str">
        <f>IFERROR(__xludf.DUMMYFUNCTION("GOOGLETRANSLATE(A2647,""en"",""pt-br"")"),"jargão")</f>
        <v>jargão</v>
      </c>
      <c r="D2647" s="1" t="str">
        <f>IFERROR(__xludf.DUMMYFUNCTION("GOOGLETRANSLATE(B2647,""en"",""pt-br"")"),"negativo")</f>
        <v>negativo</v>
      </c>
    </row>
    <row r="2648" ht="15.75" customHeight="1">
      <c r="A2648" s="2" t="s">
        <v>2647</v>
      </c>
      <c r="B2648" s="2" t="s">
        <v>3</v>
      </c>
      <c r="C2648" s="1" t="str">
        <f>IFERROR(__xludf.DUMMYFUNCTION("GOOGLETRANSLATE(A2648,""en"",""pt-br"")"),"escárnio")</f>
        <v>escárnio</v>
      </c>
      <c r="D2648" s="1" t="str">
        <f>IFERROR(__xludf.DUMMYFUNCTION("GOOGLETRANSLATE(B2648,""en"",""pt-br"")"),"negativo")</f>
        <v>negativo</v>
      </c>
    </row>
    <row r="2649" ht="15.75" customHeight="1">
      <c r="A2649" s="2" t="s">
        <v>2648</v>
      </c>
      <c r="B2649" s="2" t="s">
        <v>3</v>
      </c>
      <c r="C2649" s="1" t="str">
        <f>IFERROR(__xludf.DUMMYFUNCTION("GOOGLETRANSLATE(A2649,""en"",""pt-br"")"),"vertiginoso")</f>
        <v>vertiginoso</v>
      </c>
      <c r="D2649" s="1" t="str">
        <f>IFERROR(__xludf.DUMMYFUNCTION("GOOGLETRANSLATE(B2649,""en"",""pt-br"")"),"negativo")</f>
        <v>negativo</v>
      </c>
    </row>
    <row r="2650" ht="15.75" customHeight="1">
      <c r="A2650" s="2" t="s">
        <v>2649</v>
      </c>
      <c r="B2650" s="2" t="s">
        <v>14</v>
      </c>
      <c r="C2650" s="1" t="str">
        <f>IFERROR(__xludf.DUMMYFUNCTION("GOOGLETRANSLATE(A2650,""en"",""pt-br"")"),"dotado")</f>
        <v>dotado</v>
      </c>
      <c r="D2650" s="1" t="str">
        <f>IFERROR(__xludf.DUMMYFUNCTION("GOOGLETRANSLATE(B2650,""en"",""pt-br"")"),"positivo")</f>
        <v>positivo</v>
      </c>
    </row>
    <row r="2651" ht="15.75" customHeight="1">
      <c r="A2651" s="2" t="s">
        <v>2650</v>
      </c>
      <c r="B2651" s="2" t="s">
        <v>3</v>
      </c>
      <c r="C2651" s="1" t="str">
        <f>IFERROR(__xludf.DUMMYFUNCTION("GOOGLETRANSLATE(A2651,""en"",""pt-br"")"),"artifício")</f>
        <v>artifício</v>
      </c>
      <c r="D2651" s="1" t="str">
        <f>IFERROR(__xludf.DUMMYFUNCTION("GOOGLETRANSLATE(B2651,""en"",""pt-br"")"),"negativo")</f>
        <v>negativo</v>
      </c>
    </row>
    <row r="2652" ht="15.75" customHeight="1">
      <c r="A2652" s="2" t="s">
        <v>2651</v>
      </c>
      <c r="B2652" s="2" t="s">
        <v>3</v>
      </c>
      <c r="C2652" s="1" t="str">
        <f>IFERROR(__xludf.DUMMYFUNCTION("GOOGLETRANSLATE(A2652,""en"",""pt-br"")"),"gimmicked")</f>
        <v>gimmicked</v>
      </c>
      <c r="D2652" s="1" t="str">
        <f>IFERROR(__xludf.DUMMYFUNCTION("GOOGLETRANSLATE(B2652,""en"",""pt-br"")"),"negativo")</f>
        <v>negativo</v>
      </c>
    </row>
    <row r="2653" ht="15.75" customHeight="1">
      <c r="A2653" s="2" t="s">
        <v>2652</v>
      </c>
      <c r="B2653" s="2" t="s">
        <v>3</v>
      </c>
      <c r="C2653" s="1" t="str">
        <f>IFERROR(__xludf.DUMMYFUNCTION("GOOGLETRANSLATE(A2653,""en"",""pt-br"")"),"gimmicking")</f>
        <v>gimmicking</v>
      </c>
      <c r="D2653" s="1" t="str">
        <f>IFERROR(__xludf.DUMMYFUNCTION("GOOGLETRANSLATE(B2653,""en"",""pt-br"")"),"negativo")</f>
        <v>negativo</v>
      </c>
    </row>
    <row r="2654" ht="15.75" customHeight="1">
      <c r="A2654" s="2" t="s">
        <v>2653</v>
      </c>
      <c r="B2654" s="2" t="s">
        <v>3</v>
      </c>
      <c r="C2654" s="1" t="str">
        <f>IFERROR(__xludf.DUMMYFUNCTION("GOOGLETRANSLATE(A2654,""en"",""pt-br"")"),"gimmicks")</f>
        <v>gimmicks</v>
      </c>
      <c r="D2654" s="1" t="str">
        <f>IFERROR(__xludf.DUMMYFUNCTION("GOOGLETRANSLATE(B2654,""en"",""pt-br"")"),"negativo")</f>
        <v>negativo</v>
      </c>
    </row>
    <row r="2655" ht="15.75" customHeight="1">
      <c r="A2655" s="2" t="s">
        <v>2654</v>
      </c>
      <c r="B2655" s="2" t="s">
        <v>3</v>
      </c>
      <c r="C2655" s="1" t="str">
        <f>IFERROR(__xludf.DUMMYFUNCTION("GOOGLETRANSLATE(A2655,""en"",""pt-br"")"),"enigmático")</f>
        <v>enigmático</v>
      </c>
      <c r="D2655" s="1" t="str">
        <f>IFERROR(__xludf.DUMMYFUNCTION("GOOGLETRANSLATE(B2655,""en"",""pt-br"")"),"negativo")</f>
        <v>negativo</v>
      </c>
    </row>
    <row r="2656" ht="15.75" customHeight="1">
      <c r="A2656" s="2" t="s">
        <v>2655</v>
      </c>
      <c r="B2656" s="2" t="s">
        <v>14</v>
      </c>
      <c r="C2656" s="1" t="str">
        <f>IFERROR(__xludf.DUMMYFUNCTION("GOOGLETRANSLATE(A2656,""en"",""pt-br"")"),"feliz")</f>
        <v>feliz</v>
      </c>
      <c r="D2656" s="1" t="str">
        <f>IFERROR(__xludf.DUMMYFUNCTION("GOOGLETRANSLATE(B2656,""en"",""pt-br"")"),"positivo")</f>
        <v>positivo</v>
      </c>
    </row>
    <row r="2657" ht="15.75" customHeight="1">
      <c r="A2657" s="2" t="s">
        <v>2656</v>
      </c>
      <c r="B2657" s="2" t="s">
        <v>14</v>
      </c>
      <c r="C2657" s="1" t="str">
        <f>IFERROR(__xludf.DUMMYFUNCTION("GOOGLETRANSLATE(A2657,""en"",""pt-br"")"),"alegrar")</f>
        <v>alegrar</v>
      </c>
      <c r="D2657" s="1" t="str">
        <f>IFERROR(__xludf.DUMMYFUNCTION("GOOGLETRANSLATE(B2657,""en"",""pt-br"")"),"positivo")</f>
        <v>positivo</v>
      </c>
    </row>
    <row r="2658" ht="15.75" customHeight="1">
      <c r="A2658" s="2" t="s">
        <v>2657</v>
      </c>
      <c r="B2658" s="2" t="s">
        <v>14</v>
      </c>
      <c r="C2658" s="1" t="str">
        <f>IFERROR(__xludf.DUMMYFUNCTION("GOOGLETRANSLATE(A2658,""en"",""pt-br"")"),"alegremente")</f>
        <v>alegremente</v>
      </c>
      <c r="D2658" s="1" t="str">
        <f>IFERROR(__xludf.DUMMYFUNCTION("GOOGLETRANSLATE(B2658,""en"",""pt-br"")"),"positivo")</f>
        <v>positivo</v>
      </c>
    </row>
    <row r="2659" ht="15.75" customHeight="1">
      <c r="A2659" s="2" t="s">
        <v>2658</v>
      </c>
      <c r="B2659" s="2" t="s">
        <v>14</v>
      </c>
      <c r="C2659" s="1" t="str">
        <f>IFERROR(__xludf.DUMMYFUNCTION("GOOGLETRANSLATE(A2659,""en"",""pt-br"")"),"alegria")</f>
        <v>alegria</v>
      </c>
      <c r="D2659" s="1" t="str">
        <f>IFERROR(__xludf.DUMMYFUNCTION("GOOGLETRANSLATE(B2659,""en"",""pt-br"")"),"positivo")</f>
        <v>positivo</v>
      </c>
    </row>
    <row r="2660" ht="15.75" customHeight="1">
      <c r="A2660" s="2" t="s">
        <v>2659</v>
      </c>
      <c r="B2660" s="2" t="s">
        <v>14</v>
      </c>
      <c r="C2660" s="1" t="str">
        <f>IFERROR(__xludf.DUMMYFUNCTION("GOOGLETRANSLATE(A2660,""en"",""pt-br"")"),"fascinante")</f>
        <v>fascinante</v>
      </c>
      <c r="D2660" s="1" t="str">
        <f>IFERROR(__xludf.DUMMYFUNCTION("GOOGLETRANSLATE(B2660,""en"",""pt-br"")"),"positivo")</f>
        <v>positivo</v>
      </c>
    </row>
    <row r="2661" ht="15.75" customHeight="1">
      <c r="A2661" s="2" t="s">
        <v>2660</v>
      </c>
      <c r="B2661" s="2" t="s">
        <v>3</v>
      </c>
      <c r="C2661" s="1" t="str">
        <f>IFERROR(__xludf.DUMMYFUNCTION("GOOGLETRANSLATE(A2661,""en"",""pt-br"")"),"brilho intenso")</f>
        <v>brilho intenso</v>
      </c>
      <c r="D2661" s="1" t="str">
        <f>IFERROR(__xludf.DUMMYFUNCTION("GOOGLETRANSLATE(B2661,""en"",""pt-br"")"),"negativo")</f>
        <v>negativo</v>
      </c>
    </row>
    <row r="2662" ht="15.75" customHeight="1">
      <c r="A2662" s="2" t="s">
        <v>2661</v>
      </c>
      <c r="B2662" s="2" t="s">
        <v>3</v>
      </c>
      <c r="C2662" s="1" t="str">
        <f>IFERROR(__xludf.DUMMYFUNCTION("GOOGLETRANSLATE(A2662,""en"",""pt-br"")"),"notoriamente")</f>
        <v>notoriamente</v>
      </c>
      <c r="D2662" s="1" t="str">
        <f>IFERROR(__xludf.DUMMYFUNCTION("GOOGLETRANSLATE(B2662,""en"",""pt-br"")"),"negativo")</f>
        <v>negativo</v>
      </c>
    </row>
    <row r="2663" ht="15.75" customHeight="1">
      <c r="A2663" s="2" t="s">
        <v>2662</v>
      </c>
      <c r="B2663" s="2" t="s">
        <v>14</v>
      </c>
      <c r="C2663" s="1" t="str">
        <f>IFERROR(__xludf.DUMMYFUNCTION("GOOGLETRANSLATE(A2663,""en"",""pt-br"")"),"alegria")</f>
        <v>alegria</v>
      </c>
      <c r="D2663" s="1" t="str">
        <f>IFERROR(__xludf.DUMMYFUNCTION("GOOGLETRANSLATE(B2663,""en"",""pt-br"")"),"positivo")</f>
        <v>positivo</v>
      </c>
    </row>
    <row r="2664" ht="15.75" customHeight="1">
      <c r="A2664" s="2" t="s">
        <v>2663</v>
      </c>
      <c r="B2664" s="2" t="s">
        <v>14</v>
      </c>
      <c r="C2664" s="1" t="str">
        <f>IFERROR(__xludf.DUMMYFUNCTION("GOOGLETRANSLATE(A2664,""en"",""pt-br"")"),"alegre")</f>
        <v>alegre</v>
      </c>
      <c r="D2664" s="1" t="str">
        <f>IFERROR(__xludf.DUMMYFUNCTION("GOOGLETRANSLATE(B2664,""en"",""pt-br"")"),"positivo")</f>
        <v>positivo</v>
      </c>
    </row>
    <row r="2665" ht="15.75" customHeight="1">
      <c r="A2665" s="2" t="s">
        <v>2664</v>
      </c>
      <c r="B2665" s="2" t="s">
        <v>14</v>
      </c>
      <c r="C2665" s="1" t="str">
        <f>IFERROR(__xludf.DUMMYFUNCTION("GOOGLETRANSLATE(A2665,""en"",""pt-br"")"),"alegremente")</f>
        <v>alegremente</v>
      </c>
      <c r="D2665" s="1" t="str">
        <f>IFERROR(__xludf.DUMMYFUNCTION("GOOGLETRANSLATE(B2665,""en"",""pt-br"")"),"positivo")</f>
        <v>positivo</v>
      </c>
    </row>
    <row r="2666" ht="15.75" customHeight="1">
      <c r="A2666" s="2" t="s">
        <v>2665</v>
      </c>
      <c r="B2666" s="2" t="s">
        <v>3</v>
      </c>
      <c r="C2666" s="1" t="str">
        <f>IFERROR(__xludf.DUMMYFUNCTION("GOOGLETRANSLATE(A2666,""en"",""pt-br"")"),"loquaz")</f>
        <v>loquaz</v>
      </c>
      <c r="D2666" s="1" t="str">
        <f>IFERROR(__xludf.DUMMYFUNCTION("GOOGLETRANSLATE(B2666,""en"",""pt-br"")"),"negativo")</f>
        <v>negativo</v>
      </c>
    </row>
    <row r="2667" ht="15.75" customHeight="1">
      <c r="A2667" s="2" t="s">
        <v>2666</v>
      </c>
      <c r="B2667" s="2" t="s">
        <v>3</v>
      </c>
      <c r="C2667" s="1" t="str">
        <f>IFERROR(__xludf.DUMMYFUNCTION("GOOGLETRANSLATE(A2667,""en"",""pt-br"")"),"fluentemente")</f>
        <v>fluentemente</v>
      </c>
      <c r="D2667" s="1" t="str">
        <f>IFERROR(__xludf.DUMMYFUNCTION("GOOGLETRANSLATE(B2667,""en"",""pt-br"")"),"negativo")</f>
        <v>negativo</v>
      </c>
    </row>
    <row r="2668" ht="15.75" customHeight="1">
      <c r="A2668" s="2" t="s">
        <v>2667</v>
      </c>
      <c r="B2668" s="2" t="s">
        <v>14</v>
      </c>
      <c r="C2668" s="1" t="str">
        <f>IFERROR(__xludf.DUMMYFUNCTION("GOOGLETRANSLATE(A2668,""en"",""pt-br"")"),"vislumbre")</f>
        <v>vislumbre</v>
      </c>
      <c r="D2668" s="1" t="str">
        <f>IFERROR(__xludf.DUMMYFUNCTION("GOOGLETRANSLATE(B2668,""en"",""pt-br"")"),"positivo")</f>
        <v>positivo</v>
      </c>
    </row>
    <row r="2669" ht="15.75" customHeight="1">
      <c r="A2669" s="2" t="s">
        <v>2668</v>
      </c>
      <c r="B2669" s="2" t="s">
        <v>14</v>
      </c>
      <c r="C2669" s="1" t="str">
        <f>IFERROR(__xludf.DUMMYFUNCTION("GOOGLETRANSLATE(A2669,""en"",""pt-br"")"),"brilhando")</f>
        <v>brilhando</v>
      </c>
      <c r="D2669" s="1" t="str">
        <f>IFERROR(__xludf.DUMMYFUNCTION("GOOGLETRANSLATE(B2669,""en"",""pt-br"")"),"positivo")</f>
        <v>positivo</v>
      </c>
    </row>
    <row r="2670" ht="15.75" customHeight="1">
      <c r="A2670" s="2" t="s">
        <v>2669</v>
      </c>
      <c r="B2670" s="2" t="s">
        <v>14</v>
      </c>
      <c r="C2670" s="1" t="str">
        <f>IFERROR(__xludf.DUMMYFUNCTION("GOOGLETRANSLATE(A2670,""en"",""pt-br"")"),"brilhar")</f>
        <v>brilhar</v>
      </c>
      <c r="D2670" s="1" t="str">
        <f>IFERROR(__xludf.DUMMYFUNCTION("GOOGLETRANSLATE(B2670,""en"",""pt-br"")"),"positivo")</f>
        <v>positivo</v>
      </c>
    </row>
    <row r="2671" ht="15.75" customHeight="1">
      <c r="A2671" s="2" t="s">
        <v>2670</v>
      </c>
      <c r="B2671" s="2" t="s">
        <v>14</v>
      </c>
      <c r="C2671" s="1" t="str">
        <f>IFERROR(__xludf.DUMMYFUNCTION("GOOGLETRANSLATE(A2671,""en"",""pt-br"")"),"brilhando")</f>
        <v>brilhando</v>
      </c>
      <c r="D2671" s="1" t="str">
        <f>IFERROR(__xludf.DUMMYFUNCTION("GOOGLETRANSLATE(B2671,""en"",""pt-br"")"),"positivo")</f>
        <v>positivo</v>
      </c>
    </row>
    <row r="2672" ht="15.75" customHeight="1">
      <c r="A2672" s="2" t="s">
        <v>2671</v>
      </c>
      <c r="B2672" s="2" t="s">
        <v>3</v>
      </c>
      <c r="C2672" s="1" t="str">
        <f>IFERROR(__xludf.DUMMYFUNCTION("GOOGLETRANSLATE(A2672,""en"",""pt-br"")"),"falha")</f>
        <v>falha</v>
      </c>
      <c r="D2672" s="1" t="str">
        <f>IFERROR(__xludf.DUMMYFUNCTION("GOOGLETRANSLATE(B2672,""en"",""pt-br"")"),"negativo")</f>
        <v>negativo</v>
      </c>
    </row>
    <row r="2673" ht="15.75" customHeight="1">
      <c r="A2673" s="2" t="s">
        <v>2672</v>
      </c>
      <c r="B2673" s="2" t="s">
        <v>3</v>
      </c>
      <c r="C2673" s="1" t="str">
        <f>IFERROR(__xludf.DUMMYFUNCTION("GOOGLETRANSLATE(A2673,""en"",""pt-br"")"),"falhas")</f>
        <v>falhas</v>
      </c>
      <c r="D2673" s="1" t="str">
        <f>IFERROR(__xludf.DUMMYFUNCTION("GOOGLETRANSLATE(B2673,""en"",""pt-br"")"),"negativo")</f>
        <v>negativo</v>
      </c>
    </row>
    <row r="2674" ht="15.75" customHeight="1">
      <c r="A2674" s="2" t="s">
        <v>2673</v>
      </c>
      <c r="B2674" s="2" t="s">
        <v>14</v>
      </c>
      <c r="C2674" s="1" t="str">
        <f>IFERROR(__xludf.DUMMYFUNCTION("GOOGLETRANSLATE(A2674,""en"",""pt-br"")"),"brilho")</f>
        <v>brilho</v>
      </c>
      <c r="D2674" s="1" t="str">
        <f>IFERROR(__xludf.DUMMYFUNCTION("GOOGLETRANSLATE(B2674,""en"",""pt-br"")"),"positivo")</f>
        <v>positivo</v>
      </c>
    </row>
    <row r="2675" ht="15.75" customHeight="1">
      <c r="A2675" s="2" t="s">
        <v>2674</v>
      </c>
      <c r="B2675" s="2" t="s">
        <v>14</v>
      </c>
      <c r="C2675" s="1" t="str">
        <f>IFERROR(__xludf.DUMMYFUNCTION("GOOGLETRANSLATE(A2675,""en"",""pt-br"")"),"glitz")</f>
        <v>glitz</v>
      </c>
      <c r="D2675" s="1" t="str">
        <f>IFERROR(__xludf.DUMMYFUNCTION("GOOGLETRANSLATE(B2675,""en"",""pt-br"")"),"positivo")</f>
        <v>positivo</v>
      </c>
    </row>
    <row r="2676" ht="15.75" customHeight="1">
      <c r="A2676" s="2" t="s">
        <v>2675</v>
      </c>
      <c r="B2676" s="2" t="s">
        <v>3</v>
      </c>
      <c r="C2676" s="1" t="str">
        <f>IFERROR(__xludf.DUMMYFUNCTION("GOOGLETRANSLATE(A2676,""en"",""pt-br"")"),"maldosamente")</f>
        <v>maldosamente</v>
      </c>
      <c r="D2676" s="1" t="str">
        <f>IFERROR(__xludf.DUMMYFUNCTION("GOOGLETRANSLATE(B2676,""en"",""pt-br"")"),"negativo")</f>
        <v>negativo</v>
      </c>
    </row>
    <row r="2677" ht="15.75" customHeight="1">
      <c r="A2677" s="2" t="s">
        <v>2676</v>
      </c>
      <c r="B2677" s="2" t="s">
        <v>3</v>
      </c>
      <c r="C2677" s="1" t="str">
        <f>IFERROR(__xludf.DUMMYFUNCTION("GOOGLETRANSLATE(A2677,""en"",""pt-br"")"),"melancolia")</f>
        <v>melancolia</v>
      </c>
      <c r="D2677" s="1" t="str">
        <f>IFERROR(__xludf.DUMMYFUNCTION("GOOGLETRANSLATE(B2677,""en"",""pt-br"")"),"negativo")</f>
        <v>negativo</v>
      </c>
    </row>
    <row r="2678" ht="15.75" customHeight="1">
      <c r="A2678" s="2" t="s">
        <v>2677</v>
      </c>
      <c r="B2678" s="2" t="s">
        <v>3</v>
      </c>
      <c r="C2678" s="1" t="str">
        <f>IFERROR(__xludf.DUMMYFUNCTION("GOOGLETRANSLATE(A2678,""en"",""pt-br"")"),"sombrio")</f>
        <v>sombrio</v>
      </c>
      <c r="D2678" s="1" t="str">
        <f>IFERROR(__xludf.DUMMYFUNCTION("GOOGLETRANSLATE(B2678,""en"",""pt-br"")"),"negativo")</f>
        <v>negativo</v>
      </c>
    </row>
    <row r="2679" ht="15.75" customHeight="1">
      <c r="A2679" s="2" t="s">
        <v>2678</v>
      </c>
      <c r="B2679" s="2" t="s">
        <v>14</v>
      </c>
      <c r="C2679" s="1" t="str">
        <f>IFERROR(__xludf.DUMMYFUNCTION("GOOGLETRANSLATE(A2679,""en"",""pt-br"")"),"glorificar")</f>
        <v>glorificar</v>
      </c>
      <c r="D2679" s="1" t="str">
        <f>IFERROR(__xludf.DUMMYFUNCTION("GOOGLETRANSLATE(B2679,""en"",""pt-br"")"),"positivo")</f>
        <v>positivo</v>
      </c>
    </row>
    <row r="2680" ht="15.75" customHeight="1">
      <c r="A2680" s="2" t="s">
        <v>2679</v>
      </c>
      <c r="B2680" s="2" t="s">
        <v>14</v>
      </c>
      <c r="C2680" s="1" t="str">
        <f>IFERROR(__xludf.DUMMYFUNCTION("GOOGLETRANSLATE(A2680,""en"",""pt-br"")"),"glorioso")</f>
        <v>glorioso</v>
      </c>
      <c r="D2680" s="1" t="str">
        <f>IFERROR(__xludf.DUMMYFUNCTION("GOOGLETRANSLATE(B2680,""en"",""pt-br"")"),"positivo")</f>
        <v>positivo</v>
      </c>
    </row>
    <row r="2681" ht="15.75" customHeight="1">
      <c r="A2681" s="2" t="s">
        <v>2680</v>
      </c>
      <c r="B2681" s="2" t="s">
        <v>14</v>
      </c>
      <c r="C2681" s="1" t="str">
        <f>IFERROR(__xludf.DUMMYFUNCTION("GOOGLETRANSLATE(A2681,""en"",""pt-br"")"),"gloriosamente")</f>
        <v>gloriosamente</v>
      </c>
      <c r="D2681" s="1" t="str">
        <f>IFERROR(__xludf.DUMMYFUNCTION("GOOGLETRANSLATE(B2681,""en"",""pt-br"")"),"positivo")</f>
        <v>positivo</v>
      </c>
    </row>
    <row r="2682" ht="15.75" customHeight="1">
      <c r="A2682" s="2" t="s">
        <v>2681</v>
      </c>
      <c r="B2682" s="2" t="s">
        <v>14</v>
      </c>
      <c r="C2682" s="1" t="str">
        <f>IFERROR(__xludf.DUMMYFUNCTION("GOOGLETRANSLATE(A2682,""en"",""pt-br"")"),"glória")</f>
        <v>glória</v>
      </c>
      <c r="D2682" s="1" t="str">
        <f>IFERROR(__xludf.DUMMYFUNCTION("GOOGLETRANSLATE(B2682,""en"",""pt-br"")"),"positivo")</f>
        <v>positivo</v>
      </c>
    </row>
    <row r="2683" ht="15.75" customHeight="1">
      <c r="A2683" s="2" t="s">
        <v>2682</v>
      </c>
      <c r="B2683" s="2" t="s">
        <v>14</v>
      </c>
      <c r="C2683" s="1" t="str">
        <f>IFERROR(__xludf.DUMMYFUNCTION("GOOGLETRANSLATE(A2683,""en"",""pt-br"")"),"brilho")</f>
        <v>brilho</v>
      </c>
      <c r="D2683" s="1" t="str">
        <f>IFERROR(__xludf.DUMMYFUNCTION("GOOGLETRANSLATE(B2683,""en"",""pt-br"")"),"positivo")</f>
        <v>positivo</v>
      </c>
    </row>
    <row r="2684" ht="15.75" customHeight="1">
      <c r="A2684" s="2" t="s">
        <v>2683</v>
      </c>
      <c r="B2684" s="2" t="s">
        <v>3</v>
      </c>
      <c r="C2684" s="1" t="str">
        <f>IFERROR(__xludf.DUMMYFUNCTION("GOOGLETRANSLATE(A2684,""en"",""pt-br"")"),"glower")</f>
        <v>glower</v>
      </c>
      <c r="D2684" s="1" t="str">
        <f>IFERROR(__xludf.DUMMYFUNCTION("GOOGLETRANSLATE(B2684,""en"",""pt-br"")"),"negativo")</f>
        <v>negativo</v>
      </c>
    </row>
    <row r="2685" ht="15.75" customHeight="1">
      <c r="A2685" s="2" t="s">
        <v>2684</v>
      </c>
      <c r="B2685" s="2" t="s">
        <v>14</v>
      </c>
      <c r="C2685" s="1" t="str">
        <f>IFERROR(__xludf.DUMMYFUNCTION("GOOGLETRANSLATE(A2685,""en"",""pt-br"")"),"incandescente")</f>
        <v>incandescente</v>
      </c>
      <c r="D2685" s="1" t="str">
        <f>IFERROR(__xludf.DUMMYFUNCTION("GOOGLETRANSLATE(B2685,""en"",""pt-br"")"),"positivo")</f>
        <v>positivo</v>
      </c>
    </row>
    <row r="2686" ht="15.75" customHeight="1">
      <c r="A2686" s="2" t="s">
        <v>2685</v>
      </c>
      <c r="B2686" s="2" t="s">
        <v>14</v>
      </c>
      <c r="C2686" s="1" t="str">
        <f>IFERROR(__xludf.DUMMYFUNCTION("GOOGLETRANSLATE(A2686,""en"",""pt-br"")"),"glowingly")</f>
        <v>glowingly</v>
      </c>
      <c r="D2686" s="1" t="str">
        <f>IFERROR(__xludf.DUMMYFUNCTION("GOOGLETRANSLATE(B2686,""en"",""pt-br"")"),"positivo")</f>
        <v>positivo</v>
      </c>
    </row>
    <row r="2687" ht="15.75" customHeight="1">
      <c r="A2687" s="2" t="s">
        <v>2686</v>
      </c>
      <c r="B2687" s="2" t="s">
        <v>3</v>
      </c>
      <c r="C2687" s="1" t="str">
        <f>IFERROR(__xludf.DUMMYFUNCTION("GOOGLETRANSLATE(A2687,""en"",""pt-br"")"),"carrancudo")</f>
        <v>carrancudo</v>
      </c>
      <c r="D2687" s="1" t="str">
        <f>IFERROR(__xludf.DUMMYFUNCTION("GOOGLETRANSLATE(B2687,""en"",""pt-br"")"),"negativo")</f>
        <v>negativo</v>
      </c>
    </row>
    <row r="2688" ht="15.75" customHeight="1">
      <c r="A2688" s="2" t="s">
        <v>2687</v>
      </c>
      <c r="B2688" s="2" t="s">
        <v>3</v>
      </c>
      <c r="C2688" s="1" t="str">
        <f>IFERROR(__xludf.DUMMYFUNCTION("GOOGLETRANSLATE(A2688,""en"",""pt-br"")"),"excesso")</f>
        <v>excesso</v>
      </c>
      <c r="D2688" s="1" t="str">
        <f>IFERROR(__xludf.DUMMYFUNCTION("GOOGLETRANSLATE(B2688,""en"",""pt-br"")"),"negativo")</f>
        <v>negativo</v>
      </c>
    </row>
    <row r="2689" ht="15.75" customHeight="1">
      <c r="A2689" s="2" t="s">
        <v>2688</v>
      </c>
      <c r="B2689" s="2" t="s">
        <v>3</v>
      </c>
      <c r="C2689" s="1" t="str">
        <f>IFERROR(__xludf.DUMMYFUNCTION("GOOGLETRANSLATE(A2689,""en"",""pt-br"")"),"roer")</f>
        <v>roer</v>
      </c>
      <c r="D2689" s="1" t="str">
        <f>IFERROR(__xludf.DUMMYFUNCTION("GOOGLETRANSLATE(B2689,""en"",""pt-br"")"),"negativo")</f>
        <v>negativo</v>
      </c>
    </row>
    <row r="2690" ht="15.75" customHeight="1">
      <c r="A2690" s="2" t="s">
        <v>2689</v>
      </c>
      <c r="B2690" s="2" t="s">
        <v>3</v>
      </c>
      <c r="C2690" s="1" t="str">
        <f>IFERROR(__xludf.DUMMYFUNCTION("GOOGLETRANSLATE(A2690,""en"",""pt-br"")"),"incitar")</f>
        <v>incitar</v>
      </c>
      <c r="D2690" s="1" t="str">
        <f>IFERROR(__xludf.DUMMYFUNCTION("GOOGLETRANSLATE(B2690,""en"",""pt-br"")"),"negativo")</f>
        <v>negativo</v>
      </c>
    </row>
    <row r="2691" ht="15.75" customHeight="1">
      <c r="A2691" s="2" t="s">
        <v>2690</v>
      </c>
      <c r="B2691" s="2" t="s">
        <v>3</v>
      </c>
      <c r="C2691" s="1" t="str">
        <f>IFERROR(__xludf.DUMMYFUNCTION("GOOGLETRANSLATE(A2691,""en"",""pt-br"")"),"goading")</f>
        <v>goading</v>
      </c>
      <c r="D2691" s="1" t="str">
        <f>IFERROR(__xludf.DUMMYFUNCTION("GOOGLETRANSLATE(B2691,""en"",""pt-br"")"),"negativo")</f>
        <v>negativo</v>
      </c>
    </row>
    <row r="2692" ht="15.75" customHeight="1">
      <c r="A2692" s="2" t="s">
        <v>2691</v>
      </c>
      <c r="B2692" s="2" t="s">
        <v>3</v>
      </c>
      <c r="C2692" s="1" t="str">
        <f>IFERROR(__xludf.DUMMYFUNCTION("GOOGLETRANSLATE(A2692,""en"",""pt-br"")"),"muito desagradável")</f>
        <v>muito desagradável</v>
      </c>
      <c r="D2692" s="1" t="str">
        <f>IFERROR(__xludf.DUMMYFUNCTION("GOOGLETRANSLATE(B2692,""en"",""pt-br"")"),"negativo")</f>
        <v>negativo</v>
      </c>
    </row>
    <row r="2693" ht="15.75" customHeight="1">
      <c r="A2693" s="2" t="s">
        <v>2692</v>
      </c>
      <c r="B2693" s="2" t="s">
        <v>14</v>
      </c>
      <c r="C2693" s="1" t="str">
        <f>IFERROR(__xludf.DUMMYFUNCTION("GOOGLETRANSLATE(A2693,""en"",""pt-br"")"),"concedido por Deus")</f>
        <v>concedido por Deus</v>
      </c>
      <c r="D2693" s="1" t="str">
        <f>IFERROR(__xludf.DUMMYFUNCTION("GOOGLETRANSLATE(B2693,""en"",""pt-br"")"),"positivo")</f>
        <v>positivo</v>
      </c>
    </row>
    <row r="2694" ht="15.75" customHeight="1">
      <c r="A2694" s="2" t="s">
        <v>2693</v>
      </c>
      <c r="B2694" s="2" t="s">
        <v>14</v>
      </c>
      <c r="C2694" s="1" t="str">
        <f>IFERROR(__xludf.DUMMYFUNCTION("GOOGLETRANSLATE(A2694,""en"",""pt-br"")"),"god-send")</f>
        <v>god-send</v>
      </c>
      <c r="D2694" s="1" t="str">
        <f>IFERROR(__xludf.DUMMYFUNCTION("GOOGLETRANSLATE(B2694,""en"",""pt-br"")"),"positivo")</f>
        <v>positivo</v>
      </c>
    </row>
    <row r="2695" ht="15.75" customHeight="1">
      <c r="A2695" s="2" t="s">
        <v>2694</v>
      </c>
      <c r="B2695" s="2" t="s">
        <v>14</v>
      </c>
      <c r="C2695" s="1" t="str">
        <f>IFERROR(__xludf.DUMMYFUNCTION("GOOGLETRANSLATE(A2695,""en"",""pt-br"")"),"divino")</f>
        <v>divino</v>
      </c>
      <c r="D2695" s="1" t="str">
        <f>IFERROR(__xludf.DUMMYFUNCTION("GOOGLETRANSLATE(B2695,""en"",""pt-br"")"),"positivo")</f>
        <v>positivo</v>
      </c>
    </row>
    <row r="2696" ht="15.75" customHeight="1">
      <c r="A2696" s="2" t="s">
        <v>2695</v>
      </c>
      <c r="B2696" s="2" t="s">
        <v>14</v>
      </c>
      <c r="C2696" s="1" t="str">
        <f>IFERROR(__xludf.DUMMYFUNCTION("GOOGLETRANSLATE(A2696,""en"",""pt-br"")"),"dádiva")</f>
        <v>dádiva</v>
      </c>
      <c r="D2696" s="1" t="str">
        <f>IFERROR(__xludf.DUMMYFUNCTION("GOOGLETRANSLATE(B2696,""en"",""pt-br"")"),"positivo")</f>
        <v>positivo</v>
      </c>
    </row>
    <row r="2697" ht="15.75" customHeight="1">
      <c r="A2697" s="2" t="s">
        <v>2696</v>
      </c>
      <c r="B2697" s="2" t="s">
        <v>14</v>
      </c>
      <c r="C2697" s="1" t="str">
        <f>IFERROR(__xludf.DUMMYFUNCTION("GOOGLETRANSLATE(A2697,""en"",""pt-br"")"),"ouro")</f>
        <v>ouro</v>
      </c>
      <c r="D2697" s="1" t="str">
        <f>IFERROR(__xludf.DUMMYFUNCTION("GOOGLETRANSLATE(B2697,""en"",""pt-br"")"),"positivo")</f>
        <v>positivo</v>
      </c>
    </row>
    <row r="2698" ht="15.75" customHeight="1">
      <c r="A2698" s="2" t="s">
        <v>2697</v>
      </c>
      <c r="B2698" s="2" t="s">
        <v>14</v>
      </c>
      <c r="C2698" s="1" t="str">
        <f>IFERROR(__xludf.DUMMYFUNCTION("GOOGLETRANSLATE(A2698,""en"",""pt-br"")"),"dourado")</f>
        <v>dourado</v>
      </c>
      <c r="D2698" s="1" t="str">
        <f>IFERROR(__xludf.DUMMYFUNCTION("GOOGLETRANSLATE(B2698,""en"",""pt-br"")"),"positivo")</f>
        <v>positivo</v>
      </c>
    </row>
    <row r="2699" ht="15.75" customHeight="1">
      <c r="A2699" s="2" t="s">
        <v>2698</v>
      </c>
      <c r="B2699" s="2" t="s">
        <v>14</v>
      </c>
      <c r="C2699" s="1" t="str">
        <f>IFERROR(__xludf.DUMMYFUNCTION("GOOGLETRANSLATE(A2699,""en"",""pt-br"")"),"Boa")</f>
        <v>Boa</v>
      </c>
      <c r="D2699" s="1" t="str">
        <f>IFERROR(__xludf.DUMMYFUNCTION("GOOGLETRANSLATE(B2699,""en"",""pt-br"")"),"positivo")</f>
        <v>positivo</v>
      </c>
    </row>
    <row r="2700" ht="15.75" customHeight="1">
      <c r="A2700" s="2" t="s">
        <v>2699</v>
      </c>
      <c r="B2700" s="2" t="s">
        <v>14</v>
      </c>
      <c r="C2700" s="1" t="str">
        <f>IFERROR(__xludf.DUMMYFUNCTION("GOOGLETRANSLATE(A2700,""en"",""pt-br"")"),"considerável")</f>
        <v>considerável</v>
      </c>
      <c r="D2700" s="1" t="str">
        <f>IFERROR(__xludf.DUMMYFUNCTION("GOOGLETRANSLATE(B2700,""en"",""pt-br"")"),"positivo")</f>
        <v>positivo</v>
      </c>
    </row>
    <row r="2701" ht="15.75" customHeight="1">
      <c r="A2701" s="2" t="s">
        <v>2700</v>
      </c>
      <c r="B2701" s="2" t="s">
        <v>14</v>
      </c>
      <c r="C2701" s="1" t="str">
        <f>IFERROR(__xludf.DUMMYFUNCTION("GOOGLETRANSLATE(A2701,""en"",""pt-br"")"),"bondade")</f>
        <v>bondade</v>
      </c>
      <c r="D2701" s="1" t="str">
        <f>IFERROR(__xludf.DUMMYFUNCTION("GOOGLETRANSLATE(B2701,""en"",""pt-br"")"),"positivo")</f>
        <v>positivo</v>
      </c>
    </row>
    <row r="2702" ht="15.75" customHeight="1">
      <c r="A2702" s="2" t="s">
        <v>2701</v>
      </c>
      <c r="B2702" s="2" t="s">
        <v>14</v>
      </c>
      <c r="C2702" s="1" t="str">
        <f>IFERROR(__xludf.DUMMYFUNCTION("GOOGLETRANSLATE(A2702,""en"",""pt-br"")"),"boa vontade")</f>
        <v>boa vontade</v>
      </c>
      <c r="D2702" s="1" t="str">
        <f>IFERROR(__xludf.DUMMYFUNCTION("GOOGLETRANSLATE(B2702,""en"",""pt-br"")"),"positivo")</f>
        <v>positivo</v>
      </c>
    </row>
    <row r="2703" ht="15.75" customHeight="1">
      <c r="A2703" s="2" t="s">
        <v>2702</v>
      </c>
      <c r="B2703" s="2" t="s">
        <v>3</v>
      </c>
      <c r="C2703" s="1" t="str">
        <f>IFERROR(__xludf.DUMMYFUNCTION("GOOGLETRANSLATE(A2703,""en"",""pt-br"")"),"pateta")</f>
        <v>pateta</v>
      </c>
      <c r="D2703" s="1" t="str">
        <f>IFERROR(__xludf.DUMMYFUNCTION("GOOGLETRANSLATE(B2703,""en"",""pt-br"")"),"negativo")</f>
        <v>negativo</v>
      </c>
    </row>
    <row r="2704" ht="15.75" customHeight="1">
      <c r="A2704" s="2" t="s">
        <v>2703</v>
      </c>
      <c r="B2704" s="2" t="s">
        <v>3</v>
      </c>
      <c r="C2704" s="1" t="str">
        <f>IFERROR(__xludf.DUMMYFUNCTION("GOOGLETRANSLATE(A2704,""en"",""pt-br"")"),"pateta")</f>
        <v>pateta</v>
      </c>
      <c r="D2704" s="1" t="str">
        <f>IFERROR(__xludf.DUMMYFUNCTION("GOOGLETRANSLATE(B2704,""en"",""pt-br"")"),"negativo")</f>
        <v>negativo</v>
      </c>
    </row>
    <row r="2705" ht="15.75" customHeight="1">
      <c r="A2705" s="2" t="s">
        <v>2704</v>
      </c>
      <c r="B2705" s="2" t="s">
        <v>3</v>
      </c>
      <c r="C2705" s="1" t="str">
        <f>IFERROR(__xludf.DUMMYFUNCTION("GOOGLETRANSLATE(A2705,""en"",""pt-br"")"),"continue")</f>
        <v>continue</v>
      </c>
      <c r="D2705" s="1" t="str">
        <f>IFERROR(__xludf.DUMMYFUNCTION("GOOGLETRANSLATE(B2705,""en"",""pt-br"")"),"negativo")</f>
        <v>negativo</v>
      </c>
    </row>
    <row r="2706" ht="15.75" customHeight="1">
      <c r="A2706" s="2" t="s">
        <v>2705</v>
      </c>
      <c r="B2706" s="2" t="s">
        <v>14</v>
      </c>
      <c r="C2706" s="1" t="str">
        <f>IFERROR(__xludf.DUMMYFUNCTION("GOOGLETRANSLATE(A2706,""en"",""pt-br"")"),"goood")</f>
        <v>goood</v>
      </c>
      <c r="D2706" s="1" t="str">
        <f>IFERROR(__xludf.DUMMYFUNCTION("GOOGLETRANSLATE(B2706,""en"",""pt-br"")"),"positivo")</f>
        <v>positivo</v>
      </c>
    </row>
    <row r="2707" ht="15.75" customHeight="1">
      <c r="A2707" s="2" t="s">
        <v>2706</v>
      </c>
      <c r="B2707" s="2" t="s">
        <v>14</v>
      </c>
      <c r="C2707" s="1" t="str">
        <f>IFERROR(__xludf.DUMMYFUNCTION("GOOGLETRANSLATE(A2707,""en"",""pt-br"")"),"gooood")</f>
        <v>gooood</v>
      </c>
      <c r="D2707" s="1" t="str">
        <f>IFERROR(__xludf.DUMMYFUNCTION("GOOGLETRANSLATE(B2707,""en"",""pt-br"")"),"positivo")</f>
        <v>positivo</v>
      </c>
    </row>
    <row r="2708" ht="15.75" customHeight="1">
      <c r="A2708" s="2" t="s">
        <v>2707</v>
      </c>
      <c r="B2708" s="2" t="s">
        <v>14</v>
      </c>
      <c r="C2708" s="1" t="str">
        <f>IFERROR(__xludf.DUMMYFUNCTION("GOOGLETRANSLATE(A2708,""en"",""pt-br"")"),"linda")</f>
        <v>linda</v>
      </c>
      <c r="D2708" s="1" t="str">
        <f>IFERROR(__xludf.DUMMYFUNCTION("GOOGLETRANSLATE(B2708,""en"",""pt-br"")"),"positivo")</f>
        <v>positivo</v>
      </c>
    </row>
    <row r="2709" ht="15.75" customHeight="1">
      <c r="A2709" s="2" t="s">
        <v>2708</v>
      </c>
      <c r="B2709" s="2" t="s">
        <v>14</v>
      </c>
      <c r="C2709" s="1" t="str">
        <f>IFERROR(__xludf.DUMMYFUNCTION("GOOGLETRANSLATE(A2709,""en"",""pt-br"")"),"gorgeously")</f>
        <v>gorgeously</v>
      </c>
      <c r="D2709" s="1" t="str">
        <f>IFERROR(__xludf.DUMMYFUNCTION("GOOGLETRANSLATE(B2709,""en"",""pt-br"")"),"positivo")</f>
        <v>positivo</v>
      </c>
    </row>
    <row r="2710" ht="15.75" customHeight="1">
      <c r="A2710" s="2" t="s">
        <v>2709</v>
      </c>
      <c r="B2710" s="2" t="s">
        <v>3</v>
      </c>
      <c r="C2710" s="1" t="str">
        <f>IFERROR(__xludf.DUMMYFUNCTION("GOOGLETRANSLATE(A2710,""en"",""pt-br"")"),"fofoca")</f>
        <v>fofoca</v>
      </c>
      <c r="D2710" s="1" t="str">
        <f>IFERROR(__xludf.DUMMYFUNCTION("GOOGLETRANSLATE(B2710,""en"",""pt-br"")"),"negativo")</f>
        <v>negativo</v>
      </c>
    </row>
    <row r="2711" ht="15.75" customHeight="1">
      <c r="A2711" s="2" t="s">
        <v>2710</v>
      </c>
      <c r="B2711" s="2" t="s">
        <v>14</v>
      </c>
      <c r="C2711" s="1" t="str">
        <f>IFERROR(__xludf.DUMMYFUNCTION("GOOGLETRANSLATE(A2711,""en"",""pt-br"")"),"graça")</f>
        <v>graça</v>
      </c>
      <c r="D2711" s="1" t="str">
        <f>IFERROR(__xludf.DUMMYFUNCTION("GOOGLETRANSLATE(B2711,""en"",""pt-br"")"),"positivo")</f>
        <v>positivo</v>
      </c>
    </row>
    <row r="2712" ht="15.75" customHeight="1">
      <c r="A2712" s="2" t="s">
        <v>2711</v>
      </c>
      <c r="B2712" s="2" t="s">
        <v>14</v>
      </c>
      <c r="C2712" s="1" t="str">
        <f>IFERROR(__xludf.DUMMYFUNCTION("GOOGLETRANSLATE(A2712,""en"",""pt-br"")"),"gracioso")</f>
        <v>gracioso</v>
      </c>
      <c r="D2712" s="1" t="str">
        <f>IFERROR(__xludf.DUMMYFUNCTION("GOOGLETRANSLATE(B2712,""en"",""pt-br"")"),"positivo")</f>
        <v>positivo</v>
      </c>
    </row>
    <row r="2713" ht="15.75" customHeight="1">
      <c r="A2713" s="2" t="s">
        <v>2712</v>
      </c>
      <c r="B2713" s="2" t="s">
        <v>14</v>
      </c>
      <c r="C2713" s="1" t="str">
        <f>IFERROR(__xludf.DUMMYFUNCTION("GOOGLETRANSLATE(A2713,""en"",""pt-br"")"),"graciosamente")</f>
        <v>graciosamente</v>
      </c>
      <c r="D2713" s="1" t="str">
        <f>IFERROR(__xludf.DUMMYFUNCTION("GOOGLETRANSLATE(B2713,""en"",""pt-br"")"),"positivo")</f>
        <v>positivo</v>
      </c>
    </row>
    <row r="2714" ht="15.75" customHeight="1">
      <c r="A2714" s="2" t="s">
        <v>2713</v>
      </c>
      <c r="B2714" s="2" t="s">
        <v>3</v>
      </c>
      <c r="C2714" s="1" t="str">
        <f>IFERROR(__xludf.DUMMYFUNCTION("GOOGLETRANSLATE(A2714,""en"",""pt-br"")"),"sem graça")</f>
        <v>sem graça</v>
      </c>
      <c r="D2714" s="1" t="str">
        <f>IFERROR(__xludf.DUMMYFUNCTION("GOOGLETRANSLATE(B2714,""en"",""pt-br"")"),"negativo")</f>
        <v>negativo</v>
      </c>
    </row>
    <row r="2715" ht="15.75" customHeight="1">
      <c r="A2715" s="2" t="s">
        <v>2714</v>
      </c>
      <c r="B2715" s="2" t="s">
        <v>3</v>
      </c>
      <c r="C2715" s="1" t="str">
        <f>IFERROR(__xludf.DUMMYFUNCTION("GOOGLETRANSLATE(A2715,""en"",""pt-br"")"),"gracelessly")</f>
        <v>gracelessly</v>
      </c>
      <c r="D2715" s="1" t="str">
        <f>IFERROR(__xludf.DUMMYFUNCTION("GOOGLETRANSLATE(B2715,""en"",""pt-br"")"),"negativo")</f>
        <v>negativo</v>
      </c>
    </row>
    <row r="2716" ht="15.75" customHeight="1">
      <c r="A2716" s="2" t="s">
        <v>2715</v>
      </c>
      <c r="B2716" s="2" t="s">
        <v>14</v>
      </c>
      <c r="C2716" s="1" t="str">
        <f>IFERROR(__xludf.DUMMYFUNCTION("GOOGLETRANSLATE(A2716,""en"",""pt-br"")"),"gracioso")</f>
        <v>gracioso</v>
      </c>
      <c r="D2716" s="1" t="str">
        <f>IFERROR(__xludf.DUMMYFUNCTION("GOOGLETRANSLATE(B2716,""en"",""pt-br"")"),"positivo")</f>
        <v>positivo</v>
      </c>
    </row>
    <row r="2717" ht="15.75" customHeight="1">
      <c r="A2717" s="2" t="s">
        <v>2716</v>
      </c>
      <c r="B2717" s="2" t="s">
        <v>14</v>
      </c>
      <c r="C2717" s="1" t="str">
        <f>IFERROR(__xludf.DUMMYFUNCTION("GOOGLETRANSLATE(A2717,""en"",""pt-br"")"),"graciosamente")</f>
        <v>graciosamente</v>
      </c>
      <c r="D2717" s="1" t="str">
        <f>IFERROR(__xludf.DUMMYFUNCTION("GOOGLETRANSLATE(B2717,""en"",""pt-br"")"),"positivo")</f>
        <v>positivo</v>
      </c>
    </row>
    <row r="2718" ht="15.75" customHeight="1">
      <c r="A2718" s="2" t="s">
        <v>2717</v>
      </c>
      <c r="B2718" s="2" t="s">
        <v>14</v>
      </c>
      <c r="C2718" s="1" t="str">
        <f>IFERROR(__xludf.DUMMYFUNCTION("GOOGLETRANSLATE(A2718,""en"",""pt-br"")"),"benevolência")</f>
        <v>benevolência</v>
      </c>
      <c r="D2718" s="1" t="str">
        <f>IFERROR(__xludf.DUMMYFUNCTION("GOOGLETRANSLATE(B2718,""en"",""pt-br"")"),"positivo")</f>
        <v>positivo</v>
      </c>
    </row>
    <row r="2719" ht="15.75" customHeight="1">
      <c r="A2719" s="2" t="s">
        <v>2718</v>
      </c>
      <c r="B2719" s="2" t="s">
        <v>3</v>
      </c>
      <c r="C2719" s="1" t="str">
        <f>IFERROR(__xludf.DUMMYFUNCTION("GOOGLETRANSLATE(A2719,""en"",""pt-br"")"),"enxerto")</f>
        <v>enxerto</v>
      </c>
      <c r="D2719" s="1" t="str">
        <f>IFERROR(__xludf.DUMMYFUNCTION("GOOGLETRANSLATE(B2719,""en"",""pt-br"")"),"negativo")</f>
        <v>negativo</v>
      </c>
    </row>
    <row r="2720" ht="15.75" customHeight="1">
      <c r="A2720" s="2" t="s">
        <v>2719</v>
      </c>
      <c r="B2720" s="2" t="s">
        <v>3</v>
      </c>
      <c r="C2720" s="1" t="str">
        <f>IFERROR(__xludf.DUMMYFUNCTION("GOOGLETRANSLATE(A2720,""en"",""pt-br"")"),"granulado")</f>
        <v>granulado</v>
      </c>
      <c r="D2720" s="1" t="str">
        <f>IFERROR(__xludf.DUMMYFUNCTION("GOOGLETRANSLATE(B2720,""en"",""pt-br"")"),"negativo")</f>
        <v>negativo</v>
      </c>
    </row>
    <row r="2721" ht="15.75" customHeight="1">
      <c r="A2721" s="2" t="s">
        <v>2720</v>
      </c>
      <c r="B2721" s="2" t="s">
        <v>14</v>
      </c>
      <c r="C2721" s="1" t="str">
        <f>IFERROR(__xludf.DUMMYFUNCTION("GOOGLETRANSLATE(A2721,""en"",""pt-br"")"),"grande")</f>
        <v>grande</v>
      </c>
      <c r="D2721" s="1" t="str">
        <f>IFERROR(__xludf.DUMMYFUNCTION("GOOGLETRANSLATE(B2721,""en"",""pt-br"")"),"positivo")</f>
        <v>positivo</v>
      </c>
    </row>
    <row r="2722" ht="15.75" customHeight="1">
      <c r="A2722" s="2" t="s">
        <v>2721</v>
      </c>
      <c r="B2722" s="2" t="s">
        <v>14</v>
      </c>
      <c r="C2722" s="1" t="str">
        <f>IFERROR(__xludf.DUMMYFUNCTION("GOOGLETRANSLATE(A2722,""en"",""pt-br"")"),"grandeza")</f>
        <v>grandeza</v>
      </c>
      <c r="D2722" s="1" t="str">
        <f>IFERROR(__xludf.DUMMYFUNCTION("GOOGLETRANSLATE(B2722,""en"",""pt-br"")"),"positivo")</f>
        <v>positivo</v>
      </c>
    </row>
    <row r="2723" ht="15.75" customHeight="1">
      <c r="A2723" s="2" t="s">
        <v>2722</v>
      </c>
      <c r="B2723" s="2" t="s">
        <v>3</v>
      </c>
      <c r="C2723" s="1" t="str">
        <f>IFERROR(__xludf.DUMMYFUNCTION("GOOGLETRANSLATE(A2723,""en"",""pt-br"")"),"agarrar")</f>
        <v>agarrar</v>
      </c>
      <c r="D2723" s="1" t="str">
        <f>IFERROR(__xludf.DUMMYFUNCTION("GOOGLETRANSLATE(B2723,""en"",""pt-br"")"),"negativo")</f>
        <v>negativo</v>
      </c>
    </row>
    <row r="2724" ht="15.75" customHeight="1">
      <c r="A2724" s="2" t="s">
        <v>2723</v>
      </c>
      <c r="B2724" s="2" t="s">
        <v>3</v>
      </c>
      <c r="C2724" s="1" t="str">
        <f>IFERROR(__xludf.DUMMYFUNCTION("GOOGLETRANSLATE(A2724,""en"",""pt-br"")"),"grato")</f>
        <v>grato</v>
      </c>
      <c r="D2724" s="1" t="str">
        <f>IFERROR(__xludf.DUMMYFUNCTION("GOOGLETRANSLATE(B2724,""en"",""pt-br"")"),"negativo")</f>
        <v>negativo</v>
      </c>
    </row>
    <row r="2725" ht="15.75" customHeight="1">
      <c r="A2725" s="2" t="s">
        <v>2724</v>
      </c>
      <c r="B2725" s="2" t="s">
        <v>14</v>
      </c>
      <c r="C2725" s="1" t="str">
        <f>IFERROR(__xludf.DUMMYFUNCTION("GOOGLETRANSLATE(A2725,""en"",""pt-br"")"),"grato")</f>
        <v>grato</v>
      </c>
      <c r="D2725" s="1" t="str">
        <f>IFERROR(__xludf.DUMMYFUNCTION("GOOGLETRANSLATE(B2725,""en"",""pt-br"")"),"positivo")</f>
        <v>positivo</v>
      </c>
    </row>
    <row r="2726" ht="15.75" customHeight="1">
      <c r="A2726" s="2" t="s">
        <v>2725</v>
      </c>
      <c r="B2726" s="2" t="s">
        <v>14</v>
      </c>
      <c r="C2726" s="1" t="str">
        <f>IFERROR(__xludf.DUMMYFUNCTION("GOOGLETRANSLATE(A2726,""en"",""pt-br"")"),"gratamente")</f>
        <v>gratamente</v>
      </c>
      <c r="D2726" s="1" t="str">
        <f>IFERROR(__xludf.DUMMYFUNCTION("GOOGLETRANSLATE(B2726,""en"",""pt-br"")"),"positivo")</f>
        <v>positivo</v>
      </c>
    </row>
    <row r="2727" ht="15.75" customHeight="1">
      <c r="A2727" s="2" t="s">
        <v>2726</v>
      </c>
      <c r="B2727" s="2" t="s">
        <v>14</v>
      </c>
      <c r="C2727" s="1" t="str">
        <f>IFERROR(__xludf.DUMMYFUNCTION("GOOGLETRANSLATE(A2727,""en"",""pt-br"")"),"gratificação")</f>
        <v>gratificação</v>
      </c>
      <c r="D2727" s="1" t="str">
        <f>IFERROR(__xludf.DUMMYFUNCTION("GOOGLETRANSLATE(B2727,""en"",""pt-br"")"),"positivo")</f>
        <v>positivo</v>
      </c>
    </row>
    <row r="2728" ht="15.75" customHeight="1">
      <c r="A2728" s="2" t="s">
        <v>2727</v>
      </c>
      <c r="B2728" s="2" t="s">
        <v>14</v>
      </c>
      <c r="C2728" s="1" t="str">
        <f>IFERROR(__xludf.DUMMYFUNCTION("GOOGLETRANSLATE(A2728,""en"",""pt-br"")"),"gratificado")</f>
        <v>gratificado</v>
      </c>
      <c r="D2728" s="1" t="str">
        <f>IFERROR(__xludf.DUMMYFUNCTION("GOOGLETRANSLATE(B2728,""en"",""pt-br"")"),"positivo")</f>
        <v>positivo</v>
      </c>
    </row>
    <row r="2729" ht="15.75" customHeight="1">
      <c r="A2729" s="2" t="s">
        <v>2728</v>
      </c>
      <c r="B2729" s="2" t="s">
        <v>14</v>
      </c>
      <c r="C2729" s="1" t="str">
        <f>IFERROR(__xludf.DUMMYFUNCTION("GOOGLETRANSLATE(A2729,""en"",""pt-br"")"),"gratifica")</f>
        <v>gratifica</v>
      </c>
      <c r="D2729" s="1" t="str">
        <f>IFERROR(__xludf.DUMMYFUNCTION("GOOGLETRANSLATE(B2729,""en"",""pt-br"")"),"positivo")</f>
        <v>positivo</v>
      </c>
    </row>
    <row r="2730" ht="15.75" customHeight="1">
      <c r="A2730" s="2" t="s">
        <v>2729</v>
      </c>
      <c r="B2730" s="2" t="s">
        <v>14</v>
      </c>
      <c r="C2730" s="1" t="str">
        <f>IFERROR(__xludf.DUMMYFUNCTION("GOOGLETRANSLATE(A2730,""en"",""pt-br"")"),"satisfazer")</f>
        <v>satisfazer</v>
      </c>
      <c r="D2730" s="1" t="str">
        <f>IFERROR(__xludf.DUMMYFUNCTION("GOOGLETRANSLATE(B2730,""en"",""pt-br"")"),"positivo")</f>
        <v>positivo</v>
      </c>
    </row>
    <row r="2731" ht="15.75" customHeight="1">
      <c r="A2731" s="2" t="s">
        <v>2730</v>
      </c>
      <c r="B2731" s="2" t="s">
        <v>14</v>
      </c>
      <c r="C2731" s="1" t="str">
        <f>IFERROR(__xludf.DUMMYFUNCTION("GOOGLETRANSLATE(A2731,""en"",""pt-br"")"),"gratificante")</f>
        <v>gratificante</v>
      </c>
      <c r="D2731" s="1" t="str">
        <f>IFERROR(__xludf.DUMMYFUNCTION("GOOGLETRANSLATE(B2731,""en"",""pt-br"")"),"positivo")</f>
        <v>positivo</v>
      </c>
    </row>
    <row r="2732" ht="15.75" customHeight="1">
      <c r="A2732" s="2" t="s">
        <v>2731</v>
      </c>
      <c r="B2732" s="2" t="s">
        <v>14</v>
      </c>
      <c r="C2732" s="1" t="str">
        <f>IFERROR(__xludf.DUMMYFUNCTION("GOOGLETRANSLATE(A2732,""en"",""pt-br"")"),"gratifyingly")</f>
        <v>gratifyingly</v>
      </c>
      <c r="D2732" s="1" t="str">
        <f>IFERROR(__xludf.DUMMYFUNCTION("GOOGLETRANSLATE(B2732,""en"",""pt-br"")"),"positivo")</f>
        <v>positivo</v>
      </c>
    </row>
    <row r="2733" ht="15.75" customHeight="1">
      <c r="A2733" s="2" t="s">
        <v>2732</v>
      </c>
      <c r="B2733" s="2" t="s">
        <v>3</v>
      </c>
      <c r="C2733" s="1" t="str">
        <f>IFERROR(__xludf.DUMMYFUNCTION("GOOGLETRANSLATE(A2733,""en"",""pt-br"")"),"grade")</f>
        <v>grade</v>
      </c>
      <c r="D2733" s="1" t="str">
        <f>IFERROR(__xludf.DUMMYFUNCTION("GOOGLETRANSLATE(B2733,""en"",""pt-br"")"),"negativo")</f>
        <v>negativo</v>
      </c>
    </row>
    <row r="2734" ht="15.75" customHeight="1">
      <c r="A2734" s="2" t="s">
        <v>2733</v>
      </c>
      <c r="B2734" s="2" t="s">
        <v>14</v>
      </c>
      <c r="C2734" s="1" t="str">
        <f>IFERROR(__xludf.DUMMYFUNCTION("GOOGLETRANSLATE(A2734,""en"",""pt-br"")"),"gratidão")</f>
        <v>gratidão</v>
      </c>
      <c r="D2734" s="1" t="str">
        <f>IFERROR(__xludf.DUMMYFUNCTION("GOOGLETRANSLATE(B2734,""en"",""pt-br"")"),"positivo")</f>
        <v>positivo</v>
      </c>
    </row>
    <row r="2735" ht="15.75" customHeight="1">
      <c r="A2735" s="2" t="s">
        <v>2734</v>
      </c>
      <c r="B2735" s="2" t="s">
        <v>3</v>
      </c>
      <c r="C2735" s="1" t="str">
        <f>IFERROR(__xludf.DUMMYFUNCTION("GOOGLETRANSLATE(A2735,""en"",""pt-br"")"),"gravemente")</f>
        <v>gravemente</v>
      </c>
      <c r="D2735" s="1" t="str">
        <f>IFERROR(__xludf.DUMMYFUNCTION("GOOGLETRANSLATE(B2735,""en"",""pt-br"")"),"negativo")</f>
        <v>negativo</v>
      </c>
    </row>
    <row r="2736" ht="15.75" customHeight="1">
      <c r="A2736" s="2" t="s">
        <v>2735</v>
      </c>
      <c r="B2736" s="2" t="s">
        <v>3</v>
      </c>
      <c r="C2736" s="1" t="str">
        <f>IFERROR(__xludf.DUMMYFUNCTION("GOOGLETRANSLATE(A2736,""en"",""pt-br"")"),"gorduroso")</f>
        <v>gorduroso</v>
      </c>
      <c r="D2736" s="1" t="str">
        <f>IFERROR(__xludf.DUMMYFUNCTION("GOOGLETRANSLATE(B2736,""en"",""pt-br"")"),"negativo")</f>
        <v>negativo</v>
      </c>
    </row>
    <row r="2737" ht="15.75" customHeight="1">
      <c r="A2737" s="2" t="s">
        <v>2736</v>
      </c>
      <c r="B2737" s="2" t="s">
        <v>14</v>
      </c>
      <c r="C2737" s="1" t="str">
        <f>IFERROR(__xludf.DUMMYFUNCTION("GOOGLETRANSLATE(A2737,""en"",""pt-br"")"),"ótimo")</f>
        <v>ótimo</v>
      </c>
      <c r="D2737" s="1" t="str">
        <f>IFERROR(__xludf.DUMMYFUNCTION("GOOGLETRANSLATE(B2737,""en"",""pt-br"")"),"positivo")</f>
        <v>positivo</v>
      </c>
    </row>
    <row r="2738" ht="15.75" customHeight="1">
      <c r="A2738" s="2" t="s">
        <v>2737</v>
      </c>
      <c r="B2738" s="2" t="s">
        <v>14</v>
      </c>
      <c r="C2738" s="1" t="str">
        <f>IFERROR(__xludf.DUMMYFUNCTION("GOOGLETRANSLATE(A2738,""en"",""pt-br"")"),"maior")</f>
        <v>maior</v>
      </c>
      <c r="D2738" s="1" t="str">
        <f>IFERROR(__xludf.DUMMYFUNCTION("GOOGLETRANSLATE(B2738,""en"",""pt-br"")"),"positivo")</f>
        <v>positivo</v>
      </c>
    </row>
    <row r="2739" ht="15.75" customHeight="1">
      <c r="A2739" s="2" t="s">
        <v>2738</v>
      </c>
      <c r="B2739" s="2" t="s">
        <v>14</v>
      </c>
      <c r="C2739" s="1" t="str">
        <f>IFERROR(__xludf.DUMMYFUNCTION("GOOGLETRANSLATE(A2739,""en"",""pt-br"")"),"grandeza")</f>
        <v>grandeza</v>
      </c>
      <c r="D2739" s="1" t="str">
        <f>IFERROR(__xludf.DUMMYFUNCTION("GOOGLETRANSLATE(B2739,""en"",""pt-br"")"),"positivo")</f>
        <v>positivo</v>
      </c>
    </row>
    <row r="2740" ht="15.75" customHeight="1">
      <c r="A2740" s="2" t="s">
        <v>2739</v>
      </c>
      <c r="B2740" s="2" t="s">
        <v>3</v>
      </c>
      <c r="C2740" s="1" t="str">
        <f>IFERROR(__xludf.DUMMYFUNCTION("GOOGLETRANSLATE(A2740,""en"",""pt-br"")"),"ganância")</f>
        <v>ganância</v>
      </c>
      <c r="D2740" s="1" t="str">
        <f>IFERROR(__xludf.DUMMYFUNCTION("GOOGLETRANSLATE(B2740,""en"",""pt-br"")"),"negativo")</f>
        <v>negativo</v>
      </c>
    </row>
    <row r="2741" ht="15.75" customHeight="1">
      <c r="A2741" s="2" t="s">
        <v>2740</v>
      </c>
      <c r="B2741" s="2" t="s">
        <v>3</v>
      </c>
      <c r="C2741" s="1" t="str">
        <f>IFERROR(__xludf.DUMMYFUNCTION("GOOGLETRANSLATE(A2741,""en"",""pt-br"")"),"ávido")</f>
        <v>ávido</v>
      </c>
      <c r="D2741" s="1" t="str">
        <f>IFERROR(__xludf.DUMMYFUNCTION("GOOGLETRANSLATE(B2741,""en"",""pt-br"")"),"negativo")</f>
        <v>negativo</v>
      </c>
    </row>
    <row r="2742" ht="15.75" customHeight="1">
      <c r="A2742" s="2" t="s">
        <v>2741</v>
      </c>
      <c r="B2742" s="2" t="s">
        <v>3</v>
      </c>
      <c r="C2742" s="1" t="str">
        <f>IFERROR(__xludf.DUMMYFUNCTION("GOOGLETRANSLATE(A2742,""en"",""pt-br"")"),"aflição")</f>
        <v>aflição</v>
      </c>
      <c r="D2742" s="1" t="str">
        <f>IFERROR(__xludf.DUMMYFUNCTION("GOOGLETRANSLATE(B2742,""en"",""pt-br"")"),"negativo")</f>
        <v>negativo</v>
      </c>
    </row>
    <row r="2743" ht="15.75" customHeight="1">
      <c r="A2743" s="2" t="s">
        <v>2742</v>
      </c>
      <c r="B2743" s="2" t="s">
        <v>3</v>
      </c>
      <c r="C2743" s="1" t="str">
        <f>IFERROR(__xludf.DUMMYFUNCTION("GOOGLETRANSLATE(A2743,""en"",""pt-br"")"),"queixa")</f>
        <v>queixa</v>
      </c>
      <c r="D2743" s="1" t="str">
        <f>IFERROR(__xludf.DUMMYFUNCTION("GOOGLETRANSLATE(B2743,""en"",""pt-br"")"),"negativo")</f>
        <v>negativo</v>
      </c>
    </row>
    <row r="2744" ht="15.75" customHeight="1">
      <c r="A2744" s="2" t="s">
        <v>2743</v>
      </c>
      <c r="B2744" s="2" t="s">
        <v>3</v>
      </c>
      <c r="C2744" s="1" t="str">
        <f>IFERROR(__xludf.DUMMYFUNCTION("GOOGLETRANSLATE(A2744,""en"",""pt-br"")"),"queixas")</f>
        <v>queixas</v>
      </c>
      <c r="D2744" s="1" t="str">
        <f>IFERROR(__xludf.DUMMYFUNCTION("GOOGLETRANSLATE(B2744,""en"",""pt-br"")"),"negativo")</f>
        <v>negativo</v>
      </c>
    </row>
    <row r="2745" ht="15.75" customHeight="1">
      <c r="A2745" s="2" t="s">
        <v>2744</v>
      </c>
      <c r="B2745" s="2" t="s">
        <v>3</v>
      </c>
      <c r="C2745" s="1" t="str">
        <f>IFERROR(__xludf.DUMMYFUNCTION("GOOGLETRANSLATE(A2745,""en"",""pt-br"")"),"Grieve")</f>
        <v>Grieve</v>
      </c>
      <c r="D2745" s="1" t="str">
        <f>IFERROR(__xludf.DUMMYFUNCTION("GOOGLETRANSLATE(B2745,""en"",""pt-br"")"),"negativo")</f>
        <v>negativo</v>
      </c>
    </row>
    <row r="2746" ht="15.75" customHeight="1">
      <c r="A2746" s="2" t="s">
        <v>2745</v>
      </c>
      <c r="B2746" s="2" t="s">
        <v>3</v>
      </c>
      <c r="C2746" s="1" t="str">
        <f>IFERROR(__xludf.DUMMYFUNCTION("GOOGLETRANSLATE(A2746,""en"",""pt-br"")"),"luto")</f>
        <v>luto</v>
      </c>
      <c r="D2746" s="1" t="str">
        <f>IFERROR(__xludf.DUMMYFUNCTION("GOOGLETRANSLATE(B2746,""en"",""pt-br"")"),"negativo")</f>
        <v>negativo</v>
      </c>
    </row>
    <row r="2747" ht="15.75" customHeight="1">
      <c r="A2747" s="2" t="s">
        <v>2746</v>
      </c>
      <c r="B2747" s="2" t="s">
        <v>3</v>
      </c>
      <c r="C2747" s="1" t="str">
        <f>IFERROR(__xludf.DUMMYFUNCTION("GOOGLETRANSLATE(A2747,""en"",""pt-br"")"),"grave")</f>
        <v>grave</v>
      </c>
      <c r="D2747" s="1" t="str">
        <f>IFERROR(__xludf.DUMMYFUNCTION("GOOGLETRANSLATE(B2747,""en"",""pt-br"")"),"negativo")</f>
        <v>negativo</v>
      </c>
    </row>
    <row r="2748" ht="15.75" customHeight="1">
      <c r="A2748" s="2" t="s">
        <v>2747</v>
      </c>
      <c r="B2748" s="2" t="s">
        <v>3</v>
      </c>
      <c r="C2748" s="1" t="str">
        <f>IFERROR(__xludf.DUMMYFUNCTION("GOOGLETRANSLATE(A2748,""en"",""pt-br"")"),"gravemente")</f>
        <v>gravemente</v>
      </c>
      <c r="D2748" s="1" t="str">
        <f>IFERROR(__xludf.DUMMYFUNCTION("GOOGLETRANSLATE(B2748,""en"",""pt-br"")"),"negativo")</f>
        <v>negativo</v>
      </c>
    </row>
    <row r="2749" ht="15.75" customHeight="1">
      <c r="A2749" s="2" t="s">
        <v>2748</v>
      </c>
      <c r="B2749" s="2" t="s">
        <v>3</v>
      </c>
      <c r="C2749" s="1" t="str">
        <f>IFERROR(__xludf.DUMMYFUNCTION("GOOGLETRANSLATE(A2749,""en"",""pt-br"")"),"severo")</f>
        <v>severo</v>
      </c>
      <c r="D2749" s="1" t="str">
        <f>IFERROR(__xludf.DUMMYFUNCTION("GOOGLETRANSLATE(B2749,""en"",""pt-br"")"),"negativo")</f>
        <v>negativo</v>
      </c>
    </row>
    <row r="2750" ht="15.75" customHeight="1">
      <c r="A2750" s="2" t="s">
        <v>2749</v>
      </c>
      <c r="B2750" s="2" t="s">
        <v>3</v>
      </c>
      <c r="C2750" s="1" t="str">
        <f>IFERROR(__xludf.DUMMYFUNCTION("GOOGLETRANSLATE(A2750,""en"",""pt-br"")"),"careta")</f>
        <v>careta</v>
      </c>
      <c r="D2750" s="1" t="str">
        <f>IFERROR(__xludf.DUMMYFUNCTION("GOOGLETRANSLATE(B2750,""en"",""pt-br"")"),"negativo")</f>
        <v>negativo</v>
      </c>
    </row>
    <row r="2751" ht="15.75" customHeight="1">
      <c r="A2751" s="2" t="s">
        <v>2750</v>
      </c>
      <c r="B2751" s="2" t="s">
        <v>14</v>
      </c>
      <c r="C2751" s="1" t="str">
        <f>IFERROR(__xludf.DUMMYFUNCTION("GOOGLETRANSLATE(A2751,""en"",""pt-br"")"),"sorriso largo")</f>
        <v>sorriso largo</v>
      </c>
      <c r="D2751" s="1" t="str">
        <f>IFERROR(__xludf.DUMMYFUNCTION("GOOGLETRANSLATE(B2751,""en"",""pt-br"")"),"positivo")</f>
        <v>positivo</v>
      </c>
    </row>
    <row r="2752" ht="15.75" customHeight="1">
      <c r="A2752" s="2" t="s">
        <v>2751</v>
      </c>
      <c r="B2752" s="2" t="s">
        <v>3</v>
      </c>
      <c r="C2752" s="1" t="str">
        <f>IFERROR(__xludf.DUMMYFUNCTION("GOOGLETRANSLATE(A2752,""en"",""pt-br"")"),"moer")</f>
        <v>moer</v>
      </c>
      <c r="D2752" s="1" t="str">
        <f>IFERROR(__xludf.DUMMYFUNCTION("GOOGLETRANSLATE(B2752,""en"",""pt-br"")"),"negativo")</f>
        <v>negativo</v>
      </c>
    </row>
    <row r="2753" ht="15.75" customHeight="1">
      <c r="A2753" s="2" t="s">
        <v>2752</v>
      </c>
      <c r="B2753" s="2" t="s">
        <v>3</v>
      </c>
      <c r="C2753" s="1" t="str">
        <f>IFERROR(__xludf.DUMMYFUNCTION("GOOGLETRANSLATE(A2753,""en"",""pt-br"")"),"agarramento")</f>
        <v>agarramento</v>
      </c>
      <c r="D2753" s="1" t="str">
        <f>IFERROR(__xludf.DUMMYFUNCTION("GOOGLETRANSLATE(B2753,""en"",""pt-br"")"),"negativo")</f>
        <v>negativo</v>
      </c>
    </row>
    <row r="2754" ht="15.75" customHeight="1">
      <c r="A2754" s="2" t="s">
        <v>2753</v>
      </c>
      <c r="B2754" s="2" t="s">
        <v>3</v>
      </c>
      <c r="C2754" s="1" t="str">
        <f>IFERROR(__xludf.DUMMYFUNCTION("GOOGLETRANSLATE(A2754,""en"",""pt-br"")"),"cólicas")</f>
        <v>cólicas</v>
      </c>
      <c r="D2754" s="1" t="str">
        <f>IFERROR(__xludf.DUMMYFUNCTION("GOOGLETRANSLATE(B2754,""en"",""pt-br"")"),"negativo")</f>
        <v>negativo</v>
      </c>
    </row>
    <row r="2755" ht="15.75" customHeight="1">
      <c r="A2755" s="2" t="s">
        <v>2754</v>
      </c>
      <c r="B2755" s="2" t="s">
        <v>3</v>
      </c>
      <c r="C2755" s="1" t="str">
        <f>IFERROR(__xludf.DUMMYFUNCTION("GOOGLETRANSLATE(A2755,""en"",""pt-br"")"),"macabro")</f>
        <v>macabro</v>
      </c>
      <c r="D2755" s="1" t="str">
        <f>IFERROR(__xludf.DUMMYFUNCTION("GOOGLETRANSLATE(B2755,""en"",""pt-br"")"),"negativo")</f>
        <v>negativo</v>
      </c>
    </row>
    <row r="2756" ht="15.75" customHeight="1">
      <c r="A2756" s="2" t="s">
        <v>2755</v>
      </c>
      <c r="B2756" s="2" t="s">
        <v>3</v>
      </c>
      <c r="C2756" s="1" t="str">
        <f>IFERROR(__xludf.DUMMYFUNCTION("GOOGLETRANSLATE(A2756,""en"",""pt-br"")"),"arenoso")</f>
        <v>arenoso</v>
      </c>
      <c r="D2756" s="1" t="str">
        <f>IFERROR(__xludf.DUMMYFUNCTION("GOOGLETRANSLATE(B2756,""en"",""pt-br"")"),"negativo")</f>
        <v>negativo</v>
      </c>
    </row>
    <row r="2757" ht="15.75" customHeight="1">
      <c r="A2757" s="2" t="s">
        <v>2756</v>
      </c>
      <c r="B2757" s="2" t="s">
        <v>3</v>
      </c>
      <c r="C2757" s="1" t="str">
        <f>IFERROR(__xludf.DUMMYFUNCTION("GOOGLETRANSLATE(A2757,""en"",""pt-br"")"),"Bruto")</f>
        <v>Bruto</v>
      </c>
      <c r="D2757" s="1" t="str">
        <f>IFERROR(__xludf.DUMMYFUNCTION("GOOGLETRANSLATE(B2757,""en"",""pt-br"")"),"negativo")</f>
        <v>negativo</v>
      </c>
    </row>
    <row r="2758" ht="15.75" customHeight="1">
      <c r="A2758" s="2" t="s">
        <v>2757</v>
      </c>
      <c r="B2758" s="2" t="s">
        <v>3</v>
      </c>
      <c r="C2758" s="1" t="str">
        <f>IFERROR(__xludf.DUMMYFUNCTION("GOOGLETRANSLATE(A2758,""en"",""pt-br"")"),"grosseiramente")</f>
        <v>grosseiramente</v>
      </c>
      <c r="D2758" s="1" t="str">
        <f>IFERROR(__xludf.DUMMYFUNCTION("GOOGLETRANSLATE(B2758,""en"",""pt-br"")"),"negativo")</f>
        <v>negativo</v>
      </c>
    </row>
    <row r="2759" ht="15.75" customHeight="1">
      <c r="A2759" s="2" t="s">
        <v>2758</v>
      </c>
      <c r="B2759" s="2" t="s">
        <v>3</v>
      </c>
      <c r="C2759" s="1" t="str">
        <f>IFERROR(__xludf.DUMMYFUNCTION("GOOGLETRANSLATE(A2759,""en"",""pt-br"")"),"grotesco")</f>
        <v>grotesco</v>
      </c>
      <c r="D2759" s="1" t="str">
        <f>IFERROR(__xludf.DUMMYFUNCTION("GOOGLETRANSLATE(B2759,""en"",""pt-br"")"),"negativo")</f>
        <v>negativo</v>
      </c>
    </row>
    <row r="2760" ht="15.75" customHeight="1">
      <c r="A2760" s="2" t="s">
        <v>2759</v>
      </c>
      <c r="B2760" s="2" t="s">
        <v>3</v>
      </c>
      <c r="C2760" s="1" t="str">
        <f>IFERROR(__xludf.DUMMYFUNCTION("GOOGLETRANSLATE(A2760,""en"",""pt-br"")"),"resmungão")</f>
        <v>resmungão</v>
      </c>
      <c r="D2760" s="1" t="str">
        <f>IFERROR(__xludf.DUMMYFUNCTION("GOOGLETRANSLATE(B2760,""en"",""pt-br"")"),"negativo")</f>
        <v>negativo</v>
      </c>
    </row>
    <row r="2761" ht="15.75" customHeight="1">
      <c r="A2761" s="2" t="s">
        <v>2760</v>
      </c>
      <c r="B2761" s="2" t="s">
        <v>3</v>
      </c>
      <c r="C2761" s="1" t="str">
        <f>IFERROR(__xludf.DUMMYFUNCTION("GOOGLETRANSLATE(A2761,""en"",""pt-br"")"),"aborrecido")</f>
        <v>aborrecido</v>
      </c>
      <c r="D2761" s="1" t="str">
        <f>IFERROR(__xludf.DUMMYFUNCTION("GOOGLETRANSLATE(B2761,""en"",""pt-br"")"),"negativo")</f>
        <v>negativo</v>
      </c>
    </row>
    <row r="2762" ht="15.75" customHeight="1">
      <c r="A2762" s="2" t="s">
        <v>2761</v>
      </c>
      <c r="B2762" s="2" t="s">
        <v>14</v>
      </c>
      <c r="C2762" s="1" t="str">
        <f>IFERROR(__xludf.DUMMYFUNCTION("GOOGLETRANSLATE(A2762,""en"",""pt-br"")"),"inovador")</f>
        <v>inovador</v>
      </c>
      <c r="D2762" s="1" t="str">
        <f>IFERROR(__xludf.DUMMYFUNCTION("GOOGLETRANSLATE(B2762,""en"",""pt-br"")"),"positivo")</f>
        <v>positivo</v>
      </c>
    </row>
    <row r="2763" ht="15.75" customHeight="1">
      <c r="A2763" s="2" t="s">
        <v>2762</v>
      </c>
      <c r="B2763" s="2" t="s">
        <v>3</v>
      </c>
      <c r="C2763" s="1" t="str">
        <f>IFERROR(__xludf.DUMMYFUNCTION("GOOGLETRANSLATE(A2763,""en"",""pt-br"")"),"infundado")</f>
        <v>infundado</v>
      </c>
      <c r="D2763" s="1" t="str">
        <f>IFERROR(__xludf.DUMMYFUNCTION("GOOGLETRANSLATE(B2763,""en"",""pt-br"")"),"negativo")</f>
        <v>negativo</v>
      </c>
    </row>
    <row r="2764" ht="15.75" customHeight="1">
      <c r="A2764" s="2" t="s">
        <v>2763</v>
      </c>
      <c r="B2764" s="2" t="s">
        <v>3</v>
      </c>
      <c r="C2764" s="1" t="str">
        <f>IFERROR(__xludf.DUMMYFUNCTION("GOOGLETRANSLATE(A2764,""en"",""pt-br"")"),"lamentação")</f>
        <v>lamentação</v>
      </c>
      <c r="D2764" s="1" t="str">
        <f>IFERROR(__xludf.DUMMYFUNCTION("GOOGLETRANSLATE(B2764,""en"",""pt-br"")"),"negativo")</f>
        <v>negativo</v>
      </c>
    </row>
    <row r="2765" ht="15.75" customHeight="1">
      <c r="A2765" s="2" t="s">
        <v>2764</v>
      </c>
      <c r="B2765" s="2" t="s">
        <v>3</v>
      </c>
      <c r="C2765" s="1" t="str">
        <f>IFERROR(__xludf.DUMMYFUNCTION("GOOGLETRANSLATE(A2765,""en"",""pt-br"")"),"rosnar")</f>
        <v>rosnar</v>
      </c>
      <c r="D2765" s="1" t="str">
        <f>IFERROR(__xludf.DUMMYFUNCTION("GOOGLETRANSLATE(B2765,""en"",""pt-br"")"),"negativo")</f>
        <v>negativo</v>
      </c>
    </row>
    <row r="2766" ht="15.75" customHeight="1">
      <c r="A2766" s="2" t="s">
        <v>2765</v>
      </c>
      <c r="B2766" s="2" t="s">
        <v>3</v>
      </c>
      <c r="C2766" s="1" t="str">
        <f>IFERROR(__xludf.DUMMYFUNCTION("GOOGLETRANSLATE(A2766,""en"",""pt-br"")"),"rancor")</f>
        <v>rancor</v>
      </c>
      <c r="D2766" s="1" t="str">
        <f>IFERROR(__xludf.DUMMYFUNCTION("GOOGLETRANSLATE(B2766,""en"",""pt-br"")"),"negativo")</f>
        <v>negativo</v>
      </c>
    </row>
    <row r="2767" ht="15.75" customHeight="1">
      <c r="A2767" s="2" t="s">
        <v>2766</v>
      </c>
      <c r="B2767" s="2" t="s">
        <v>3</v>
      </c>
      <c r="C2767" s="1" t="str">
        <f>IFERROR(__xludf.DUMMYFUNCTION("GOOGLETRANSLATE(A2767,""en"",""pt-br"")"),"rancores")</f>
        <v>rancores</v>
      </c>
      <c r="D2767" s="1" t="str">
        <f>IFERROR(__xludf.DUMMYFUNCTION("GOOGLETRANSLATE(B2767,""en"",""pt-br"")"),"negativo")</f>
        <v>negativo</v>
      </c>
    </row>
    <row r="2768" ht="15.75" customHeight="1">
      <c r="A2768" s="2" t="s">
        <v>2767</v>
      </c>
      <c r="B2768" s="2" t="s">
        <v>3</v>
      </c>
      <c r="C2768" s="1" t="str">
        <f>IFERROR(__xludf.DUMMYFUNCTION("GOOGLETRANSLATE(A2768,""en"",""pt-br"")"),"invejoso")</f>
        <v>invejoso</v>
      </c>
      <c r="D2768" s="1" t="str">
        <f>IFERROR(__xludf.DUMMYFUNCTION("GOOGLETRANSLATE(B2768,""en"",""pt-br"")"),"negativo")</f>
        <v>negativo</v>
      </c>
    </row>
    <row r="2769" ht="15.75" customHeight="1">
      <c r="A2769" s="2" t="s">
        <v>2768</v>
      </c>
      <c r="B2769" s="2" t="s">
        <v>3</v>
      </c>
      <c r="C2769" s="1" t="str">
        <f>IFERROR(__xludf.DUMMYFUNCTION("GOOGLETRANSLATE(A2769,""en"",""pt-br"")"),"de má vontade")</f>
        <v>de má vontade</v>
      </c>
      <c r="D2769" s="1" t="str">
        <f>IFERROR(__xludf.DUMMYFUNCTION("GOOGLETRANSLATE(B2769,""en"",""pt-br"")"),"negativo")</f>
        <v>negativo</v>
      </c>
    </row>
    <row r="2770" ht="15.75" customHeight="1">
      <c r="A2770" s="2" t="s">
        <v>2769</v>
      </c>
      <c r="B2770" s="2" t="s">
        <v>3</v>
      </c>
      <c r="C2770" s="1" t="str">
        <f>IFERROR(__xludf.DUMMYFUNCTION("GOOGLETRANSLATE(A2770,""en"",""pt-br"")"),"horrível")</f>
        <v>horrível</v>
      </c>
      <c r="D2770" s="1" t="str">
        <f>IFERROR(__xludf.DUMMYFUNCTION("GOOGLETRANSLATE(B2770,""en"",""pt-br"")"),"negativo")</f>
        <v>negativo</v>
      </c>
    </row>
    <row r="2771" ht="15.75" customHeight="1">
      <c r="A2771" s="2" t="s">
        <v>2770</v>
      </c>
      <c r="B2771" s="2" t="s">
        <v>3</v>
      </c>
      <c r="C2771" s="1" t="str">
        <f>IFERROR(__xludf.DUMMYFUNCTION("GOOGLETRANSLATE(A2771,""en"",""pt-br"")"),"gruesomely")</f>
        <v>gruesomely</v>
      </c>
      <c r="D2771" s="1" t="str">
        <f>IFERROR(__xludf.DUMMYFUNCTION("GOOGLETRANSLATE(B2771,""en"",""pt-br"")"),"negativo")</f>
        <v>negativo</v>
      </c>
    </row>
    <row r="2772" ht="15.75" customHeight="1">
      <c r="A2772" s="2" t="s">
        <v>2771</v>
      </c>
      <c r="B2772" s="2" t="s">
        <v>3</v>
      </c>
      <c r="C2772" s="1" t="str">
        <f>IFERROR(__xludf.DUMMYFUNCTION("GOOGLETRANSLATE(A2772,""en"",""pt-br"")"),"áspero")</f>
        <v>áspero</v>
      </c>
      <c r="D2772" s="1" t="str">
        <f>IFERROR(__xludf.DUMMYFUNCTION("GOOGLETRANSLATE(B2772,""en"",""pt-br"")"),"negativo")</f>
        <v>negativo</v>
      </c>
    </row>
    <row r="2773" ht="15.75" customHeight="1">
      <c r="A2773" s="2" t="s">
        <v>2772</v>
      </c>
      <c r="B2773" s="2" t="s">
        <v>3</v>
      </c>
      <c r="C2773" s="1" t="str">
        <f>IFERROR(__xludf.DUMMYFUNCTION("GOOGLETRANSLATE(A2773,""en"",""pt-br"")"),"resmungar")</f>
        <v>resmungar</v>
      </c>
      <c r="D2773" s="1" t="str">
        <f>IFERROR(__xludf.DUMMYFUNCTION("GOOGLETRANSLATE(B2773,""en"",""pt-br"")"),"negativo")</f>
        <v>negativo</v>
      </c>
    </row>
    <row r="2774" ht="15.75" customHeight="1">
      <c r="A2774" s="2" t="s">
        <v>2773</v>
      </c>
      <c r="B2774" s="2" t="s">
        <v>3</v>
      </c>
      <c r="C2774" s="1" t="str">
        <f>IFERROR(__xludf.DUMMYFUNCTION("GOOGLETRANSLATE(A2774,""en"",""pt-br"")"),"grumpier")</f>
        <v>grumpier</v>
      </c>
      <c r="D2774" s="1" t="str">
        <f>IFERROR(__xludf.DUMMYFUNCTION("GOOGLETRANSLATE(B2774,""en"",""pt-br"")"),"negativo")</f>
        <v>negativo</v>
      </c>
    </row>
    <row r="2775" ht="15.75" customHeight="1">
      <c r="A2775" s="2" t="s">
        <v>2774</v>
      </c>
      <c r="B2775" s="2" t="s">
        <v>3</v>
      </c>
      <c r="C2775" s="1" t="str">
        <f>IFERROR(__xludf.DUMMYFUNCTION("GOOGLETRANSLATE(A2775,""en"",""pt-br"")"),"grumpiest")</f>
        <v>grumpiest</v>
      </c>
      <c r="D2775" s="1" t="str">
        <f>IFERROR(__xludf.DUMMYFUNCTION("GOOGLETRANSLATE(B2775,""en"",""pt-br"")"),"negativo")</f>
        <v>negativo</v>
      </c>
    </row>
    <row r="2776" ht="15.75" customHeight="1">
      <c r="A2776" s="2" t="s">
        <v>2775</v>
      </c>
      <c r="B2776" s="2" t="s">
        <v>3</v>
      </c>
      <c r="C2776" s="1" t="str">
        <f>IFERROR(__xludf.DUMMYFUNCTION("GOOGLETRANSLATE(A2776,""en"",""pt-br"")"),"grumpily")</f>
        <v>grumpily</v>
      </c>
      <c r="D2776" s="1" t="str">
        <f>IFERROR(__xludf.DUMMYFUNCTION("GOOGLETRANSLATE(B2776,""en"",""pt-br"")"),"negativo")</f>
        <v>negativo</v>
      </c>
    </row>
    <row r="2777" ht="15.75" customHeight="1">
      <c r="A2777" s="2" t="s">
        <v>2776</v>
      </c>
      <c r="B2777" s="2" t="s">
        <v>3</v>
      </c>
      <c r="C2777" s="1" t="str">
        <f>IFERROR(__xludf.DUMMYFUNCTION("GOOGLETRANSLATE(A2777,""en"",""pt-br"")"),"grumpish")</f>
        <v>grumpish</v>
      </c>
      <c r="D2777" s="1" t="str">
        <f>IFERROR(__xludf.DUMMYFUNCTION("GOOGLETRANSLATE(B2777,""en"",""pt-br"")"),"negativo")</f>
        <v>negativo</v>
      </c>
    </row>
    <row r="2778" ht="15.75" customHeight="1">
      <c r="A2778" s="2" t="s">
        <v>2777</v>
      </c>
      <c r="B2778" s="2" t="s">
        <v>3</v>
      </c>
      <c r="C2778" s="1" t="str">
        <f>IFERROR(__xludf.DUMMYFUNCTION("GOOGLETRANSLATE(A2778,""en"",""pt-br"")"),"mal humorado")</f>
        <v>mal humorado</v>
      </c>
      <c r="D2778" s="1" t="str">
        <f>IFERROR(__xludf.DUMMYFUNCTION("GOOGLETRANSLATE(B2778,""en"",""pt-br"")"),"negativo")</f>
        <v>negativo</v>
      </c>
    </row>
    <row r="2779" ht="15.75" customHeight="1">
      <c r="A2779" s="2" t="s">
        <v>2778</v>
      </c>
      <c r="B2779" s="2" t="s">
        <v>14</v>
      </c>
      <c r="C2779" s="1" t="str">
        <f>IFERROR(__xludf.DUMMYFUNCTION("GOOGLETRANSLATE(A2779,""en"",""pt-br"")"),"garantia")</f>
        <v>garantia</v>
      </c>
      <c r="D2779" s="1" t="str">
        <f>IFERROR(__xludf.DUMMYFUNCTION("GOOGLETRANSLATE(B2779,""en"",""pt-br"")"),"positivo")</f>
        <v>positivo</v>
      </c>
    </row>
    <row r="2780" ht="15.75" customHeight="1">
      <c r="A2780" s="2" t="s">
        <v>2779</v>
      </c>
      <c r="B2780" s="2" t="s">
        <v>14</v>
      </c>
      <c r="C2780" s="1" t="str">
        <f>IFERROR(__xludf.DUMMYFUNCTION("GOOGLETRANSLATE(A2780,""en"",""pt-br"")"),"orientação")</f>
        <v>orientação</v>
      </c>
      <c r="D2780" s="1" t="str">
        <f>IFERROR(__xludf.DUMMYFUNCTION("GOOGLETRANSLATE(B2780,""en"",""pt-br"")"),"positivo")</f>
        <v>positivo</v>
      </c>
    </row>
    <row r="2781" ht="15.75" customHeight="1">
      <c r="A2781" s="2" t="s">
        <v>2780</v>
      </c>
      <c r="B2781" s="2" t="s">
        <v>3</v>
      </c>
      <c r="C2781" s="1" t="str">
        <f>IFERROR(__xludf.DUMMYFUNCTION("GOOGLETRANSLATE(A2781,""en"",""pt-br"")"),"astúcia")</f>
        <v>astúcia</v>
      </c>
      <c r="D2781" s="1" t="str">
        <f>IFERROR(__xludf.DUMMYFUNCTION("GOOGLETRANSLATE(B2781,""en"",""pt-br"")"),"negativo")</f>
        <v>negativo</v>
      </c>
    </row>
    <row r="2782" ht="15.75" customHeight="1">
      <c r="A2782" s="2" t="s">
        <v>2781</v>
      </c>
      <c r="B2782" s="2" t="s">
        <v>3</v>
      </c>
      <c r="C2782" s="1" t="str">
        <f>IFERROR(__xludf.DUMMYFUNCTION("GOOGLETRANSLATE(A2782,""en"",""pt-br"")"),"culpa")</f>
        <v>culpa</v>
      </c>
      <c r="D2782" s="1" t="str">
        <f>IFERROR(__xludf.DUMMYFUNCTION("GOOGLETRANSLATE(B2782,""en"",""pt-br"")"),"negativo")</f>
        <v>negativo</v>
      </c>
    </row>
    <row r="2783" ht="15.75" customHeight="1">
      <c r="A2783" s="2" t="s">
        <v>2782</v>
      </c>
      <c r="B2783" s="2" t="s">
        <v>3</v>
      </c>
      <c r="C2783" s="1" t="str">
        <f>IFERROR(__xludf.DUMMYFUNCTION("GOOGLETRANSLATE(A2783,""en"",""pt-br"")"),"culposamente")</f>
        <v>culposamente</v>
      </c>
      <c r="D2783" s="1" t="str">
        <f>IFERROR(__xludf.DUMMYFUNCTION("GOOGLETRANSLATE(B2783,""en"",""pt-br"")"),"negativo")</f>
        <v>negativo</v>
      </c>
    </row>
    <row r="2784" ht="15.75" customHeight="1">
      <c r="A2784" s="2" t="s">
        <v>2783</v>
      </c>
      <c r="B2784" s="2" t="s">
        <v>14</v>
      </c>
      <c r="C2784" s="1" t="str">
        <f>IFERROR(__xludf.DUMMYFUNCTION("GOOGLETRANSLATE(A2784,""en"",""pt-br"")"),"inocente")</f>
        <v>inocente</v>
      </c>
      <c r="D2784" s="1" t="str">
        <f>IFERROR(__xludf.DUMMYFUNCTION("GOOGLETRANSLATE(B2784,""en"",""pt-br"")"),"positivo")</f>
        <v>positivo</v>
      </c>
    </row>
    <row r="2785" ht="15.75" customHeight="1">
      <c r="A2785" s="2" t="s">
        <v>2784</v>
      </c>
      <c r="B2785" s="2" t="s">
        <v>3</v>
      </c>
      <c r="C2785" s="1" t="str">
        <f>IFERROR(__xludf.DUMMYFUNCTION("GOOGLETRANSLATE(A2785,""en"",""pt-br"")"),"culpado")</f>
        <v>culpado</v>
      </c>
      <c r="D2785" s="1" t="str">
        <f>IFERROR(__xludf.DUMMYFUNCTION("GOOGLETRANSLATE(B2785,""en"",""pt-br"")"),"negativo")</f>
        <v>negativo</v>
      </c>
    </row>
    <row r="2786" ht="15.75" customHeight="1">
      <c r="A2786" s="2" t="s">
        <v>2785</v>
      </c>
      <c r="B2786" s="2" t="s">
        <v>3</v>
      </c>
      <c r="C2786" s="1" t="str">
        <f>IFERROR(__xludf.DUMMYFUNCTION("GOOGLETRANSLATE(A2786,""en"",""pt-br"")"),"crédulo")</f>
        <v>crédulo</v>
      </c>
      <c r="D2786" s="1" t="str">
        <f>IFERROR(__xludf.DUMMYFUNCTION("GOOGLETRANSLATE(B2786,""en"",""pt-br"")"),"negativo")</f>
        <v>negativo</v>
      </c>
    </row>
    <row r="2787" ht="15.75" customHeight="1">
      <c r="A2787" s="2" t="s">
        <v>2786</v>
      </c>
      <c r="B2787" s="2" t="s">
        <v>14</v>
      </c>
      <c r="C2787" s="1" t="str">
        <f>IFERROR(__xludf.DUMMYFUNCTION("GOOGLETRANSLATE(A2787,""en"",""pt-br"")"),"bom senso")</f>
        <v>bom senso</v>
      </c>
      <c r="D2787" s="1" t="str">
        <f>IFERROR(__xludf.DUMMYFUNCTION("GOOGLETRANSLATE(B2787,""en"",""pt-br"")"),"positivo")</f>
        <v>positivo</v>
      </c>
    </row>
    <row r="2788" ht="15.75" customHeight="1">
      <c r="A2788" s="2" t="s">
        <v>2787</v>
      </c>
      <c r="B2788" s="2" t="s">
        <v>14</v>
      </c>
      <c r="C2788" s="1" t="str">
        <f>IFERROR(__xludf.DUMMYFUNCTION("GOOGLETRANSLATE(A2788,""en"",""pt-br"")"),"jorro")</f>
        <v>jorro</v>
      </c>
      <c r="D2788" s="1" t="str">
        <f>IFERROR(__xludf.DUMMYFUNCTION("GOOGLETRANSLATE(B2788,""en"",""pt-br"")"),"positivo")</f>
        <v>positivo</v>
      </c>
    </row>
    <row r="2789" ht="15.75" customHeight="1">
      <c r="A2789" s="2" t="s">
        <v>2788</v>
      </c>
      <c r="B2789" s="2" t="s">
        <v>14</v>
      </c>
      <c r="C2789" s="1" t="str">
        <f>IFERROR(__xludf.DUMMYFUNCTION("GOOGLETRANSLATE(A2789,""en"",""pt-br"")"),"gosto")</f>
        <v>gosto</v>
      </c>
      <c r="D2789" s="1" t="str">
        <f>IFERROR(__xludf.DUMMYFUNCTION("GOOGLETRANSLATE(B2789,""en"",""pt-br"")"),"positivo")</f>
        <v>positivo</v>
      </c>
    </row>
    <row r="2790" ht="15.75" customHeight="1">
      <c r="A2790" s="2" t="s">
        <v>2789</v>
      </c>
      <c r="B2790" s="2" t="s">
        <v>3</v>
      </c>
      <c r="C2790" s="1" t="str">
        <f>IFERROR(__xludf.DUMMYFUNCTION("GOOGLETRANSLATE(A2790,""en"",""pt-br"")"),"gutless")</f>
        <v>gutless</v>
      </c>
      <c r="D2790" s="1" t="str">
        <f>IFERROR(__xludf.DUMMYFUNCTION("GOOGLETRANSLATE(B2790,""en"",""pt-br"")"),"negativo")</f>
        <v>negativo</v>
      </c>
    </row>
    <row r="2791" ht="15.75" customHeight="1">
      <c r="A2791" s="2" t="s">
        <v>2790</v>
      </c>
      <c r="B2791" s="2" t="s">
        <v>14</v>
      </c>
      <c r="C2791" s="1" t="str">
        <f>IFERROR(__xludf.DUMMYFUNCTION("GOOGLETRANSLATE(A2791,""en"",""pt-br"")"),"gutsy")</f>
        <v>gutsy</v>
      </c>
      <c r="D2791" s="1" t="str">
        <f>IFERROR(__xludf.DUMMYFUNCTION("GOOGLETRANSLATE(B2791,""en"",""pt-br"")"),"positivo")</f>
        <v>positivo</v>
      </c>
    </row>
    <row r="2792" ht="15.75" customHeight="1">
      <c r="A2792" s="2" t="s">
        <v>2791</v>
      </c>
      <c r="B2792" s="2" t="s">
        <v>3</v>
      </c>
      <c r="C2792" s="1" t="str">
        <f>IFERROR(__xludf.DUMMYFUNCTION("GOOGLETRANSLATE(A2792,""en"",""pt-br"")"),"calha")</f>
        <v>calha</v>
      </c>
      <c r="D2792" s="1" t="str">
        <f>IFERROR(__xludf.DUMMYFUNCTION("GOOGLETRANSLATE(B2792,""en"",""pt-br"")"),"negativo")</f>
        <v>negativo</v>
      </c>
    </row>
    <row r="2793" ht="15.75" customHeight="1">
      <c r="A2793" s="2" t="s">
        <v>2792</v>
      </c>
      <c r="B2793" s="2" t="s">
        <v>3</v>
      </c>
      <c r="C2793" s="1" t="str">
        <f>IFERROR(__xludf.DUMMYFUNCTION("GOOGLETRANSLATE(A2793,""en"",""pt-br"")"),"picareta")</f>
        <v>picareta</v>
      </c>
      <c r="D2793" s="1" t="str">
        <f>IFERROR(__xludf.DUMMYFUNCTION("GOOGLETRANSLATE(B2793,""en"",""pt-br"")"),"negativo")</f>
        <v>negativo</v>
      </c>
    </row>
    <row r="2794" ht="15.75" customHeight="1">
      <c r="A2794" s="2" t="s">
        <v>2793</v>
      </c>
      <c r="B2794" s="2" t="s">
        <v>3</v>
      </c>
      <c r="C2794" s="1" t="str">
        <f>IFERROR(__xludf.DUMMYFUNCTION("GOOGLETRANSLATE(A2794,""en"",""pt-br"")"),"hacks")</f>
        <v>hacks</v>
      </c>
      <c r="D2794" s="1" t="str">
        <f>IFERROR(__xludf.DUMMYFUNCTION("GOOGLETRANSLATE(B2794,""en"",""pt-br"")"),"negativo")</f>
        <v>negativo</v>
      </c>
    </row>
    <row r="2795" ht="15.75" customHeight="1">
      <c r="A2795" s="2" t="s">
        <v>2794</v>
      </c>
      <c r="B2795" s="2" t="s">
        <v>3</v>
      </c>
      <c r="C2795" s="1" t="str">
        <f>IFERROR(__xludf.DUMMYFUNCTION("GOOGLETRANSLATE(A2795,""en"",""pt-br"")"),"desfigurado")</f>
        <v>desfigurado</v>
      </c>
      <c r="D2795" s="1" t="str">
        <f>IFERROR(__xludf.DUMMYFUNCTION("GOOGLETRANSLATE(B2795,""en"",""pt-br"")"),"negativo")</f>
        <v>negativo</v>
      </c>
    </row>
    <row r="2796" ht="15.75" customHeight="1">
      <c r="A2796" s="2" t="s">
        <v>2795</v>
      </c>
      <c r="B2796" s="2" t="s">
        <v>3</v>
      </c>
      <c r="C2796" s="1" t="str">
        <f>IFERROR(__xludf.DUMMYFUNCTION("GOOGLETRANSLATE(A2796,""en"",""pt-br"")"),"pechinchar")</f>
        <v>pechinchar</v>
      </c>
      <c r="D2796" s="1" t="str">
        <f>IFERROR(__xludf.DUMMYFUNCTION("GOOGLETRANSLATE(B2796,""en"",""pt-br"")"),"negativo")</f>
        <v>negativo</v>
      </c>
    </row>
    <row r="2797" ht="15.75" customHeight="1">
      <c r="A2797" s="2" t="s">
        <v>2796</v>
      </c>
      <c r="B2797" s="2" t="s">
        <v>14</v>
      </c>
      <c r="C2797" s="1" t="str">
        <f>IFERROR(__xludf.DUMMYFUNCTION("GOOGLETRANSLATE(A2797,""en"",""pt-br"")"),"saudar")</f>
        <v>saudar</v>
      </c>
      <c r="D2797" s="1" t="str">
        <f>IFERROR(__xludf.DUMMYFUNCTION("GOOGLETRANSLATE(B2797,""en"",""pt-br"")"),"positivo")</f>
        <v>positivo</v>
      </c>
    </row>
    <row r="2798" ht="15.75" customHeight="1">
      <c r="A2798" s="2" t="s">
        <v>2797</v>
      </c>
      <c r="B2798" s="2" t="s">
        <v>3</v>
      </c>
      <c r="C2798" s="1" t="str">
        <f>IFERROR(__xludf.DUMMYFUNCTION("GOOGLETRANSLATE(A2798,""en"",""pt-br"")"),"perda de cabelo")</f>
        <v>perda de cabelo</v>
      </c>
      <c r="D2798" s="1" t="str">
        <f>IFERROR(__xludf.DUMMYFUNCTION("GOOGLETRANSLATE(B2798,""en"",""pt-br"")"),"negativo")</f>
        <v>negativo</v>
      </c>
    </row>
    <row r="2799" ht="15.75" customHeight="1">
      <c r="A2799" s="2" t="s">
        <v>2798</v>
      </c>
      <c r="B2799" s="2" t="s">
        <v>14</v>
      </c>
      <c r="C2799" s="1" t="str">
        <f>IFERROR(__xludf.DUMMYFUNCTION("GOOGLETRANSLATE(A2799,""en"",""pt-br"")"),"idílico")</f>
        <v>idílico</v>
      </c>
      <c r="D2799" s="1" t="str">
        <f>IFERROR(__xludf.DUMMYFUNCTION("GOOGLETRANSLATE(B2799,""en"",""pt-br"")"),"positivo")</f>
        <v>positivo</v>
      </c>
    </row>
    <row r="2800" ht="15.75" customHeight="1">
      <c r="A2800" s="2" t="s">
        <v>2799</v>
      </c>
      <c r="B2800" s="2" t="s">
        <v>14</v>
      </c>
      <c r="C2800" s="1" t="str">
        <f>IFERROR(__xludf.DUMMYFUNCTION("GOOGLETRANSLATE(A2800,""en"",""pt-br"")"),"vigoroso")</f>
        <v>vigoroso</v>
      </c>
      <c r="D2800" s="1" t="str">
        <f>IFERROR(__xludf.DUMMYFUNCTION("GOOGLETRANSLATE(B2800,""en"",""pt-br"")"),"positivo")</f>
        <v>positivo</v>
      </c>
    </row>
    <row r="2801" ht="15.75" customHeight="1">
      <c r="A2801" s="2" t="s">
        <v>2800</v>
      </c>
      <c r="B2801" s="2" t="s">
        <v>3</v>
      </c>
      <c r="C2801" s="1" t="str">
        <f>IFERROR(__xludf.DUMMYFUNCTION("GOOGLETRANSLATE(A2801,""en"",""pt-br"")"),"halfhearted")</f>
        <v>halfhearted</v>
      </c>
      <c r="D2801" s="1" t="str">
        <f>IFERROR(__xludf.DUMMYFUNCTION("GOOGLETRANSLATE(B2801,""en"",""pt-br"")"),"negativo")</f>
        <v>negativo</v>
      </c>
    </row>
    <row r="2802" ht="15.75" customHeight="1">
      <c r="A2802" s="2" t="s">
        <v>2801</v>
      </c>
      <c r="B2802" s="2" t="s">
        <v>3</v>
      </c>
      <c r="C2802" s="1" t="str">
        <f>IFERROR(__xludf.DUMMYFUNCTION("GOOGLETRANSLATE(A2802,""en"",""pt-br"")"),"halfheartedly")</f>
        <v>halfheartedly</v>
      </c>
      <c r="D2802" s="1" t="str">
        <f>IFERROR(__xludf.DUMMYFUNCTION("GOOGLETRANSLATE(B2802,""en"",""pt-br"")"),"negativo")</f>
        <v>negativo</v>
      </c>
    </row>
    <row r="2803" ht="15.75" customHeight="1">
      <c r="A2803" s="2" t="s">
        <v>2802</v>
      </c>
      <c r="B2803" s="2" t="s">
        <v>14</v>
      </c>
      <c r="C2803" s="1" t="str">
        <f>IFERROR(__xludf.DUMMYFUNCTION("GOOGLETRANSLATE(A2803,""en"",""pt-br"")"),"marca")</f>
        <v>marca</v>
      </c>
      <c r="D2803" s="1" t="str">
        <f>IFERROR(__xludf.DUMMYFUNCTION("GOOGLETRANSLATE(B2803,""en"",""pt-br"")"),"positivo")</f>
        <v>positivo</v>
      </c>
    </row>
    <row r="2804" ht="15.75" customHeight="1">
      <c r="A2804" s="2" t="s">
        <v>2803</v>
      </c>
      <c r="B2804" s="2" t="s">
        <v>14</v>
      </c>
      <c r="C2804" s="1" t="str">
        <f>IFERROR(__xludf.DUMMYFUNCTION("GOOGLETRANSLATE(A2804,""en"",""pt-br"")"),"marcas")</f>
        <v>marcas</v>
      </c>
      <c r="D2804" s="1" t="str">
        <f>IFERROR(__xludf.DUMMYFUNCTION("GOOGLETRANSLATE(B2804,""en"",""pt-br"")"),"positivo")</f>
        <v>positivo</v>
      </c>
    </row>
    <row r="2805" ht="15.75" customHeight="1">
      <c r="A2805" s="2" t="s">
        <v>2804</v>
      </c>
      <c r="B2805" s="2" t="s">
        <v>14</v>
      </c>
      <c r="C2805" s="1" t="str">
        <f>IFERROR(__xludf.DUMMYFUNCTION("GOOGLETRANSLATE(A2805,""en"",""pt-br"")"),"santificado")</f>
        <v>santificado</v>
      </c>
      <c r="D2805" s="1" t="str">
        <f>IFERROR(__xludf.DUMMYFUNCTION("GOOGLETRANSLATE(B2805,""en"",""pt-br"")"),"positivo")</f>
        <v>positivo</v>
      </c>
    </row>
    <row r="2806" ht="15.75" customHeight="1">
      <c r="A2806" s="2" t="s">
        <v>2805</v>
      </c>
      <c r="B2806" s="2" t="s">
        <v>3</v>
      </c>
      <c r="C2806" s="1" t="str">
        <f>IFERROR(__xludf.DUMMYFUNCTION("GOOGLETRANSLATE(A2806,""en"",""pt-br"")"),"alucinar")</f>
        <v>alucinar</v>
      </c>
      <c r="D2806" s="1" t="str">
        <f>IFERROR(__xludf.DUMMYFUNCTION("GOOGLETRANSLATE(B2806,""en"",""pt-br"")"),"negativo")</f>
        <v>negativo</v>
      </c>
    </row>
    <row r="2807" ht="15.75" customHeight="1">
      <c r="A2807" s="2" t="s">
        <v>2806</v>
      </c>
      <c r="B2807" s="2" t="s">
        <v>3</v>
      </c>
      <c r="C2807" s="1" t="str">
        <f>IFERROR(__xludf.DUMMYFUNCTION("GOOGLETRANSLATE(A2807,""en"",""pt-br"")"),"alucinação")</f>
        <v>alucinação</v>
      </c>
      <c r="D2807" s="1" t="str">
        <f>IFERROR(__xludf.DUMMYFUNCTION("GOOGLETRANSLATE(B2807,""en"",""pt-br"")"),"negativo")</f>
        <v>negativo</v>
      </c>
    </row>
    <row r="2808" ht="15.75" customHeight="1">
      <c r="A2808" s="2" t="s">
        <v>2807</v>
      </c>
      <c r="B2808" s="2" t="s">
        <v>3</v>
      </c>
      <c r="C2808" s="1" t="str">
        <f>IFERROR(__xludf.DUMMYFUNCTION("GOOGLETRANSLATE(A2808,""en"",""pt-br"")"),"cesto")</f>
        <v>cesto</v>
      </c>
      <c r="D2808" s="1" t="str">
        <f>IFERROR(__xludf.DUMMYFUNCTION("GOOGLETRANSLATE(B2808,""en"",""pt-br"")"),"negativo")</f>
        <v>negativo</v>
      </c>
    </row>
    <row r="2809" ht="15.75" customHeight="1">
      <c r="A2809" s="2" t="s">
        <v>2808</v>
      </c>
      <c r="B2809" s="2" t="s">
        <v>3</v>
      </c>
      <c r="C2809" s="1" t="str">
        <f>IFERROR(__xludf.DUMMYFUNCTION("GOOGLETRANSLATE(A2809,""en"",""pt-br"")"),"dificultada")</f>
        <v>dificultada</v>
      </c>
      <c r="D2809" s="1" t="str">
        <f>IFERROR(__xludf.DUMMYFUNCTION("GOOGLETRANSLATE(B2809,""en"",""pt-br"")"),"negativo")</f>
        <v>negativo</v>
      </c>
    </row>
    <row r="2810" ht="15.75" customHeight="1">
      <c r="A2810" s="2" t="s">
        <v>2809</v>
      </c>
      <c r="B2810" s="2" t="s">
        <v>3</v>
      </c>
      <c r="C2810" s="1" t="str">
        <f>IFERROR(__xludf.DUMMYFUNCTION("GOOGLETRANSLATE(A2810,""en"",""pt-br"")"),"deficientes")</f>
        <v>deficientes</v>
      </c>
      <c r="D2810" s="1" t="str">
        <f>IFERROR(__xludf.DUMMYFUNCTION("GOOGLETRANSLATE(B2810,""en"",""pt-br"")"),"negativo")</f>
        <v>negativo</v>
      </c>
    </row>
    <row r="2811" ht="15.75" customHeight="1">
      <c r="A2811" s="2" t="s">
        <v>2810</v>
      </c>
      <c r="B2811" s="2" t="s">
        <v>14</v>
      </c>
      <c r="C2811" s="1" t="str">
        <f>IFERROR(__xludf.DUMMYFUNCTION("GOOGLETRANSLATE(A2811,""en"",""pt-br"")"),"handier")</f>
        <v>handier</v>
      </c>
      <c r="D2811" s="1" t="str">
        <f>IFERROR(__xludf.DUMMYFUNCTION("GOOGLETRANSLATE(B2811,""en"",""pt-br"")"),"positivo")</f>
        <v>positivo</v>
      </c>
    </row>
    <row r="2812" ht="15.75" customHeight="1">
      <c r="A2812" s="2" t="s">
        <v>2811</v>
      </c>
      <c r="B2812" s="2" t="s">
        <v>14</v>
      </c>
      <c r="C2812" s="1" t="str">
        <f>IFERROR(__xludf.DUMMYFUNCTION("GOOGLETRANSLATE(A2812,""en"",""pt-br"")"),"com folga")</f>
        <v>com folga</v>
      </c>
      <c r="D2812" s="1" t="str">
        <f>IFERROR(__xludf.DUMMYFUNCTION("GOOGLETRANSLATE(B2812,""en"",""pt-br"")"),"positivo")</f>
        <v>positivo</v>
      </c>
    </row>
    <row r="2813" ht="15.75" customHeight="1">
      <c r="A2813" s="2" t="s">
        <v>2812</v>
      </c>
      <c r="B2813" s="2" t="s">
        <v>14</v>
      </c>
      <c r="C2813" s="1" t="str">
        <f>IFERROR(__xludf.DUMMYFUNCTION("GOOGLETRANSLATE(A2813,""en"",""pt-br"")"),"mãos para baixo")</f>
        <v>mãos para baixo</v>
      </c>
      <c r="D2813" s="1" t="str">
        <f>IFERROR(__xludf.DUMMYFUNCTION("GOOGLETRANSLATE(B2813,""en"",""pt-br"")"),"positivo")</f>
        <v>positivo</v>
      </c>
    </row>
    <row r="2814" ht="15.75" customHeight="1">
      <c r="A2814" s="2" t="s">
        <v>2813</v>
      </c>
      <c r="B2814" s="2" t="s">
        <v>14</v>
      </c>
      <c r="C2814" s="1" t="str">
        <f>IFERROR(__xludf.DUMMYFUNCTION("GOOGLETRANSLATE(A2814,""en"",""pt-br"")"),"bonito")</f>
        <v>bonito</v>
      </c>
      <c r="D2814" s="1" t="str">
        <f>IFERROR(__xludf.DUMMYFUNCTION("GOOGLETRANSLATE(B2814,""en"",""pt-br"")"),"positivo")</f>
        <v>positivo</v>
      </c>
    </row>
    <row r="2815" ht="15.75" customHeight="1">
      <c r="A2815" s="2" t="s">
        <v>2814</v>
      </c>
      <c r="B2815" s="2" t="s">
        <v>14</v>
      </c>
      <c r="C2815" s="1" t="str">
        <f>IFERROR(__xludf.DUMMYFUNCTION("GOOGLETRANSLATE(A2815,""en"",""pt-br"")"),"generosamente")</f>
        <v>generosamente</v>
      </c>
      <c r="D2815" s="1" t="str">
        <f>IFERROR(__xludf.DUMMYFUNCTION("GOOGLETRANSLATE(B2815,""en"",""pt-br"")"),"positivo")</f>
        <v>positivo</v>
      </c>
    </row>
    <row r="2816" ht="15.75" customHeight="1">
      <c r="A2816" s="2" t="s">
        <v>2815</v>
      </c>
      <c r="B2816" s="2" t="s">
        <v>14</v>
      </c>
      <c r="C2816" s="1" t="str">
        <f>IFERROR(__xludf.DUMMYFUNCTION("GOOGLETRANSLATE(A2816,""en"",""pt-br"")"),"conveniente")</f>
        <v>conveniente</v>
      </c>
      <c r="D2816" s="1" t="str">
        <f>IFERROR(__xludf.DUMMYFUNCTION("GOOGLETRANSLATE(B2816,""en"",""pt-br"")"),"positivo")</f>
        <v>positivo</v>
      </c>
    </row>
    <row r="2817" ht="15.75" customHeight="1">
      <c r="A2817" s="2" t="s">
        <v>2816</v>
      </c>
      <c r="B2817" s="2" t="s">
        <v>3</v>
      </c>
      <c r="C2817" s="1" t="str">
        <f>IFERROR(__xludf.DUMMYFUNCTION("GOOGLETRANSLATE(A2817,""en"",""pt-br"")"),"aguentar")</f>
        <v>aguentar</v>
      </c>
      <c r="D2817" s="1" t="str">
        <f>IFERROR(__xludf.DUMMYFUNCTION("GOOGLETRANSLATE(B2817,""en"",""pt-br"")"),"negativo")</f>
        <v>negativo</v>
      </c>
    </row>
    <row r="2818" ht="15.75" customHeight="1">
      <c r="A2818" s="2" t="s">
        <v>2817</v>
      </c>
      <c r="B2818" s="2" t="s">
        <v>3</v>
      </c>
      <c r="C2818" s="1" t="str">
        <f>IFERROR(__xludf.DUMMYFUNCTION("GOOGLETRANSLATE(A2818,""en"",""pt-br"")"),"trava")</f>
        <v>trava</v>
      </c>
      <c r="D2818" s="1" t="str">
        <f>IFERROR(__xludf.DUMMYFUNCTION("GOOGLETRANSLATE(B2818,""en"",""pt-br"")"),"negativo")</f>
        <v>negativo</v>
      </c>
    </row>
    <row r="2819" ht="15.75" customHeight="1">
      <c r="A2819" s="2" t="s">
        <v>2818</v>
      </c>
      <c r="B2819" s="2" t="s">
        <v>3</v>
      </c>
      <c r="C2819" s="1" t="str">
        <f>IFERROR(__xludf.DUMMYFUNCTION("GOOGLETRANSLATE(A2819,""en"",""pt-br"")"),"casual")</f>
        <v>casual</v>
      </c>
      <c r="D2819" s="1" t="str">
        <f>IFERROR(__xludf.DUMMYFUNCTION("GOOGLETRANSLATE(B2819,""en"",""pt-br"")"),"negativo")</f>
        <v>negativo</v>
      </c>
    </row>
    <row r="2820" ht="15.75" customHeight="1">
      <c r="A2820" s="2" t="s">
        <v>2819</v>
      </c>
      <c r="B2820" s="2" t="s">
        <v>3</v>
      </c>
      <c r="C2820" s="1" t="str">
        <f>IFERROR(__xludf.DUMMYFUNCTION("GOOGLETRANSLATE(A2820,""en"",""pt-br"")"),"infeliz")</f>
        <v>infeliz</v>
      </c>
      <c r="D2820" s="1" t="str">
        <f>IFERROR(__xludf.DUMMYFUNCTION("GOOGLETRANSLATE(B2820,""en"",""pt-br"")"),"negativo")</f>
        <v>negativo</v>
      </c>
    </row>
    <row r="2821" ht="15.75" customHeight="1">
      <c r="A2821" s="2" t="s">
        <v>2820</v>
      </c>
      <c r="B2821" s="2" t="s">
        <v>14</v>
      </c>
      <c r="C2821" s="1" t="str">
        <f>IFERROR(__xludf.DUMMYFUNCTION("GOOGLETRANSLATE(A2821,""en"",""pt-br"")"),"mais feliz")</f>
        <v>mais feliz</v>
      </c>
      <c r="D2821" s="1" t="str">
        <f>IFERROR(__xludf.DUMMYFUNCTION("GOOGLETRANSLATE(B2821,""en"",""pt-br"")"),"positivo")</f>
        <v>positivo</v>
      </c>
    </row>
    <row r="2822" ht="15.75" customHeight="1">
      <c r="A2822" s="2" t="s">
        <v>2821</v>
      </c>
      <c r="B2822" s="2" t="s">
        <v>14</v>
      </c>
      <c r="C2822" s="1" t="str">
        <f>IFERROR(__xludf.DUMMYFUNCTION("GOOGLETRANSLATE(A2822,""en"",""pt-br"")"),"Felizmente")</f>
        <v>Felizmente</v>
      </c>
      <c r="D2822" s="1" t="str">
        <f>IFERROR(__xludf.DUMMYFUNCTION("GOOGLETRANSLATE(B2822,""en"",""pt-br"")"),"positivo")</f>
        <v>positivo</v>
      </c>
    </row>
    <row r="2823" ht="15.75" customHeight="1">
      <c r="A2823" s="2" t="s">
        <v>2822</v>
      </c>
      <c r="B2823" s="2" t="s">
        <v>14</v>
      </c>
      <c r="C2823" s="1" t="str">
        <f>IFERROR(__xludf.DUMMYFUNCTION("GOOGLETRANSLATE(A2823,""en"",""pt-br"")"),"felicidade")</f>
        <v>felicidade</v>
      </c>
      <c r="D2823" s="1" t="str">
        <f>IFERROR(__xludf.DUMMYFUNCTION("GOOGLETRANSLATE(B2823,""en"",""pt-br"")"),"positivo")</f>
        <v>positivo</v>
      </c>
    </row>
    <row r="2824" ht="15.75" customHeight="1">
      <c r="A2824" s="2" t="s">
        <v>2823</v>
      </c>
      <c r="B2824" s="2" t="s">
        <v>14</v>
      </c>
      <c r="C2824" s="1" t="str">
        <f>IFERROR(__xludf.DUMMYFUNCTION("GOOGLETRANSLATE(A2824,""en"",""pt-br"")"),"feliz")</f>
        <v>feliz</v>
      </c>
      <c r="D2824" s="1" t="str">
        <f>IFERROR(__xludf.DUMMYFUNCTION("GOOGLETRANSLATE(B2824,""en"",""pt-br"")"),"positivo")</f>
        <v>positivo</v>
      </c>
    </row>
    <row r="2825" ht="15.75" customHeight="1">
      <c r="A2825" s="2" t="s">
        <v>2824</v>
      </c>
      <c r="B2825" s="2" t="s">
        <v>3</v>
      </c>
      <c r="C2825" s="1" t="str">
        <f>IFERROR(__xludf.DUMMYFUNCTION("GOOGLETRANSLATE(A2825,""en"",""pt-br"")"),"arenga")</f>
        <v>arenga</v>
      </c>
      <c r="D2825" s="1" t="str">
        <f>IFERROR(__xludf.DUMMYFUNCTION("GOOGLETRANSLATE(B2825,""en"",""pt-br"")"),"negativo")</f>
        <v>negativo</v>
      </c>
    </row>
    <row r="2826" ht="15.75" customHeight="1">
      <c r="A2826" s="2" t="s">
        <v>2825</v>
      </c>
      <c r="B2826" s="2" t="s">
        <v>3</v>
      </c>
      <c r="C2826" s="1" t="str">
        <f>IFERROR(__xludf.DUMMYFUNCTION("GOOGLETRANSLATE(A2826,""en"",""pt-br"")"),"assediar")</f>
        <v>assediar</v>
      </c>
      <c r="D2826" s="1" t="str">
        <f>IFERROR(__xludf.DUMMYFUNCTION("GOOGLETRANSLATE(B2826,""en"",""pt-br"")"),"negativo")</f>
        <v>negativo</v>
      </c>
    </row>
    <row r="2827" ht="15.75" customHeight="1">
      <c r="A2827" s="2" t="s">
        <v>2826</v>
      </c>
      <c r="B2827" s="2" t="s">
        <v>3</v>
      </c>
      <c r="C2827" s="1" t="str">
        <f>IFERROR(__xludf.DUMMYFUNCTION("GOOGLETRANSLATE(A2827,""en"",""pt-br"")"),"assediado")</f>
        <v>assediado</v>
      </c>
      <c r="D2827" s="1" t="str">
        <f>IFERROR(__xludf.DUMMYFUNCTION("GOOGLETRANSLATE(B2827,""en"",""pt-br"")"),"negativo")</f>
        <v>negativo</v>
      </c>
    </row>
    <row r="2828" ht="15.75" customHeight="1">
      <c r="A2828" s="2" t="s">
        <v>2827</v>
      </c>
      <c r="B2828" s="2" t="s">
        <v>3</v>
      </c>
      <c r="C2828" s="1" t="str">
        <f>IFERROR(__xludf.DUMMYFUNCTION("GOOGLETRANSLATE(A2828,""en"",""pt-br"")"),"harasses")</f>
        <v>harasses</v>
      </c>
      <c r="D2828" s="1" t="str">
        <f>IFERROR(__xludf.DUMMYFUNCTION("GOOGLETRANSLATE(B2828,""en"",""pt-br"")"),"negativo")</f>
        <v>negativo</v>
      </c>
    </row>
    <row r="2829" ht="15.75" customHeight="1">
      <c r="A2829" s="2" t="s">
        <v>2828</v>
      </c>
      <c r="B2829" s="2" t="s">
        <v>3</v>
      </c>
      <c r="C2829" s="1" t="str">
        <f>IFERROR(__xludf.DUMMYFUNCTION("GOOGLETRANSLATE(A2829,""en"",""pt-br"")"),"assédio")</f>
        <v>assédio</v>
      </c>
      <c r="D2829" s="1" t="str">
        <f>IFERROR(__xludf.DUMMYFUNCTION("GOOGLETRANSLATE(B2829,""en"",""pt-br"")"),"negativo")</f>
        <v>negativo</v>
      </c>
    </row>
    <row r="2830" ht="15.75" customHeight="1">
      <c r="A2830" s="2" t="s">
        <v>2829</v>
      </c>
      <c r="B2830" s="2" t="s">
        <v>3</v>
      </c>
      <c r="C2830" s="1" t="str">
        <f>IFERROR(__xludf.DUMMYFUNCTION("GOOGLETRANSLATE(A2830,""en"",""pt-br"")"),"abrigando")</f>
        <v>abrigando</v>
      </c>
      <c r="D2830" s="1" t="str">
        <f>IFERROR(__xludf.DUMMYFUNCTION("GOOGLETRANSLATE(B2830,""en"",""pt-br"")"),"negativo")</f>
        <v>negativo</v>
      </c>
    </row>
    <row r="2831" ht="15.75" customHeight="1">
      <c r="A2831" s="2" t="s">
        <v>2830</v>
      </c>
      <c r="B2831" s="2" t="s">
        <v>3</v>
      </c>
      <c r="C2831" s="1" t="str">
        <f>IFERROR(__xludf.DUMMYFUNCTION("GOOGLETRANSLATE(A2831,""en"",""pt-br"")"),"portos")</f>
        <v>portos</v>
      </c>
      <c r="D2831" s="1" t="str">
        <f>IFERROR(__xludf.DUMMYFUNCTION("GOOGLETRANSLATE(B2831,""en"",""pt-br"")"),"negativo")</f>
        <v>negativo</v>
      </c>
    </row>
    <row r="2832" ht="15.75" customHeight="1">
      <c r="A2832" s="2" t="s">
        <v>2831</v>
      </c>
      <c r="B2832" s="2" t="s">
        <v>3</v>
      </c>
      <c r="C2832" s="1" t="str">
        <f>IFERROR(__xludf.DUMMYFUNCTION("GOOGLETRANSLATE(A2832,""en"",""pt-br"")"),"Difícil")</f>
        <v>Difícil</v>
      </c>
      <c r="D2832" s="1" t="str">
        <f>IFERROR(__xludf.DUMMYFUNCTION("GOOGLETRANSLATE(B2832,""en"",""pt-br"")"),"negativo")</f>
        <v>negativo</v>
      </c>
    </row>
    <row r="2833" ht="15.75" customHeight="1">
      <c r="A2833" s="2" t="s">
        <v>2832</v>
      </c>
      <c r="B2833" s="2" t="s">
        <v>3</v>
      </c>
      <c r="C2833" s="1" t="str">
        <f>IFERROR(__xludf.DUMMYFUNCTION("GOOGLETRANSLATE(A2833,""en"",""pt-br"")"),"golpe duro")</f>
        <v>golpe duro</v>
      </c>
      <c r="D2833" s="1" t="str">
        <f>IFERROR(__xludf.DUMMYFUNCTION("GOOGLETRANSLATE(B2833,""en"",""pt-br"")"),"negativo")</f>
        <v>negativo</v>
      </c>
    </row>
    <row r="2834" ht="15.75" customHeight="1">
      <c r="A2834" s="2" t="s">
        <v>2833</v>
      </c>
      <c r="B2834" s="2" t="s">
        <v>3</v>
      </c>
      <c r="C2834" s="1" t="str">
        <f>IFERROR(__xludf.DUMMYFUNCTION("GOOGLETRANSLATE(A2834,""en"",""pt-br"")"),"linha-dura")</f>
        <v>linha-dura</v>
      </c>
      <c r="D2834" s="1" t="str">
        <f>IFERROR(__xludf.DUMMYFUNCTION("GOOGLETRANSLATE(B2834,""en"",""pt-br"")"),"negativo")</f>
        <v>negativo</v>
      </c>
    </row>
    <row r="2835" ht="15.75" customHeight="1">
      <c r="A2835" s="2" t="s">
        <v>2834</v>
      </c>
      <c r="B2835" s="2" t="s">
        <v>3</v>
      </c>
      <c r="C2835" s="1" t="str">
        <f>IFERROR(__xludf.DUMMYFUNCTION("GOOGLETRANSLATE(A2835,""en"",""pt-br"")"),"Conservador de linha dura")</f>
        <v>Conservador de linha dura</v>
      </c>
      <c r="D2835" s="1" t="str">
        <f>IFERROR(__xludf.DUMMYFUNCTION("GOOGLETRANSLATE(B2835,""en"",""pt-br"")"),"negativo")</f>
        <v>negativo</v>
      </c>
    </row>
    <row r="2836" ht="15.75" customHeight="1">
      <c r="A2836" s="2" t="s">
        <v>2835</v>
      </c>
      <c r="B2836" s="2" t="s">
        <v>14</v>
      </c>
      <c r="C2836" s="1" t="str">
        <f>IFERROR(__xludf.DUMMYFUNCTION("GOOGLETRANSLATE(A2836,""en"",""pt-br"")"),"trabalha duro")</f>
        <v>trabalha duro</v>
      </c>
      <c r="D2836" s="1" t="str">
        <f>IFERROR(__xludf.DUMMYFUNCTION("GOOGLETRANSLATE(B2836,""en"",""pt-br"")"),"positivo")</f>
        <v>positivo</v>
      </c>
    </row>
    <row r="2837" ht="15.75" customHeight="1">
      <c r="A2837" s="2" t="s">
        <v>2836</v>
      </c>
      <c r="B2837" s="2" t="s">
        <v>3</v>
      </c>
      <c r="C2837" s="1" t="str">
        <f>IFERROR(__xludf.DUMMYFUNCTION("GOOGLETRANSLATE(A2837,""en"",""pt-br"")"),"hardball")</f>
        <v>hardball</v>
      </c>
      <c r="D2837" s="1" t="str">
        <f>IFERROR(__xludf.DUMMYFUNCTION("GOOGLETRANSLATE(B2837,""en"",""pt-br"")"),"negativo")</f>
        <v>negativo</v>
      </c>
    </row>
    <row r="2838" ht="15.75" customHeight="1">
      <c r="A2838" s="2" t="s">
        <v>2837</v>
      </c>
      <c r="B2838" s="2" t="s">
        <v>3</v>
      </c>
      <c r="C2838" s="1" t="str">
        <f>IFERROR(__xludf.DUMMYFUNCTION("GOOGLETRANSLATE(A2838,""en"",""pt-br"")"),"endurecer")</f>
        <v>endurecer</v>
      </c>
      <c r="D2838" s="1" t="str">
        <f>IFERROR(__xludf.DUMMYFUNCTION("GOOGLETRANSLATE(B2838,""en"",""pt-br"")"),"negativo")</f>
        <v>negativo</v>
      </c>
    </row>
    <row r="2839" ht="15.75" customHeight="1">
      <c r="A2839" s="2" t="s">
        <v>2838</v>
      </c>
      <c r="B2839" s="2" t="s">
        <v>3</v>
      </c>
      <c r="C2839" s="1" t="str">
        <f>IFERROR(__xludf.DUMMYFUNCTION("GOOGLETRANSLATE(A2839,""en"",""pt-br"")"),"endurecido")</f>
        <v>endurecido</v>
      </c>
      <c r="D2839" s="1" t="str">
        <f>IFERROR(__xludf.DUMMYFUNCTION("GOOGLETRANSLATE(B2839,""en"",""pt-br"")"),"negativo")</f>
        <v>negativo</v>
      </c>
    </row>
    <row r="2840" ht="15.75" customHeight="1">
      <c r="A2840" s="2" t="s">
        <v>2839</v>
      </c>
      <c r="B2840" s="2" t="s">
        <v>3</v>
      </c>
      <c r="C2840" s="1" t="str">
        <f>IFERROR(__xludf.DUMMYFUNCTION("GOOGLETRANSLATE(A2840,""en"",""pt-br"")"),"hardheaded")</f>
        <v>hardheaded</v>
      </c>
      <c r="D2840" s="1" t="str">
        <f>IFERROR(__xludf.DUMMYFUNCTION("GOOGLETRANSLATE(B2840,""en"",""pt-br"")"),"negativo")</f>
        <v>negativo</v>
      </c>
    </row>
    <row r="2841" ht="15.75" customHeight="1">
      <c r="A2841" s="2" t="s">
        <v>2840</v>
      </c>
      <c r="B2841" s="2" t="s">
        <v>3</v>
      </c>
      <c r="C2841" s="1" t="str">
        <f>IFERROR(__xludf.DUMMYFUNCTION("GOOGLETRANSLATE(A2841,""en"",""pt-br"")"),"hardhearted")</f>
        <v>hardhearted</v>
      </c>
      <c r="D2841" s="1" t="str">
        <f>IFERROR(__xludf.DUMMYFUNCTION("GOOGLETRANSLATE(B2841,""en"",""pt-br"")"),"negativo")</f>
        <v>negativo</v>
      </c>
    </row>
    <row r="2842" ht="15.75" customHeight="1">
      <c r="A2842" s="2" t="s">
        <v>2841</v>
      </c>
      <c r="B2842" s="2" t="s">
        <v>14</v>
      </c>
      <c r="C2842" s="1" t="str">
        <f>IFERROR(__xludf.DUMMYFUNCTION("GOOGLETRANSLATE(A2842,""en"",""pt-br"")"),"hardier")</f>
        <v>hardier</v>
      </c>
      <c r="D2842" s="1" t="str">
        <f>IFERROR(__xludf.DUMMYFUNCTION("GOOGLETRANSLATE(B2842,""en"",""pt-br"")"),"positivo")</f>
        <v>positivo</v>
      </c>
    </row>
    <row r="2843" ht="15.75" customHeight="1">
      <c r="A2843" s="2" t="s">
        <v>2842</v>
      </c>
      <c r="B2843" s="2" t="s">
        <v>3</v>
      </c>
      <c r="C2843" s="1" t="str">
        <f>IFERROR(__xludf.DUMMYFUNCTION("GOOGLETRANSLATE(A2843,""en"",""pt-br"")"),"hardliner")</f>
        <v>hardliner</v>
      </c>
      <c r="D2843" s="1" t="str">
        <f>IFERROR(__xludf.DUMMYFUNCTION("GOOGLETRANSLATE(B2843,""en"",""pt-br"")"),"negativo")</f>
        <v>negativo</v>
      </c>
    </row>
    <row r="2844" ht="15.75" customHeight="1">
      <c r="A2844" s="2" t="s">
        <v>2843</v>
      </c>
      <c r="B2844" s="2" t="s">
        <v>3</v>
      </c>
      <c r="C2844" s="1" t="str">
        <f>IFERROR(__xludf.DUMMYFUNCTION("GOOGLETRANSLATE(A2844,""en"",""pt-br"")"),"linha dura")</f>
        <v>linha dura</v>
      </c>
      <c r="D2844" s="1" t="str">
        <f>IFERROR(__xludf.DUMMYFUNCTION("GOOGLETRANSLATE(B2844,""en"",""pt-br"")"),"negativo")</f>
        <v>negativo</v>
      </c>
    </row>
    <row r="2845" ht="15.75" customHeight="1">
      <c r="A2845" s="2" t="s">
        <v>2844</v>
      </c>
      <c r="B2845" s="2" t="s">
        <v>3</v>
      </c>
      <c r="C2845" s="1" t="str">
        <f>IFERROR(__xludf.DUMMYFUNCTION("GOOGLETRANSLATE(A2845,""en"",""pt-br"")"),"dificuldade")</f>
        <v>dificuldade</v>
      </c>
      <c r="D2845" s="1" t="str">
        <f>IFERROR(__xludf.DUMMYFUNCTION("GOOGLETRANSLATE(B2845,""en"",""pt-br"")"),"negativo")</f>
        <v>negativo</v>
      </c>
    </row>
    <row r="2846" ht="15.75" customHeight="1">
      <c r="A2846" s="2" t="s">
        <v>2845</v>
      </c>
      <c r="B2846" s="2" t="s">
        <v>3</v>
      </c>
      <c r="C2846" s="1" t="str">
        <f>IFERROR(__xludf.DUMMYFUNCTION("GOOGLETRANSLATE(A2846,""en"",""pt-br"")"),"dificuldades")</f>
        <v>dificuldades</v>
      </c>
      <c r="D2846" s="1" t="str">
        <f>IFERROR(__xludf.DUMMYFUNCTION("GOOGLETRANSLATE(B2846,""en"",""pt-br"")"),"negativo")</f>
        <v>negativo</v>
      </c>
    </row>
    <row r="2847" ht="15.75" customHeight="1">
      <c r="A2847" s="2" t="s">
        <v>2846</v>
      </c>
      <c r="B2847" s="2" t="s">
        <v>14</v>
      </c>
      <c r="C2847" s="1" t="str">
        <f>IFERROR(__xludf.DUMMYFUNCTION("GOOGLETRANSLATE(A2847,""en"",""pt-br"")"),"ousado")</f>
        <v>ousado</v>
      </c>
      <c r="D2847" s="1" t="str">
        <f>IFERROR(__xludf.DUMMYFUNCTION("GOOGLETRANSLATE(B2847,""en"",""pt-br"")"),"positivo")</f>
        <v>positivo</v>
      </c>
    </row>
    <row r="2848" ht="15.75" customHeight="1">
      <c r="A2848" s="2" t="s">
        <v>2847</v>
      </c>
      <c r="B2848" s="2" t="s">
        <v>3</v>
      </c>
      <c r="C2848" s="1" t="str">
        <f>IFERROR(__xludf.DUMMYFUNCTION("GOOGLETRANSLATE(A2848,""en"",""pt-br"")"),"prejuízo")</f>
        <v>prejuízo</v>
      </c>
      <c r="D2848" s="1" t="str">
        <f>IFERROR(__xludf.DUMMYFUNCTION("GOOGLETRANSLATE(B2848,""en"",""pt-br"")"),"negativo")</f>
        <v>negativo</v>
      </c>
    </row>
    <row r="2849" ht="15.75" customHeight="1">
      <c r="A2849" s="2" t="s">
        <v>2848</v>
      </c>
      <c r="B2849" s="2" t="s">
        <v>3</v>
      </c>
      <c r="C2849" s="1" t="str">
        <f>IFERROR(__xludf.DUMMYFUNCTION("GOOGLETRANSLATE(A2849,""en"",""pt-br"")"),"prejudicado")</f>
        <v>prejudicado</v>
      </c>
      <c r="D2849" s="1" t="str">
        <f>IFERROR(__xludf.DUMMYFUNCTION("GOOGLETRANSLATE(B2849,""en"",""pt-br"")"),"negativo")</f>
        <v>negativo</v>
      </c>
    </row>
    <row r="2850" ht="15.75" customHeight="1">
      <c r="A2850" s="2" t="s">
        <v>2849</v>
      </c>
      <c r="B2850" s="2" t="s">
        <v>3</v>
      </c>
      <c r="C2850" s="1" t="str">
        <f>IFERROR(__xludf.DUMMYFUNCTION("GOOGLETRANSLATE(A2850,""en"",""pt-br"")"),"prejudicial")</f>
        <v>prejudicial</v>
      </c>
      <c r="D2850" s="1" t="str">
        <f>IFERROR(__xludf.DUMMYFUNCTION("GOOGLETRANSLATE(B2850,""en"",""pt-br"")"),"negativo")</f>
        <v>negativo</v>
      </c>
    </row>
    <row r="2851" ht="15.75" customHeight="1">
      <c r="A2851" s="2" t="s">
        <v>2850</v>
      </c>
      <c r="B2851" s="2" t="s">
        <v>14</v>
      </c>
      <c r="C2851" s="1" t="str">
        <f>IFERROR(__xludf.DUMMYFUNCTION("GOOGLETRANSLATE(A2851,""en"",""pt-br"")"),"inofensivo")</f>
        <v>inofensivo</v>
      </c>
      <c r="D2851" s="1" t="str">
        <f>IFERROR(__xludf.DUMMYFUNCTION("GOOGLETRANSLATE(B2851,""en"",""pt-br"")"),"positivo")</f>
        <v>positivo</v>
      </c>
    </row>
    <row r="2852" ht="15.75" customHeight="1">
      <c r="A2852" s="2" t="s">
        <v>2851</v>
      </c>
      <c r="B2852" s="2" t="s">
        <v>14</v>
      </c>
      <c r="C2852" s="1" t="str">
        <f>IFERROR(__xludf.DUMMYFUNCTION("GOOGLETRANSLATE(A2852,""en"",""pt-br"")"),"harmonioso")</f>
        <v>harmonioso</v>
      </c>
      <c r="D2852" s="1" t="str">
        <f>IFERROR(__xludf.DUMMYFUNCTION("GOOGLETRANSLATE(B2852,""en"",""pt-br"")"),"positivo")</f>
        <v>positivo</v>
      </c>
    </row>
    <row r="2853" ht="15.75" customHeight="1">
      <c r="A2853" s="2" t="s">
        <v>2852</v>
      </c>
      <c r="B2853" s="2" t="s">
        <v>14</v>
      </c>
      <c r="C2853" s="1" t="str">
        <f>IFERROR(__xludf.DUMMYFUNCTION("GOOGLETRANSLATE(A2853,""en"",""pt-br"")"),"harmoniosamente")</f>
        <v>harmoniosamente</v>
      </c>
      <c r="D2853" s="1" t="str">
        <f>IFERROR(__xludf.DUMMYFUNCTION("GOOGLETRANSLATE(B2853,""en"",""pt-br"")"),"positivo")</f>
        <v>positivo</v>
      </c>
    </row>
    <row r="2854" ht="15.75" customHeight="1">
      <c r="A2854" s="2" t="s">
        <v>2853</v>
      </c>
      <c r="B2854" s="2" t="s">
        <v>14</v>
      </c>
      <c r="C2854" s="1" t="str">
        <f>IFERROR(__xludf.DUMMYFUNCTION("GOOGLETRANSLATE(A2854,""en"",""pt-br"")"),"harmonizar")</f>
        <v>harmonizar</v>
      </c>
      <c r="D2854" s="1" t="str">
        <f>IFERROR(__xludf.DUMMYFUNCTION("GOOGLETRANSLATE(B2854,""en"",""pt-br"")"),"positivo")</f>
        <v>positivo</v>
      </c>
    </row>
    <row r="2855" ht="15.75" customHeight="1">
      <c r="A2855" s="2" t="s">
        <v>2854</v>
      </c>
      <c r="B2855" s="2" t="s">
        <v>14</v>
      </c>
      <c r="C2855" s="1" t="str">
        <f>IFERROR(__xludf.DUMMYFUNCTION("GOOGLETRANSLATE(A2855,""en"",""pt-br"")"),"harmonia")</f>
        <v>harmonia</v>
      </c>
      <c r="D2855" s="1" t="str">
        <f>IFERROR(__xludf.DUMMYFUNCTION("GOOGLETRANSLATE(B2855,""en"",""pt-br"")"),"positivo")</f>
        <v>positivo</v>
      </c>
    </row>
    <row r="2856" ht="15.75" customHeight="1">
      <c r="A2856" s="2" t="s">
        <v>2855</v>
      </c>
      <c r="B2856" s="2" t="s">
        <v>3</v>
      </c>
      <c r="C2856" s="1" t="str">
        <f>IFERROR(__xludf.DUMMYFUNCTION("GOOGLETRANSLATE(A2856,""en"",""pt-br"")"),"prejudica")</f>
        <v>prejudica</v>
      </c>
      <c r="D2856" s="1" t="str">
        <f>IFERROR(__xludf.DUMMYFUNCTION("GOOGLETRANSLATE(B2856,""en"",""pt-br"")"),"negativo")</f>
        <v>negativo</v>
      </c>
    </row>
    <row r="2857" ht="15.75" customHeight="1">
      <c r="A2857" s="2" t="s">
        <v>2856</v>
      </c>
      <c r="B2857" s="2" t="s">
        <v>3</v>
      </c>
      <c r="C2857" s="1" t="str">
        <f>IFERROR(__xludf.DUMMYFUNCTION("GOOGLETRANSLATE(A2857,""en"",""pt-br"")"),"harpia")</f>
        <v>harpia</v>
      </c>
      <c r="D2857" s="1" t="str">
        <f>IFERROR(__xludf.DUMMYFUNCTION("GOOGLETRANSLATE(B2857,""en"",""pt-br"")"),"negativo")</f>
        <v>negativo</v>
      </c>
    </row>
    <row r="2858" ht="15.75" customHeight="1">
      <c r="A2858" s="2" t="s">
        <v>2857</v>
      </c>
      <c r="B2858" s="2" t="s">
        <v>3</v>
      </c>
      <c r="C2858" s="1" t="str">
        <f>IFERROR(__xludf.DUMMYFUNCTION("GOOGLETRANSLATE(A2858,""en"",""pt-br"")"),"bruxa")</f>
        <v>bruxa</v>
      </c>
      <c r="D2858" s="1" t="str">
        <f>IFERROR(__xludf.DUMMYFUNCTION("GOOGLETRANSLATE(B2858,""en"",""pt-br"")"),"negativo")</f>
        <v>negativo</v>
      </c>
    </row>
    <row r="2859" ht="15.75" customHeight="1">
      <c r="A2859" s="2" t="s">
        <v>2858</v>
      </c>
      <c r="B2859" s="2" t="s">
        <v>3</v>
      </c>
      <c r="C2859" s="1" t="str">
        <f>IFERROR(__xludf.DUMMYFUNCTION("GOOGLETRANSLATE(A2859,""en"",""pt-br"")"),"atormentado")</f>
        <v>atormentado</v>
      </c>
      <c r="D2859" s="1" t="str">
        <f>IFERROR(__xludf.DUMMYFUNCTION("GOOGLETRANSLATE(B2859,""en"",""pt-br"")"),"negativo")</f>
        <v>negativo</v>
      </c>
    </row>
    <row r="2860" ht="15.75" customHeight="1">
      <c r="A2860" s="2" t="s">
        <v>2859</v>
      </c>
      <c r="B2860" s="2" t="s">
        <v>3</v>
      </c>
      <c r="C2860" s="1" t="str">
        <f>IFERROR(__xludf.DUMMYFUNCTION("GOOGLETRANSLATE(A2860,""en"",""pt-br"")"),"grade")</f>
        <v>grade</v>
      </c>
      <c r="D2860" s="1" t="str">
        <f>IFERROR(__xludf.DUMMYFUNCTION("GOOGLETRANSLATE(B2860,""en"",""pt-br"")"),"negativo")</f>
        <v>negativo</v>
      </c>
    </row>
    <row r="2861" ht="15.75" customHeight="1">
      <c r="A2861" s="2" t="s">
        <v>2860</v>
      </c>
      <c r="B2861" s="2" t="s">
        <v>3</v>
      </c>
      <c r="C2861" s="1" t="str">
        <f>IFERROR(__xludf.DUMMYFUNCTION("GOOGLETRANSLATE(A2861,""en"",""pt-br"")"),"áspero")</f>
        <v>áspero</v>
      </c>
      <c r="D2861" s="1" t="str">
        <f>IFERROR(__xludf.DUMMYFUNCTION("GOOGLETRANSLATE(B2861,""en"",""pt-br"")"),"negativo")</f>
        <v>negativo</v>
      </c>
    </row>
    <row r="2862" ht="15.75" customHeight="1">
      <c r="A2862" s="2" t="s">
        <v>2861</v>
      </c>
      <c r="B2862" s="2" t="s">
        <v>3</v>
      </c>
      <c r="C2862" s="1" t="str">
        <f>IFERROR(__xludf.DUMMYFUNCTION("GOOGLETRANSLATE(A2862,""en"",""pt-br"")"),"severamente")</f>
        <v>severamente</v>
      </c>
      <c r="D2862" s="1" t="str">
        <f>IFERROR(__xludf.DUMMYFUNCTION("GOOGLETRANSLATE(B2862,""en"",""pt-br"")"),"negativo")</f>
        <v>negativo</v>
      </c>
    </row>
    <row r="2863" ht="15.75" customHeight="1">
      <c r="A2863" s="2" t="s">
        <v>2862</v>
      </c>
      <c r="B2863" s="2" t="s">
        <v>3</v>
      </c>
      <c r="C2863" s="1" t="str">
        <f>IFERROR(__xludf.DUMMYFUNCTION("GOOGLETRANSLATE(A2863,""en"",""pt-br"")"),"hasseling")</f>
        <v>hasseling</v>
      </c>
      <c r="D2863" s="1" t="str">
        <f>IFERROR(__xludf.DUMMYFUNCTION("GOOGLETRANSLATE(B2863,""en"",""pt-br"")"),"negativo")</f>
        <v>negativo</v>
      </c>
    </row>
    <row r="2864" ht="15.75" customHeight="1">
      <c r="A2864" s="2" t="s">
        <v>2863</v>
      </c>
      <c r="B2864" s="2" t="s">
        <v>3</v>
      </c>
      <c r="C2864" s="1" t="str">
        <f>IFERROR(__xludf.DUMMYFUNCTION("GOOGLETRANSLATE(A2864,""en"",""pt-br"")"),"incômodo")</f>
        <v>incômodo</v>
      </c>
      <c r="D2864" s="1" t="str">
        <f>IFERROR(__xludf.DUMMYFUNCTION("GOOGLETRANSLATE(B2864,""en"",""pt-br"")"),"negativo")</f>
        <v>negativo</v>
      </c>
    </row>
    <row r="2865" ht="15.75" customHeight="1">
      <c r="A2865" s="2" t="s">
        <v>2864</v>
      </c>
      <c r="B2865" s="2" t="s">
        <v>3</v>
      </c>
      <c r="C2865" s="1" t="str">
        <f>IFERROR(__xludf.DUMMYFUNCTION("GOOGLETRANSLATE(A2865,""en"",""pt-br"")"),"incomodada")</f>
        <v>incomodada</v>
      </c>
      <c r="D2865" s="1" t="str">
        <f>IFERROR(__xludf.DUMMYFUNCTION("GOOGLETRANSLATE(B2865,""en"",""pt-br"")"),"negativo")</f>
        <v>negativo</v>
      </c>
    </row>
    <row r="2866" ht="15.75" customHeight="1">
      <c r="A2866" s="2" t="s">
        <v>2865</v>
      </c>
      <c r="B2866" s="2" t="s">
        <v>3</v>
      </c>
      <c r="C2866" s="1" t="str">
        <f>IFERROR(__xludf.DUMMYFUNCTION("GOOGLETRANSLATE(A2866,""en"",""pt-br"")"),"aborrecimentos")</f>
        <v>aborrecimentos</v>
      </c>
      <c r="D2866" s="1" t="str">
        <f>IFERROR(__xludf.DUMMYFUNCTION("GOOGLETRANSLATE(B2866,""en"",""pt-br"")"),"negativo")</f>
        <v>negativo</v>
      </c>
    </row>
    <row r="2867" ht="15.75" customHeight="1">
      <c r="A2867" s="2" t="s">
        <v>2866</v>
      </c>
      <c r="B2867" s="2" t="s">
        <v>3</v>
      </c>
      <c r="C2867" s="1" t="str">
        <f>IFERROR(__xludf.DUMMYFUNCTION("GOOGLETRANSLATE(A2867,""en"",""pt-br"")"),"pressa")</f>
        <v>pressa</v>
      </c>
      <c r="D2867" s="1" t="str">
        <f>IFERROR(__xludf.DUMMYFUNCTION("GOOGLETRANSLATE(B2867,""en"",""pt-br"")"),"negativo")</f>
        <v>negativo</v>
      </c>
    </row>
    <row r="2868" ht="15.75" customHeight="1">
      <c r="A2868" s="2" t="s">
        <v>2867</v>
      </c>
      <c r="B2868" s="2" t="s">
        <v>3</v>
      </c>
      <c r="C2868" s="1" t="str">
        <f>IFERROR(__xludf.DUMMYFUNCTION("GOOGLETRANSLATE(A2868,""en"",""pt-br"")"),"precipitadamente")</f>
        <v>precipitadamente</v>
      </c>
      <c r="D2868" s="1" t="str">
        <f>IFERROR(__xludf.DUMMYFUNCTION("GOOGLETRANSLATE(B2868,""en"",""pt-br"")"),"negativo")</f>
        <v>negativo</v>
      </c>
    </row>
    <row r="2869" ht="15.75" customHeight="1">
      <c r="A2869" s="2" t="s">
        <v>2868</v>
      </c>
      <c r="B2869" s="2" t="s">
        <v>3</v>
      </c>
      <c r="C2869" s="1" t="str">
        <f>IFERROR(__xludf.DUMMYFUNCTION("GOOGLETRANSLATE(A2869,""en"",""pt-br"")"),"apressado")</f>
        <v>apressado</v>
      </c>
      <c r="D2869" s="1" t="str">
        <f>IFERROR(__xludf.DUMMYFUNCTION("GOOGLETRANSLATE(B2869,""en"",""pt-br"")"),"negativo")</f>
        <v>negativo</v>
      </c>
    </row>
    <row r="2870" ht="15.75" customHeight="1">
      <c r="A2870" s="2" t="s">
        <v>2869</v>
      </c>
      <c r="B2870" s="2" t="s">
        <v>3</v>
      </c>
      <c r="C2870" s="1" t="str">
        <f>IFERROR(__xludf.DUMMYFUNCTION("GOOGLETRANSLATE(A2870,""en"",""pt-br"")"),"ódio")</f>
        <v>ódio</v>
      </c>
      <c r="D2870" s="1" t="str">
        <f>IFERROR(__xludf.DUMMYFUNCTION("GOOGLETRANSLATE(B2870,""en"",""pt-br"")"),"negativo")</f>
        <v>negativo</v>
      </c>
    </row>
    <row r="2871" ht="15.75" customHeight="1">
      <c r="A2871" s="2" t="s">
        <v>2870</v>
      </c>
      <c r="B2871" s="2" t="s">
        <v>3</v>
      </c>
      <c r="C2871" s="1" t="str">
        <f>IFERROR(__xludf.DUMMYFUNCTION("GOOGLETRANSLATE(A2871,""en"",""pt-br"")"),"odiava")</f>
        <v>odiava</v>
      </c>
      <c r="D2871" s="1" t="str">
        <f>IFERROR(__xludf.DUMMYFUNCTION("GOOGLETRANSLATE(B2871,""en"",""pt-br"")"),"negativo")</f>
        <v>negativo</v>
      </c>
    </row>
    <row r="2872" ht="15.75" customHeight="1">
      <c r="A2872" s="2" t="s">
        <v>2871</v>
      </c>
      <c r="B2872" s="2" t="s">
        <v>3</v>
      </c>
      <c r="C2872" s="1" t="str">
        <f>IFERROR(__xludf.DUMMYFUNCTION("GOOGLETRANSLATE(A2872,""en"",""pt-br"")"),"odioso")</f>
        <v>odioso</v>
      </c>
      <c r="D2872" s="1" t="str">
        <f>IFERROR(__xludf.DUMMYFUNCTION("GOOGLETRANSLATE(B2872,""en"",""pt-br"")"),"negativo")</f>
        <v>negativo</v>
      </c>
    </row>
    <row r="2873" ht="15.75" customHeight="1">
      <c r="A2873" s="2" t="s">
        <v>2872</v>
      </c>
      <c r="B2873" s="2" t="s">
        <v>3</v>
      </c>
      <c r="C2873" s="1" t="str">
        <f>IFERROR(__xludf.DUMMYFUNCTION("GOOGLETRANSLATE(A2873,""en"",""pt-br"")"),"hatefully")</f>
        <v>hatefully</v>
      </c>
      <c r="D2873" s="1" t="str">
        <f>IFERROR(__xludf.DUMMYFUNCTION("GOOGLETRANSLATE(B2873,""en"",""pt-br"")"),"negativo")</f>
        <v>negativo</v>
      </c>
    </row>
    <row r="2874" ht="15.75" customHeight="1">
      <c r="A2874" s="2" t="s">
        <v>2873</v>
      </c>
      <c r="B2874" s="2" t="s">
        <v>3</v>
      </c>
      <c r="C2874" s="1" t="str">
        <f>IFERROR(__xludf.DUMMYFUNCTION("GOOGLETRANSLATE(A2874,""en"",""pt-br"")"),"ódio")</f>
        <v>ódio</v>
      </c>
      <c r="D2874" s="1" t="str">
        <f>IFERROR(__xludf.DUMMYFUNCTION("GOOGLETRANSLATE(B2874,""en"",""pt-br"")"),"negativo")</f>
        <v>negativo</v>
      </c>
    </row>
    <row r="2875" ht="15.75" customHeight="1">
      <c r="A2875" s="2" t="s">
        <v>2874</v>
      </c>
      <c r="B2875" s="2" t="s">
        <v>3</v>
      </c>
      <c r="C2875" s="1" t="str">
        <f>IFERROR(__xludf.DUMMYFUNCTION("GOOGLETRANSLATE(A2875,""en"",""pt-br"")"),"Odiador")</f>
        <v>Odiador</v>
      </c>
      <c r="D2875" s="1" t="str">
        <f>IFERROR(__xludf.DUMMYFUNCTION("GOOGLETRANSLATE(B2875,""en"",""pt-br"")"),"negativo")</f>
        <v>negativo</v>
      </c>
    </row>
    <row r="2876" ht="15.75" customHeight="1">
      <c r="A2876" s="2" t="s">
        <v>2875</v>
      </c>
      <c r="B2876" s="2" t="s">
        <v>3</v>
      </c>
      <c r="C2876" s="1" t="str">
        <f>IFERROR(__xludf.DUMMYFUNCTION("GOOGLETRANSLATE(A2876,""en"",""pt-br"")"),"odiadores")</f>
        <v>odiadores</v>
      </c>
      <c r="D2876" s="1" t="str">
        <f>IFERROR(__xludf.DUMMYFUNCTION("GOOGLETRANSLATE(B2876,""en"",""pt-br"")"),"negativo")</f>
        <v>negativo</v>
      </c>
    </row>
    <row r="2877" ht="15.75" customHeight="1">
      <c r="A2877" s="2" t="s">
        <v>2876</v>
      </c>
      <c r="B2877" s="2" t="s">
        <v>3</v>
      </c>
      <c r="C2877" s="1" t="str">
        <f>IFERROR(__xludf.DUMMYFUNCTION("GOOGLETRANSLATE(A2877,""en"",""pt-br"")"),"ódios")</f>
        <v>ódios</v>
      </c>
      <c r="D2877" s="1" t="str">
        <f>IFERROR(__xludf.DUMMYFUNCTION("GOOGLETRANSLATE(B2877,""en"",""pt-br"")"),"negativo")</f>
        <v>negativo</v>
      </c>
    </row>
    <row r="2878" ht="15.75" customHeight="1">
      <c r="A2878" s="2" t="s">
        <v>2877</v>
      </c>
      <c r="B2878" s="2" t="s">
        <v>3</v>
      </c>
      <c r="C2878" s="1" t="str">
        <f>IFERROR(__xludf.DUMMYFUNCTION("GOOGLETRANSLATE(A2878,""en"",""pt-br"")"),"odiando")</f>
        <v>odiando</v>
      </c>
      <c r="D2878" s="1" t="str">
        <f>IFERROR(__xludf.DUMMYFUNCTION("GOOGLETRANSLATE(B2878,""en"",""pt-br"")"),"negativo")</f>
        <v>negativo</v>
      </c>
    </row>
    <row r="2879" ht="15.75" customHeight="1">
      <c r="A2879" s="2" t="s">
        <v>2878</v>
      </c>
      <c r="B2879" s="2" t="s">
        <v>3</v>
      </c>
      <c r="C2879" s="1" t="str">
        <f>IFERROR(__xludf.DUMMYFUNCTION("GOOGLETRANSLATE(A2879,""en"",""pt-br"")"),"ódio")</f>
        <v>ódio</v>
      </c>
      <c r="D2879" s="1" t="str">
        <f>IFERROR(__xludf.DUMMYFUNCTION("GOOGLETRANSLATE(B2879,""en"",""pt-br"")"),"negativo")</f>
        <v>negativo</v>
      </c>
    </row>
    <row r="2880" ht="15.75" customHeight="1">
      <c r="A2880" s="2" t="s">
        <v>2879</v>
      </c>
      <c r="B2880" s="2" t="s">
        <v>3</v>
      </c>
      <c r="C2880" s="1" t="str">
        <f>IFERROR(__xludf.DUMMYFUNCTION("GOOGLETRANSLATE(A2880,""en"",""pt-br"")"),"altivamente")</f>
        <v>altivamente</v>
      </c>
      <c r="D2880" s="1" t="str">
        <f>IFERROR(__xludf.DUMMYFUNCTION("GOOGLETRANSLATE(B2880,""en"",""pt-br"")"),"negativo")</f>
        <v>negativo</v>
      </c>
    </row>
    <row r="2881" ht="15.75" customHeight="1">
      <c r="A2881" s="2" t="s">
        <v>2880</v>
      </c>
      <c r="B2881" s="2" t="s">
        <v>3</v>
      </c>
      <c r="C2881" s="1" t="str">
        <f>IFERROR(__xludf.DUMMYFUNCTION("GOOGLETRANSLATE(A2881,""en"",""pt-br"")"),"altivo")</f>
        <v>altivo</v>
      </c>
      <c r="D2881" s="1" t="str">
        <f>IFERROR(__xludf.DUMMYFUNCTION("GOOGLETRANSLATE(B2881,""en"",""pt-br"")"),"negativo")</f>
        <v>negativo</v>
      </c>
    </row>
    <row r="2882" ht="15.75" customHeight="1">
      <c r="A2882" s="2" t="s">
        <v>2881</v>
      </c>
      <c r="B2882" s="2" t="s">
        <v>3</v>
      </c>
      <c r="C2882" s="1" t="str">
        <f>IFERROR(__xludf.DUMMYFUNCTION("GOOGLETRANSLATE(A2882,""en"",""pt-br"")"),"assombro")</f>
        <v>assombro</v>
      </c>
      <c r="D2882" s="1" t="str">
        <f>IFERROR(__xludf.DUMMYFUNCTION("GOOGLETRANSLATE(B2882,""en"",""pt-br"")"),"negativo")</f>
        <v>negativo</v>
      </c>
    </row>
    <row r="2883" ht="15.75" customHeight="1">
      <c r="A2883" s="2" t="s">
        <v>2882</v>
      </c>
      <c r="B2883" s="2" t="s">
        <v>3</v>
      </c>
      <c r="C2883" s="1" t="str">
        <f>IFERROR(__xludf.DUMMYFUNCTION("GOOGLETRANSLATE(A2883,""en"",""pt-br"")"),"assombrando")</f>
        <v>assombrando</v>
      </c>
      <c r="D2883" s="1" t="str">
        <f>IFERROR(__xludf.DUMMYFUNCTION("GOOGLETRANSLATE(B2883,""en"",""pt-br"")"),"negativo")</f>
        <v>negativo</v>
      </c>
    </row>
    <row r="2884" ht="15.75" customHeight="1">
      <c r="A2884" s="2" t="s">
        <v>2883</v>
      </c>
      <c r="B2884" s="2" t="s">
        <v>3</v>
      </c>
      <c r="C2884" s="1" t="str">
        <f>IFERROR(__xludf.DUMMYFUNCTION("GOOGLETRANSLATE(A2884,""en"",""pt-br"")"),"destruição")</f>
        <v>destruição</v>
      </c>
      <c r="D2884" s="1" t="str">
        <f>IFERROR(__xludf.DUMMYFUNCTION("GOOGLETRANSLATE(B2884,""en"",""pt-br"")"),"negativo")</f>
        <v>negativo</v>
      </c>
    </row>
    <row r="2885" ht="15.75" customHeight="1">
      <c r="A2885" s="2" t="s">
        <v>2884</v>
      </c>
      <c r="B2885" s="2" t="s">
        <v>3</v>
      </c>
      <c r="C2885" s="1" t="str">
        <f>IFERROR(__xludf.DUMMYFUNCTION("GOOGLETRANSLATE(A2885,""en"",""pt-br"")"),"hawkish")</f>
        <v>hawkish</v>
      </c>
      <c r="D2885" s="1" t="str">
        <f>IFERROR(__xludf.DUMMYFUNCTION("GOOGLETRANSLATE(B2885,""en"",""pt-br"")"),"negativo")</f>
        <v>negativo</v>
      </c>
    </row>
    <row r="2886" ht="15.75" customHeight="1">
      <c r="A2886" s="2" t="s">
        <v>2885</v>
      </c>
      <c r="B2886" s="2" t="s">
        <v>3</v>
      </c>
      <c r="C2886" s="1" t="str">
        <f>IFERROR(__xludf.DUMMYFUNCTION("GOOGLETRANSLATE(A2886,""en"",""pt-br"")"),"haywire")</f>
        <v>haywire</v>
      </c>
      <c r="D2886" s="1" t="str">
        <f>IFERROR(__xludf.DUMMYFUNCTION("GOOGLETRANSLATE(B2886,""en"",""pt-br"")"),"negativo")</f>
        <v>negativo</v>
      </c>
    </row>
    <row r="2887" ht="15.75" customHeight="1">
      <c r="A2887" s="2" t="s">
        <v>2886</v>
      </c>
      <c r="B2887" s="2" t="s">
        <v>3</v>
      </c>
      <c r="C2887" s="1" t="str">
        <f>IFERROR(__xludf.DUMMYFUNCTION("GOOGLETRANSLATE(A2887,""en"",""pt-br"")"),"perigo")</f>
        <v>perigo</v>
      </c>
      <c r="D2887" s="1" t="str">
        <f>IFERROR(__xludf.DUMMYFUNCTION("GOOGLETRANSLATE(B2887,""en"",""pt-br"")"),"negativo")</f>
        <v>negativo</v>
      </c>
    </row>
    <row r="2888" ht="15.75" customHeight="1">
      <c r="A2888" s="2" t="s">
        <v>2887</v>
      </c>
      <c r="B2888" s="2" t="s">
        <v>3</v>
      </c>
      <c r="C2888" s="1" t="str">
        <f>IFERROR(__xludf.DUMMYFUNCTION("GOOGLETRANSLATE(A2888,""en"",""pt-br"")"),"perigoso")</f>
        <v>perigoso</v>
      </c>
      <c r="D2888" s="1" t="str">
        <f>IFERROR(__xludf.DUMMYFUNCTION("GOOGLETRANSLATE(B2888,""en"",""pt-br"")"),"negativo")</f>
        <v>negativo</v>
      </c>
    </row>
    <row r="2889" ht="15.75" customHeight="1">
      <c r="A2889" s="2" t="s">
        <v>2888</v>
      </c>
      <c r="B2889" s="2" t="s">
        <v>3</v>
      </c>
      <c r="C2889" s="1" t="str">
        <f>IFERROR(__xludf.DUMMYFUNCTION("GOOGLETRANSLATE(A2889,""en"",""pt-br"")"),"neblina")</f>
        <v>neblina</v>
      </c>
      <c r="D2889" s="1" t="str">
        <f>IFERROR(__xludf.DUMMYFUNCTION("GOOGLETRANSLATE(B2889,""en"",""pt-br"")"),"negativo")</f>
        <v>negativo</v>
      </c>
    </row>
    <row r="2890" ht="15.75" customHeight="1">
      <c r="A2890" s="2" t="s">
        <v>2889</v>
      </c>
      <c r="B2890" s="2" t="s">
        <v>3</v>
      </c>
      <c r="C2890" s="1" t="str">
        <f>IFERROR(__xludf.DUMMYFUNCTION("GOOGLETRANSLATE(A2890,""en"",""pt-br"")"),"nebuloso")</f>
        <v>nebuloso</v>
      </c>
      <c r="D2890" s="1" t="str">
        <f>IFERROR(__xludf.DUMMYFUNCTION("GOOGLETRANSLATE(B2890,""en"",""pt-br"")"),"negativo")</f>
        <v>negativo</v>
      </c>
    </row>
    <row r="2891" ht="15.75" customHeight="1">
      <c r="A2891" s="2" t="s">
        <v>2890</v>
      </c>
      <c r="B2891" s="2" t="s">
        <v>3</v>
      </c>
      <c r="C2891" s="1" t="str">
        <f>IFERROR(__xludf.DUMMYFUNCTION("GOOGLETRANSLATE(A2891,""en"",""pt-br"")"),"cabeça-dores")</f>
        <v>cabeça-dores</v>
      </c>
      <c r="D2891" s="1" t="str">
        <f>IFERROR(__xludf.DUMMYFUNCTION("GOOGLETRANSLATE(B2891,""en"",""pt-br"")"),"negativo")</f>
        <v>negativo</v>
      </c>
    </row>
    <row r="2892" ht="15.75" customHeight="1">
      <c r="A2892" s="2" t="s">
        <v>2891</v>
      </c>
      <c r="B2892" s="2" t="s">
        <v>3</v>
      </c>
      <c r="C2892" s="1" t="str">
        <f>IFERROR(__xludf.DUMMYFUNCTION("GOOGLETRANSLATE(A2892,""en"",""pt-br"")"),"dor de cabeça")</f>
        <v>dor de cabeça</v>
      </c>
      <c r="D2892" s="1" t="str">
        <f>IFERROR(__xludf.DUMMYFUNCTION("GOOGLETRANSLATE(B2892,""en"",""pt-br"")"),"negativo")</f>
        <v>negativo</v>
      </c>
    </row>
    <row r="2893" ht="15.75" customHeight="1">
      <c r="A2893" s="2" t="s">
        <v>2892</v>
      </c>
      <c r="B2893" s="2" t="s">
        <v>3</v>
      </c>
      <c r="C2893" s="1" t="str">
        <f>IFERROR(__xludf.DUMMYFUNCTION("GOOGLETRANSLATE(A2893,""en"",""pt-br"")"),"dores de cabeça")</f>
        <v>dores de cabeça</v>
      </c>
      <c r="D2893" s="1" t="str">
        <f>IFERROR(__xludf.DUMMYFUNCTION("GOOGLETRANSLATE(B2893,""en"",""pt-br"")"),"negativo")</f>
        <v>negativo</v>
      </c>
    </row>
    <row r="2894" ht="15.75" customHeight="1">
      <c r="A2894" s="2" t="s">
        <v>2893</v>
      </c>
      <c r="B2894" s="2" t="s">
        <v>14</v>
      </c>
      <c r="C2894" s="1" t="str">
        <f>IFERROR(__xludf.DUMMYFUNCTION("GOOGLETRANSLATE(A2894,""en"",""pt-br"")"),"progresso")</f>
        <v>progresso</v>
      </c>
      <c r="D2894" s="1" t="str">
        <f>IFERROR(__xludf.DUMMYFUNCTION("GOOGLETRANSLATE(B2894,""en"",""pt-br"")"),"positivo")</f>
        <v>positivo</v>
      </c>
    </row>
    <row r="2895" ht="15.75" customHeight="1">
      <c r="A2895" s="2" t="s">
        <v>2894</v>
      </c>
      <c r="B2895" s="2" t="s">
        <v>14</v>
      </c>
      <c r="C2895" s="1" t="str">
        <f>IFERROR(__xludf.DUMMYFUNCTION("GOOGLETRANSLATE(A2895,""en"",""pt-br"")"),"curar")</f>
        <v>curar</v>
      </c>
      <c r="D2895" s="1" t="str">
        <f>IFERROR(__xludf.DUMMYFUNCTION("GOOGLETRANSLATE(B2895,""en"",""pt-br"")"),"positivo")</f>
        <v>positivo</v>
      </c>
    </row>
    <row r="2896" ht="15.75" customHeight="1">
      <c r="A2896" s="2" t="s">
        <v>2895</v>
      </c>
      <c r="B2896" s="2" t="s">
        <v>14</v>
      </c>
      <c r="C2896" s="1" t="str">
        <f>IFERROR(__xludf.DUMMYFUNCTION("GOOGLETRANSLATE(A2896,""en"",""pt-br"")"),"saudável")</f>
        <v>saudável</v>
      </c>
      <c r="D2896" s="1" t="str">
        <f>IFERROR(__xludf.DUMMYFUNCTION("GOOGLETRANSLATE(B2896,""en"",""pt-br"")"),"positivo")</f>
        <v>positivo</v>
      </c>
    </row>
    <row r="2897" ht="15.75" customHeight="1">
      <c r="A2897" s="2" t="s">
        <v>2896</v>
      </c>
      <c r="B2897" s="2" t="s">
        <v>14</v>
      </c>
      <c r="C2897" s="1" t="str">
        <f>IFERROR(__xludf.DUMMYFUNCTION("GOOGLETRANSLATE(A2897,""en"",""pt-br"")"),"saudável")</f>
        <v>saudável</v>
      </c>
      <c r="D2897" s="1" t="str">
        <f>IFERROR(__xludf.DUMMYFUNCTION("GOOGLETRANSLATE(B2897,""en"",""pt-br"")"),"positivo")</f>
        <v>positivo</v>
      </c>
    </row>
    <row r="2898" ht="15.75" customHeight="1">
      <c r="A2898" s="2" t="s">
        <v>2897</v>
      </c>
      <c r="B2898" s="2" t="s">
        <v>3</v>
      </c>
      <c r="C2898" s="1" t="str">
        <f>IFERROR(__xludf.DUMMYFUNCTION("GOOGLETRANSLATE(A2898,""en"",""pt-br"")"),"Destruidor de corações")</f>
        <v>Destruidor de corações</v>
      </c>
      <c r="D2898" s="1" t="str">
        <f>IFERROR(__xludf.DUMMYFUNCTION("GOOGLETRANSLATE(B2898,""en"",""pt-br"")"),"negativo")</f>
        <v>negativo</v>
      </c>
    </row>
    <row r="2899" ht="15.75" customHeight="1">
      <c r="A2899" s="2" t="s">
        <v>2898</v>
      </c>
      <c r="B2899" s="2" t="s">
        <v>3</v>
      </c>
      <c r="C2899" s="1" t="str">
        <f>IFERROR(__xludf.DUMMYFUNCTION("GOOGLETRANSLATE(A2899,""en"",""pt-br"")"),"desolador")</f>
        <v>desolador</v>
      </c>
      <c r="D2899" s="1" t="str">
        <f>IFERROR(__xludf.DUMMYFUNCTION("GOOGLETRANSLATE(B2899,""en"",""pt-br"")"),"negativo")</f>
        <v>negativo</v>
      </c>
    </row>
    <row r="2900" ht="15.75" customHeight="1">
      <c r="A2900" s="2" t="s">
        <v>2899</v>
      </c>
      <c r="B2900" s="2" t="s">
        <v>3</v>
      </c>
      <c r="C2900" s="1" t="str">
        <f>IFERROR(__xludf.DUMMYFUNCTION("GOOGLETRANSLATE(A2900,""en"",""pt-br"")"),"heartbreakingly")</f>
        <v>heartbreakingly</v>
      </c>
      <c r="D2900" s="1" t="str">
        <f>IFERROR(__xludf.DUMMYFUNCTION("GOOGLETRANSLATE(B2900,""en"",""pt-br"")"),"negativo")</f>
        <v>negativo</v>
      </c>
    </row>
    <row r="2901" ht="15.75" customHeight="1">
      <c r="A2901" s="2" t="s">
        <v>2900</v>
      </c>
      <c r="B2901" s="2" t="s">
        <v>14</v>
      </c>
      <c r="C2901" s="1" t="str">
        <f>IFERROR(__xludf.DUMMYFUNCTION("GOOGLETRANSLATE(A2901,""en"",""pt-br"")"),"hearten")</f>
        <v>hearten</v>
      </c>
      <c r="D2901" s="1" t="str">
        <f>IFERROR(__xludf.DUMMYFUNCTION("GOOGLETRANSLATE(B2901,""en"",""pt-br"")"),"positivo")</f>
        <v>positivo</v>
      </c>
    </row>
    <row r="2902" ht="15.75" customHeight="1">
      <c r="A2902" s="2" t="s">
        <v>2901</v>
      </c>
      <c r="B2902" s="2" t="s">
        <v>14</v>
      </c>
      <c r="C2902" s="1" t="str">
        <f>IFERROR(__xludf.DUMMYFUNCTION("GOOGLETRANSLATE(A2902,""en"",""pt-br"")"),"animador")</f>
        <v>animador</v>
      </c>
      <c r="D2902" s="1" t="str">
        <f>IFERROR(__xludf.DUMMYFUNCTION("GOOGLETRANSLATE(B2902,""en"",""pt-br"")"),"positivo")</f>
        <v>positivo</v>
      </c>
    </row>
    <row r="2903" ht="15.75" customHeight="1">
      <c r="A2903" s="2" t="s">
        <v>2902</v>
      </c>
      <c r="B2903" s="2" t="s">
        <v>14</v>
      </c>
      <c r="C2903" s="1" t="str">
        <f>IFERROR(__xludf.DUMMYFUNCTION("GOOGLETRANSLATE(A2903,""en"",""pt-br"")"),"sincero")</f>
        <v>sincero</v>
      </c>
      <c r="D2903" s="1" t="str">
        <f>IFERROR(__xludf.DUMMYFUNCTION("GOOGLETRANSLATE(B2903,""en"",""pt-br"")"),"positivo")</f>
        <v>positivo</v>
      </c>
    </row>
    <row r="2904" ht="15.75" customHeight="1">
      <c r="A2904" s="2" t="s">
        <v>2903</v>
      </c>
      <c r="B2904" s="2" t="s">
        <v>14</v>
      </c>
      <c r="C2904" s="1" t="str">
        <f>IFERROR(__xludf.DUMMYFUNCTION("GOOGLETRANSLATE(A2904,""en"",""pt-br"")"),"cordialmente")</f>
        <v>cordialmente</v>
      </c>
      <c r="D2904" s="1" t="str">
        <f>IFERROR(__xludf.DUMMYFUNCTION("GOOGLETRANSLATE(B2904,""en"",""pt-br"")"),"positivo")</f>
        <v>positivo</v>
      </c>
    </row>
    <row r="2905" ht="15.75" customHeight="1">
      <c r="A2905" s="2" t="s">
        <v>2904</v>
      </c>
      <c r="B2905" s="2" t="s">
        <v>3</v>
      </c>
      <c r="C2905" s="1" t="str">
        <f>IFERROR(__xludf.DUMMYFUNCTION("GOOGLETRANSLATE(A2905,""en"",""pt-br"")"),"sem coração")</f>
        <v>sem coração</v>
      </c>
      <c r="D2905" s="1" t="str">
        <f>IFERROR(__xludf.DUMMYFUNCTION("GOOGLETRANSLATE(B2905,""en"",""pt-br"")"),"negativo")</f>
        <v>negativo</v>
      </c>
    </row>
    <row r="2906" ht="15.75" customHeight="1">
      <c r="A2906" s="2" t="s">
        <v>2905</v>
      </c>
      <c r="B2906" s="2" t="s">
        <v>14</v>
      </c>
      <c r="C2906" s="1" t="str">
        <f>IFERROR(__xludf.DUMMYFUNCTION("GOOGLETRANSLATE(A2906,""en"",""pt-br"")"),"emotivo")</f>
        <v>emotivo</v>
      </c>
      <c r="D2906" s="1" t="str">
        <f>IFERROR(__xludf.DUMMYFUNCTION("GOOGLETRANSLATE(B2906,""en"",""pt-br"")"),"positivo")</f>
        <v>positivo</v>
      </c>
    </row>
    <row r="2907" ht="15.75" customHeight="1">
      <c r="A2907" s="2" t="s">
        <v>2906</v>
      </c>
      <c r="B2907" s="2" t="s">
        <v>3</v>
      </c>
      <c r="C2907" s="1" t="str">
        <f>IFERROR(__xludf.DUMMYFUNCTION("GOOGLETRANSLATE(A2907,""en"",""pt-br"")"),"pagão")</f>
        <v>pagão</v>
      </c>
      <c r="D2907" s="1" t="str">
        <f>IFERROR(__xludf.DUMMYFUNCTION("GOOGLETRANSLATE(B2907,""en"",""pt-br"")"),"negativo")</f>
        <v>negativo</v>
      </c>
    </row>
    <row r="2908" ht="15.75" customHeight="1">
      <c r="A2908" s="2" t="s">
        <v>2907</v>
      </c>
      <c r="B2908" s="2" t="s">
        <v>14</v>
      </c>
      <c r="C2908" s="1" t="str">
        <f>IFERROR(__xludf.DUMMYFUNCTION("GOOGLETRANSLATE(A2908,""en"",""pt-br"")"),"céu")</f>
        <v>céu</v>
      </c>
      <c r="D2908" s="1" t="str">
        <f>IFERROR(__xludf.DUMMYFUNCTION("GOOGLETRANSLATE(B2908,""en"",""pt-br"")"),"positivo")</f>
        <v>positivo</v>
      </c>
    </row>
    <row r="2909" ht="15.75" customHeight="1">
      <c r="A2909" s="2" t="s">
        <v>2908</v>
      </c>
      <c r="B2909" s="2" t="s">
        <v>14</v>
      </c>
      <c r="C2909" s="1" t="str">
        <f>IFERROR(__xludf.DUMMYFUNCTION("GOOGLETRANSLATE(A2909,""en"",""pt-br"")"),"celestial")</f>
        <v>celestial</v>
      </c>
      <c r="D2909" s="1" t="str">
        <f>IFERROR(__xludf.DUMMYFUNCTION("GOOGLETRANSLATE(B2909,""en"",""pt-br"")"),"positivo")</f>
        <v>positivo</v>
      </c>
    </row>
    <row r="2910" ht="15.75" customHeight="1">
      <c r="A2910" s="2" t="s">
        <v>2909</v>
      </c>
      <c r="B2910" s="2" t="s">
        <v>3</v>
      </c>
      <c r="C2910" s="1" t="str">
        <f>IFERROR(__xludf.DUMMYFUNCTION("GOOGLETRANSLATE(A2910,""en"",""pt-br"")"),"entregou-pesado")</f>
        <v>entregou-pesado</v>
      </c>
      <c r="D2910" s="1" t="str">
        <f>IFERROR(__xludf.DUMMYFUNCTION("GOOGLETRANSLATE(B2910,""en"",""pt-br"")"),"negativo")</f>
        <v>negativo</v>
      </c>
    </row>
    <row r="2911" ht="15.75" customHeight="1">
      <c r="A2911" s="2" t="s">
        <v>2910</v>
      </c>
      <c r="B2911" s="2" t="s">
        <v>3</v>
      </c>
      <c r="C2911" s="1" t="str">
        <f>IFERROR(__xludf.DUMMYFUNCTION("GOOGLETRANSLATE(A2911,""en"",""pt-br"")"),"coração pesado")</f>
        <v>coração pesado</v>
      </c>
      <c r="D2911" s="1" t="str">
        <f>IFERROR(__xludf.DUMMYFUNCTION("GOOGLETRANSLATE(B2911,""en"",""pt-br"")"),"negativo")</f>
        <v>negativo</v>
      </c>
    </row>
    <row r="2912" ht="15.75" customHeight="1">
      <c r="A2912" s="2" t="s">
        <v>2911</v>
      </c>
      <c r="B2912" s="2" t="s">
        <v>3</v>
      </c>
      <c r="C2912" s="1" t="str">
        <f>IFERROR(__xludf.DUMMYFUNCTION("GOOGLETRANSLATE(A2912,""en"",""pt-br"")"),"Parreira")</f>
        <v>Parreira</v>
      </c>
      <c r="D2912" s="1" t="str">
        <f>IFERROR(__xludf.DUMMYFUNCTION("GOOGLETRANSLATE(B2912,""en"",""pt-br"")"),"negativo")</f>
        <v>negativo</v>
      </c>
    </row>
    <row r="2913" ht="15.75" customHeight="1">
      <c r="A2913" s="2" t="s">
        <v>2912</v>
      </c>
      <c r="B2913" s="2" t="s">
        <v>3</v>
      </c>
      <c r="C2913" s="1" t="str">
        <f>IFERROR(__xludf.DUMMYFUNCTION("GOOGLETRANSLATE(A2913,""en"",""pt-br"")"),"espadelar")</f>
        <v>espadelar</v>
      </c>
      <c r="D2913" s="1" t="str">
        <f>IFERROR(__xludf.DUMMYFUNCTION("GOOGLETRANSLATE(B2913,""en"",""pt-br"")"),"negativo")</f>
        <v>negativo</v>
      </c>
    </row>
    <row r="2914" ht="15.75" customHeight="1">
      <c r="A2914" s="2" t="s">
        <v>2913</v>
      </c>
      <c r="B2914" s="2" t="s">
        <v>3</v>
      </c>
      <c r="C2914" s="1" t="str">
        <f>IFERROR(__xludf.DUMMYFUNCTION("GOOGLETRANSLATE(A2914,""en"",""pt-br"")"),"heckled")</f>
        <v>heckled</v>
      </c>
      <c r="D2914" s="1" t="str">
        <f>IFERROR(__xludf.DUMMYFUNCTION("GOOGLETRANSLATE(B2914,""en"",""pt-br"")"),"negativo")</f>
        <v>negativo</v>
      </c>
    </row>
    <row r="2915" ht="15.75" customHeight="1">
      <c r="A2915" s="2" t="s">
        <v>2914</v>
      </c>
      <c r="B2915" s="2" t="s">
        <v>3</v>
      </c>
      <c r="C2915" s="1" t="str">
        <f>IFERROR(__xludf.DUMMYFUNCTION("GOOGLETRANSLATE(A2915,""en"",""pt-br"")"),"heckles")</f>
        <v>heckles</v>
      </c>
      <c r="D2915" s="1" t="str">
        <f>IFERROR(__xludf.DUMMYFUNCTION("GOOGLETRANSLATE(B2915,""en"",""pt-br"")"),"negativo")</f>
        <v>negativo</v>
      </c>
    </row>
    <row r="2916" ht="15.75" customHeight="1">
      <c r="A2916" s="2" t="s">
        <v>2915</v>
      </c>
      <c r="B2916" s="2" t="s">
        <v>3</v>
      </c>
      <c r="C2916" s="1" t="str">
        <f>IFERROR(__xludf.DUMMYFUNCTION("GOOGLETRANSLATE(A2916,""en"",""pt-br"")"),"agitado")</f>
        <v>agitado</v>
      </c>
      <c r="D2916" s="1" t="str">
        <f>IFERROR(__xludf.DUMMYFUNCTION("GOOGLETRANSLATE(B2916,""en"",""pt-br"")"),"negativo")</f>
        <v>negativo</v>
      </c>
    </row>
    <row r="2917" ht="15.75" customHeight="1">
      <c r="A2917" s="2" t="s">
        <v>2916</v>
      </c>
      <c r="B2917" s="2" t="s">
        <v>3</v>
      </c>
      <c r="C2917" s="1" t="str">
        <f>IFERROR(__xludf.DUMMYFUNCTION("GOOGLETRANSLATE(A2917,""en"",""pt-br"")"),"cerca")</f>
        <v>cerca</v>
      </c>
      <c r="D2917" s="1" t="str">
        <f>IFERROR(__xludf.DUMMYFUNCTION("GOOGLETRANSLATE(B2917,""en"",""pt-br"")"),"negativo")</f>
        <v>negativo</v>
      </c>
    </row>
    <row r="2918" ht="15.75" customHeight="1">
      <c r="A2918" s="2" t="s">
        <v>2917</v>
      </c>
      <c r="B2918" s="2" t="s">
        <v>3</v>
      </c>
      <c r="C2918" s="1" t="str">
        <f>IFERROR(__xludf.DUMMYFUNCTION("GOOGLETRANSLATE(A2918,""en"",""pt-br"")"),"hedonista")</f>
        <v>hedonista</v>
      </c>
      <c r="D2918" s="1" t="str">
        <f>IFERROR(__xludf.DUMMYFUNCTION("GOOGLETRANSLATE(B2918,""en"",""pt-br"")"),"negativo")</f>
        <v>negativo</v>
      </c>
    </row>
    <row r="2919" ht="15.75" customHeight="1">
      <c r="A2919" s="2" t="s">
        <v>2918</v>
      </c>
      <c r="B2919" s="2" t="s">
        <v>3</v>
      </c>
      <c r="C2919" s="1" t="str">
        <f>IFERROR(__xludf.DUMMYFUNCTION("GOOGLETRANSLATE(A2919,""en"",""pt-br"")"),"negligente")</f>
        <v>negligente</v>
      </c>
      <c r="D2919" s="1" t="str">
        <f>IFERROR(__xludf.DUMMYFUNCTION("GOOGLETRANSLATE(B2919,""en"",""pt-br"")"),"negativo")</f>
        <v>negativo</v>
      </c>
    </row>
    <row r="2920" ht="15.75" customHeight="1">
      <c r="A2920" s="2" t="s">
        <v>2919</v>
      </c>
      <c r="B2920" s="2" t="s">
        <v>3</v>
      </c>
      <c r="C2920" s="1" t="str">
        <f>IFERROR(__xludf.DUMMYFUNCTION("GOOGLETRANSLATE(A2920,""en"",""pt-br"")"),"robusto")</f>
        <v>robusto</v>
      </c>
      <c r="D2920" s="1" t="str">
        <f>IFERROR(__xludf.DUMMYFUNCTION("GOOGLETRANSLATE(B2920,""en"",""pt-br"")"),"negativo")</f>
        <v>negativo</v>
      </c>
    </row>
    <row r="2921" ht="15.75" customHeight="1">
      <c r="A2921" s="2" t="s">
        <v>2920</v>
      </c>
      <c r="B2921" s="2" t="s">
        <v>3</v>
      </c>
      <c r="C2921" s="1" t="str">
        <f>IFERROR(__xludf.DUMMYFUNCTION("GOOGLETRANSLATE(A2921,""en"",""pt-br"")"),"hegemonismo")</f>
        <v>hegemonismo</v>
      </c>
      <c r="D2921" s="1" t="str">
        <f>IFERROR(__xludf.DUMMYFUNCTION("GOOGLETRANSLATE(B2921,""en"",""pt-br"")"),"negativo")</f>
        <v>negativo</v>
      </c>
    </row>
    <row r="2922" ht="15.75" customHeight="1">
      <c r="A2922" s="2" t="s">
        <v>2921</v>
      </c>
      <c r="B2922" s="2" t="s">
        <v>3</v>
      </c>
      <c r="C2922" s="1" t="str">
        <f>IFERROR(__xludf.DUMMYFUNCTION("GOOGLETRANSLATE(A2922,""en"",""pt-br"")"),"hegemônista")</f>
        <v>hegemônista</v>
      </c>
      <c r="D2922" s="1" t="str">
        <f>IFERROR(__xludf.DUMMYFUNCTION("GOOGLETRANSLATE(B2922,""en"",""pt-br"")"),"negativo")</f>
        <v>negativo</v>
      </c>
    </row>
    <row r="2923" ht="15.75" customHeight="1">
      <c r="A2923" s="2" t="s">
        <v>2922</v>
      </c>
      <c r="B2923" s="2" t="s">
        <v>3</v>
      </c>
      <c r="C2923" s="1" t="str">
        <f>IFERROR(__xludf.DUMMYFUNCTION("GOOGLETRANSLATE(A2923,""en"",""pt-br"")"),"hegemonia")</f>
        <v>hegemonia</v>
      </c>
      <c r="D2923" s="1" t="str">
        <f>IFERROR(__xludf.DUMMYFUNCTION("GOOGLETRANSLATE(B2923,""en"",""pt-br"")"),"negativo")</f>
        <v>negativo</v>
      </c>
    </row>
    <row r="2924" ht="15.75" customHeight="1">
      <c r="A2924" s="2" t="s">
        <v>2923</v>
      </c>
      <c r="B2924" s="2" t="s">
        <v>3</v>
      </c>
      <c r="C2924" s="1" t="str">
        <f>IFERROR(__xludf.DUMMYFUNCTION("GOOGLETRANSLATE(A2924,""en"",""pt-br"")"),"hediondo")</f>
        <v>hediondo</v>
      </c>
      <c r="D2924" s="1" t="str">
        <f>IFERROR(__xludf.DUMMYFUNCTION("GOOGLETRANSLATE(B2924,""en"",""pt-br"")"),"negativo")</f>
        <v>negativo</v>
      </c>
    </row>
    <row r="2925" ht="15.75" customHeight="1">
      <c r="A2925" s="2" t="s">
        <v>2924</v>
      </c>
      <c r="B2925" s="2" t="s">
        <v>3</v>
      </c>
      <c r="C2925" s="1" t="str">
        <f>IFERROR(__xludf.DUMMYFUNCTION("GOOGLETRANSLATE(A2925,""en"",""pt-br"")"),"inferno")</f>
        <v>inferno</v>
      </c>
      <c r="D2925" s="1" t="str">
        <f>IFERROR(__xludf.DUMMYFUNCTION("GOOGLETRANSLATE(B2925,""en"",""pt-br"")"),"negativo")</f>
        <v>negativo</v>
      </c>
    </row>
    <row r="2926" ht="15.75" customHeight="1">
      <c r="A2926" s="2" t="s">
        <v>2925</v>
      </c>
      <c r="B2926" s="2" t="s">
        <v>3</v>
      </c>
      <c r="C2926" s="1" t="str">
        <f>IFERROR(__xludf.DUMMYFUNCTION("GOOGLETRANSLATE(A2926,""en"",""pt-br"")"),"decidido")</f>
        <v>decidido</v>
      </c>
      <c r="D2926" s="1" t="str">
        <f>IFERROR(__xludf.DUMMYFUNCTION("GOOGLETRANSLATE(B2926,""en"",""pt-br"")"),"negativo")</f>
        <v>negativo</v>
      </c>
    </row>
    <row r="2927" ht="15.75" customHeight="1">
      <c r="A2927" s="2" t="s">
        <v>2926</v>
      </c>
      <c r="B2927" s="2" t="s">
        <v>3</v>
      </c>
      <c r="C2927" s="1" t="str">
        <f>IFERROR(__xludf.DUMMYFUNCTION("GOOGLETRANSLATE(A2927,""en"",""pt-br"")"),"diabinho")</f>
        <v>diabinho</v>
      </c>
      <c r="D2927" s="1" t="str">
        <f>IFERROR(__xludf.DUMMYFUNCTION("GOOGLETRANSLATE(B2927,""en"",""pt-br"")"),"negativo")</f>
        <v>negativo</v>
      </c>
    </row>
    <row r="2928" ht="15.75" customHeight="1">
      <c r="A2928" s="2" t="s">
        <v>2927</v>
      </c>
      <c r="B2928" s="2" t="s">
        <v>3</v>
      </c>
      <c r="C2928" s="1" t="str">
        <f>IFERROR(__xludf.DUMMYFUNCTION("GOOGLETRANSLATE(A2928,""en"",""pt-br"")"),"infernos")</f>
        <v>infernos</v>
      </c>
      <c r="D2928" s="1" t="str">
        <f>IFERROR(__xludf.DUMMYFUNCTION("GOOGLETRANSLATE(B2928,""en"",""pt-br"")"),"negativo")</f>
        <v>negativo</v>
      </c>
    </row>
    <row r="2929" ht="15.75" customHeight="1">
      <c r="A2929" s="2" t="s">
        <v>2928</v>
      </c>
      <c r="B2929" s="2" t="s">
        <v>14</v>
      </c>
      <c r="C2929" s="1" t="str">
        <f>IFERROR(__xludf.DUMMYFUNCTION("GOOGLETRANSLATE(A2929,""en"",""pt-br"")"),"ajudou")</f>
        <v>ajudou</v>
      </c>
      <c r="D2929" s="1" t="str">
        <f>IFERROR(__xludf.DUMMYFUNCTION("GOOGLETRANSLATE(B2929,""en"",""pt-br"")"),"positivo")</f>
        <v>positivo</v>
      </c>
    </row>
    <row r="2930" ht="15.75" customHeight="1">
      <c r="A2930" s="2" t="s">
        <v>2929</v>
      </c>
      <c r="B2930" s="2" t="s">
        <v>14</v>
      </c>
      <c r="C2930" s="1" t="str">
        <f>IFERROR(__xludf.DUMMYFUNCTION("GOOGLETRANSLATE(A2930,""en"",""pt-br"")"),"útil")</f>
        <v>útil</v>
      </c>
      <c r="D2930" s="1" t="str">
        <f>IFERROR(__xludf.DUMMYFUNCTION("GOOGLETRANSLATE(B2930,""en"",""pt-br"")"),"positivo")</f>
        <v>positivo</v>
      </c>
    </row>
    <row r="2931" ht="15.75" customHeight="1">
      <c r="A2931" s="2" t="s">
        <v>2930</v>
      </c>
      <c r="B2931" s="2" t="s">
        <v>14</v>
      </c>
      <c r="C2931" s="1" t="str">
        <f>IFERROR(__xludf.DUMMYFUNCTION("GOOGLETRANSLATE(A2931,""en"",""pt-br"")"),"ajuda")</f>
        <v>ajuda</v>
      </c>
      <c r="D2931" s="1" t="str">
        <f>IFERROR(__xludf.DUMMYFUNCTION("GOOGLETRANSLATE(B2931,""en"",""pt-br"")"),"positivo")</f>
        <v>positivo</v>
      </c>
    </row>
    <row r="2932" ht="15.75" customHeight="1">
      <c r="A2932" s="2" t="s">
        <v>2931</v>
      </c>
      <c r="B2932" s="2" t="s">
        <v>3</v>
      </c>
      <c r="C2932" s="1" t="str">
        <f>IFERROR(__xludf.DUMMYFUNCTION("GOOGLETRANSLATE(A2932,""en"",""pt-br"")"),"desamparado")</f>
        <v>desamparado</v>
      </c>
      <c r="D2932" s="1" t="str">
        <f>IFERROR(__xludf.DUMMYFUNCTION("GOOGLETRANSLATE(B2932,""en"",""pt-br"")"),"negativo")</f>
        <v>negativo</v>
      </c>
    </row>
    <row r="2933" ht="15.75" customHeight="1">
      <c r="A2933" s="2" t="s">
        <v>2932</v>
      </c>
      <c r="B2933" s="2" t="s">
        <v>3</v>
      </c>
      <c r="C2933" s="1" t="str">
        <f>IFERROR(__xludf.DUMMYFUNCTION("GOOGLETRANSLATE(A2933,""en"",""pt-br"")"),"impotente")</f>
        <v>impotente</v>
      </c>
      <c r="D2933" s="1" t="str">
        <f>IFERROR(__xludf.DUMMYFUNCTION("GOOGLETRANSLATE(B2933,""en"",""pt-br"")"),"negativo")</f>
        <v>negativo</v>
      </c>
    </row>
    <row r="2934" ht="15.75" customHeight="1">
      <c r="A2934" s="2" t="s">
        <v>2933</v>
      </c>
      <c r="B2934" s="2" t="s">
        <v>3</v>
      </c>
      <c r="C2934" s="1" t="str">
        <f>IFERROR(__xludf.DUMMYFUNCTION("GOOGLETRANSLATE(A2934,""en"",""pt-br"")"),"desamparo")</f>
        <v>desamparo</v>
      </c>
      <c r="D2934" s="1" t="str">
        <f>IFERROR(__xludf.DUMMYFUNCTION("GOOGLETRANSLATE(B2934,""en"",""pt-br"")"),"negativo")</f>
        <v>negativo</v>
      </c>
    </row>
    <row r="2935" ht="15.75" customHeight="1">
      <c r="A2935" s="2" t="s">
        <v>2934</v>
      </c>
      <c r="B2935" s="2" t="s">
        <v>3</v>
      </c>
      <c r="C2935" s="1" t="str">
        <f>IFERROR(__xludf.DUMMYFUNCTION("GOOGLETRANSLATE(A2935,""en"",""pt-br"")"),"heresia")</f>
        <v>heresia</v>
      </c>
      <c r="D2935" s="1" t="str">
        <f>IFERROR(__xludf.DUMMYFUNCTION("GOOGLETRANSLATE(B2935,""en"",""pt-br"")"),"negativo")</f>
        <v>negativo</v>
      </c>
    </row>
    <row r="2936" ht="15.75" customHeight="1">
      <c r="A2936" s="2" t="s">
        <v>2935</v>
      </c>
      <c r="B2936" s="2" t="s">
        <v>3</v>
      </c>
      <c r="C2936" s="1" t="str">
        <f>IFERROR(__xludf.DUMMYFUNCTION("GOOGLETRANSLATE(A2936,""en"",""pt-br"")"),"herege")</f>
        <v>herege</v>
      </c>
      <c r="D2936" s="1" t="str">
        <f>IFERROR(__xludf.DUMMYFUNCTION("GOOGLETRANSLATE(B2936,""en"",""pt-br"")"),"negativo")</f>
        <v>negativo</v>
      </c>
    </row>
    <row r="2937" ht="15.75" customHeight="1">
      <c r="A2937" s="2" t="s">
        <v>2936</v>
      </c>
      <c r="B2937" s="2" t="s">
        <v>3</v>
      </c>
      <c r="C2937" s="1" t="str">
        <f>IFERROR(__xludf.DUMMYFUNCTION("GOOGLETRANSLATE(A2937,""en"",""pt-br"")"),"herético")</f>
        <v>herético</v>
      </c>
      <c r="D2937" s="1" t="str">
        <f>IFERROR(__xludf.DUMMYFUNCTION("GOOGLETRANSLATE(B2937,""en"",""pt-br"")"),"negativo")</f>
        <v>negativo</v>
      </c>
    </row>
    <row r="2938" ht="15.75" customHeight="1">
      <c r="A2938" s="2" t="s">
        <v>2937</v>
      </c>
      <c r="B2938" s="2" t="s">
        <v>14</v>
      </c>
      <c r="C2938" s="1" t="str">
        <f>IFERROR(__xludf.DUMMYFUNCTION("GOOGLETRANSLATE(A2938,""en"",""pt-br"")"),"herói")</f>
        <v>herói</v>
      </c>
      <c r="D2938" s="1" t="str">
        <f>IFERROR(__xludf.DUMMYFUNCTION("GOOGLETRANSLATE(B2938,""en"",""pt-br"")"),"positivo")</f>
        <v>positivo</v>
      </c>
    </row>
    <row r="2939" ht="15.75" customHeight="1">
      <c r="A2939" s="2" t="s">
        <v>2938</v>
      </c>
      <c r="B2939" s="2" t="s">
        <v>14</v>
      </c>
      <c r="C2939" s="1" t="str">
        <f>IFERROR(__xludf.DUMMYFUNCTION("GOOGLETRANSLATE(A2939,""en"",""pt-br"")"),"heróico")</f>
        <v>heróico</v>
      </c>
      <c r="D2939" s="1" t="str">
        <f>IFERROR(__xludf.DUMMYFUNCTION("GOOGLETRANSLATE(B2939,""en"",""pt-br"")"),"positivo")</f>
        <v>positivo</v>
      </c>
    </row>
    <row r="2940" ht="15.75" customHeight="1">
      <c r="A2940" s="2" t="s">
        <v>2939</v>
      </c>
      <c r="B2940" s="2" t="s">
        <v>14</v>
      </c>
      <c r="C2940" s="1" t="str">
        <f>IFERROR(__xludf.DUMMYFUNCTION("GOOGLETRANSLATE(A2940,""en"",""pt-br"")"),"heroicamente")</f>
        <v>heroicamente</v>
      </c>
      <c r="D2940" s="1" t="str">
        <f>IFERROR(__xludf.DUMMYFUNCTION("GOOGLETRANSLATE(B2940,""en"",""pt-br"")"),"positivo")</f>
        <v>positivo</v>
      </c>
    </row>
    <row r="2941" ht="15.75" customHeight="1">
      <c r="A2941" s="2" t="s">
        <v>2940</v>
      </c>
      <c r="B2941" s="2" t="s">
        <v>14</v>
      </c>
      <c r="C2941" s="1" t="str">
        <f>IFERROR(__xludf.DUMMYFUNCTION("GOOGLETRANSLATE(A2941,""en"",""pt-br"")"),"heroína")</f>
        <v>heroína</v>
      </c>
      <c r="D2941" s="1" t="str">
        <f>IFERROR(__xludf.DUMMYFUNCTION("GOOGLETRANSLATE(B2941,""en"",""pt-br"")"),"positivo")</f>
        <v>positivo</v>
      </c>
    </row>
    <row r="2942" ht="15.75" customHeight="1">
      <c r="A2942" s="2" t="s">
        <v>2941</v>
      </c>
      <c r="B2942" s="2" t="s">
        <v>14</v>
      </c>
      <c r="C2942" s="1" t="str">
        <f>IFERROR(__xludf.DUMMYFUNCTION("GOOGLETRANSLATE(A2942,""en"",""pt-br"")"),"heroize")</f>
        <v>heroize</v>
      </c>
      <c r="D2942" s="1" t="str">
        <f>IFERROR(__xludf.DUMMYFUNCTION("GOOGLETRANSLATE(B2942,""en"",""pt-br"")"),"positivo")</f>
        <v>positivo</v>
      </c>
    </row>
    <row r="2943" ht="15.75" customHeight="1">
      <c r="A2943" s="2" t="s">
        <v>2942</v>
      </c>
      <c r="B2943" s="2" t="s">
        <v>14</v>
      </c>
      <c r="C2943" s="1" t="str">
        <f>IFERROR(__xludf.DUMMYFUNCTION("GOOGLETRANSLATE(A2943,""en"",""pt-br"")"),"heros")</f>
        <v>heros</v>
      </c>
      <c r="D2943" s="1" t="str">
        <f>IFERROR(__xludf.DUMMYFUNCTION("GOOGLETRANSLATE(B2943,""en"",""pt-br"")"),"positivo")</f>
        <v>positivo</v>
      </c>
    </row>
    <row r="2944" ht="15.75" customHeight="1">
      <c r="A2944" s="2" t="s">
        <v>2943</v>
      </c>
      <c r="B2944" s="2" t="s">
        <v>3</v>
      </c>
      <c r="C2944" s="1" t="str">
        <f>IFERROR(__xludf.DUMMYFUNCTION("GOOGLETRANSLATE(A2944,""en"",""pt-br"")"),"hesitante")</f>
        <v>hesitante</v>
      </c>
      <c r="D2944" s="1" t="str">
        <f>IFERROR(__xludf.DUMMYFUNCTION("GOOGLETRANSLATE(B2944,""en"",""pt-br"")"),"negativo")</f>
        <v>negativo</v>
      </c>
    </row>
    <row r="2945" ht="15.75" customHeight="1">
      <c r="A2945" s="2" t="s">
        <v>2944</v>
      </c>
      <c r="B2945" s="2" t="s">
        <v>3</v>
      </c>
      <c r="C2945" s="1" t="str">
        <f>IFERROR(__xludf.DUMMYFUNCTION("GOOGLETRANSLATE(A2945,""en"",""pt-br"")"),"hestitant")</f>
        <v>hestitant</v>
      </c>
      <c r="D2945" s="1" t="str">
        <f>IFERROR(__xludf.DUMMYFUNCTION("GOOGLETRANSLATE(B2945,""en"",""pt-br"")"),"negativo")</f>
        <v>negativo</v>
      </c>
    </row>
    <row r="2946" ht="15.75" customHeight="1">
      <c r="A2946" s="2" t="s">
        <v>2945</v>
      </c>
      <c r="B2946" s="2" t="s">
        <v>3</v>
      </c>
      <c r="C2946" s="1" t="str">
        <f>IFERROR(__xludf.DUMMYFUNCTION("GOOGLETRANSLATE(A2946,""en"",""pt-br"")"),"medonho")</f>
        <v>medonho</v>
      </c>
      <c r="D2946" s="1" t="str">
        <f>IFERROR(__xludf.DUMMYFUNCTION("GOOGLETRANSLATE(B2946,""en"",""pt-br"")"),"negativo")</f>
        <v>negativo</v>
      </c>
    </row>
    <row r="2947" ht="15.75" customHeight="1">
      <c r="A2947" s="2" t="s">
        <v>2946</v>
      </c>
      <c r="B2947" s="2" t="s">
        <v>3</v>
      </c>
      <c r="C2947" s="1" t="str">
        <f>IFERROR(__xludf.DUMMYFUNCTION("GOOGLETRANSLATE(A2947,""en"",""pt-br"")"),"hideously")</f>
        <v>hideously</v>
      </c>
      <c r="D2947" s="1" t="str">
        <f>IFERROR(__xludf.DUMMYFUNCTION("GOOGLETRANSLATE(B2947,""en"",""pt-br"")"),"negativo")</f>
        <v>negativo</v>
      </c>
    </row>
    <row r="2948" ht="15.75" customHeight="1">
      <c r="A2948" s="2" t="s">
        <v>2947</v>
      </c>
      <c r="B2948" s="2" t="s">
        <v>3</v>
      </c>
      <c r="C2948" s="1" t="str">
        <f>IFERROR(__xludf.DUMMYFUNCTION("GOOGLETRANSLATE(A2948,""en"",""pt-br"")"),"hediondez")</f>
        <v>hediondez</v>
      </c>
      <c r="D2948" s="1" t="str">
        <f>IFERROR(__xludf.DUMMYFUNCTION("GOOGLETRANSLATE(B2948,""en"",""pt-br"")"),"negativo")</f>
        <v>negativo</v>
      </c>
    </row>
    <row r="2949" ht="15.75" customHeight="1">
      <c r="A2949" s="2" t="s">
        <v>2948</v>
      </c>
      <c r="B2949" s="2" t="s">
        <v>3</v>
      </c>
      <c r="C2949" s="1" t="str">
        <f>IFERROR(__xludf.DUMMYFUNCTION("GOOGLETRANSLATE(A2949,""en"",""pt-br"")"),"caro")</f>
        <v>caro</v>
      </c>
      <c r="D2949" s="1" t="str">
        <f>IFERROR(__xludf.DUMMYFUNCTION("GOOGLETRANSLATE(B2949,""en"",""pt-br"")"),"negativo")</f>
        <v>negativo</v>
      </c>
    </row>
    <row r="2950" ht="15.75" customHeight="1">
      <c r="A2950" s="2" t="s">
        <v>2949</v>
      </c>
      <c r="B2950" s="2" t="s">
        <v>14</v>
      </c>
      <c r="C2950" s="1" t="str">
        <f>IFERROR(__xludf.DUMMYFUNCTION("GOOGLETRANSLATE(A2950,""en"",""pt-br"")"),"alta qualidade")</f>
        <v>alta qualidade</v>
      </c>
      <c r="D2950" s="1" t="str">
        <f>IFERROR(__xludf.DUMMYFUNCTION("GOOGLETRANSLATE(B2950,""en"",""pt-br"")"),"positivo")</f>
        <v>positivo</v>
      </c>
    </row>
    <row r="2951" ht="15.75" customHeight="1">
      <c r="A2951" s="2" t="s">
        <v>2950</v>
      </c>
      <c r="B2951" s="2" t="s">
        <v>14</v>
      </c>
      <c r="C2951" s="1" t="str">
        <f>IFERROR(__xludf.DUMMYFUNCTION("GOOGLETRANSLATE(A2951,""en"",""pt-br"")"),"De alta espirituoso")</f>
        <v>De alta espirituoso</v>
      </c>
      <c r="D2951" s="1" t="str">
        <f>IFERROR(__xludf.DUMMYFUNCTION("GOOGLETRANSLATE(B2951,""en"",""pt-br"")"),"positivo")</f>
        <v>positivo</v>
      </c>
    </row>
    <row r="2952" ht="15.75" customHeight="1">
      <c r="A2952" s="2" t="s">
        <v>2951</v>
      </c>
      <c r="B2952" s="2" t="s">
        <v>14</v>
      </c>
      <c r="C2952" s="1" t="str">
        <f>IFERROR(__xludf.DUMMYFUNCTION("GOOGLETRANSLATE(A2952,""en"",""pt-br"")"),"Hilário")</f>
        <v>Hilário</v>
      </c>
      <c r="D2952" s="1" t="str">
        <f>IFERROR(__xludf.DUMMYFUNCTION("GOOGLETRANSLATE(B2952,""en"",""pt-br"")"),"positivo")</f>
        <v>positivo</v>
      </c>
    </row>
    <row r="2953" ht="15.75" customHeight="1">
      <c r="A2953" s="2" t="s">
        <v>2952</v>
      </c>
      <c r="B2953" s="2" t="s">
        <v>3</v>
      </c>
      <c r="C2953" s="1" t="str">
        <f>IFERROR(__xludf.DUMMYFUNCTION("GOOGLETRANSLATE(A2953,""en"",""pt-br"")"),"hiliarious")</f>
        <v>hiliarious</v>
      </c>
      <c r="D2953" s="1" t="str">
        <f>IFERROR(__xludf.DUMMYFUNCTION("GOOGLETRANSLATE(B2953,""en"",""pt-br"")"),"negativo")</f>
        <v>negativo</v>
      </c>
    </row>
    <row r="2954" ht="15.75" customHeight="1">
      <c r="A2954" s="2" t="s">
        <v>2953</v>
      </c>
      <c r="B2954" s="2" t="s">
        <v>3</v>
      </c>
      <c r="C2954" s="1" t="str">
        <f>IFERROR(__xludf.DUMMYFUNCTION("GOOGLETRANSLATE(A2954,""en"",""pt-br"")"),"Hinder")</f>
        <v>Hinder</v>
      </c>
      <c r="D2954" s="1" t="str">
        <f>IFERROR(__xludf.DUMMYFUNCTION("GOOGLETRANSLATE(B2954,""en"",""pt-br"")"),"negativo")</f>
        <v>negativo</v>
      </c>
    </row>
    <row r="2955" ht="15.75" customHeight="1">
      <c r="A2955" s="2" t="s">
        <v>2954</v>
      </c>
      <c r="B2955" s="2" t="s">
        <v>3</v>
      </c>
      <c r="C2955" s="1" t="str">
        <f>IFERROR(__xludf.DUMMYFUNCTION("GOOGLETRANSLATE(A2955,""en"",""pt-br"")"),"obstáculo")</f>
        <v>obstáculo</v>
      </c>
      <c r="D2955" s="1" t="str">
        <f>IFERROR(__xludf.DUMMYFUNCTION("GOOGLETRANSLATE(B2955,""en"",""pt-br"")"),"negativo")</f>
        <v>negativo</v>
      </c>
    </row>
    <row r="2956" ht="15.75" customHeight="1">
      <c r="A2956" s="2" t="s">
        <v>2955</v>
      </c>
      <c r="B2956" s="2" t="s">
        <v>3</v>
      </c>
      <c r="C2956" s="1" t="str">
        <f>IFERROR(__xludf.DUMMYFUNCTION("GOOGLETRANSLATE(A2956,""en"",""pt-br"")"),"silvo")</f>
        <v>silvo</v>
      </c>
      <c r="D2956" s="1" t="str">
        <f>IFERROR(__xludf.DUMMYFUNCTION("GOOGLETRANSLATE(B2956,""en"",""pt-br"")"),"negativo")</f>
        <v>negativo</v>
      </c>
    </row>
    <row r="2957" ht="15.75" customHeight="1">
      <c r="A2957" s="2" t="s">
        <v>2956</v>
      </c>
      <c r="B2957" s="2" t="s">
        <v>3</v>
      </c>
      <c r="C2957" s="1" t="str">
        <f>IFERROR(__xludf.DUMMYFUNCTION("GOOGLETRANSLATE(A2957,""en"",""pt-br"")"),"assobiou")</f>
        <v>assobiou</v>
      </c>
      <c r="D2957" s="1" t="str">
        <f>IFERROR(__xludf.DUMMYFUNCTION("GOOGLETRANSLATE(B2957,""en"",""pt-br"")"),"negativo")</f>
        <v>negativo</v>
      </c>
    </row>
    <row r="2958" ht="15.75" customHeight="1">
      <c r="A2958" s="2" t="s">
        <v>2957</v>
      </c>
      <c r="B2958" s="2" t="s">
        <v>3</v>
      </c>
      <c r="C2958" s="1" t="str">
        <f>IFERROR(__xludf.DUMMYFUNCTION("GOOGLETRANSLATE(A2958,""en"",""pt-br"")"),"assobio")</f>
        <v>assobio</v>
      </c>
      <c r="D2958" s="1" t="str">
        <f>IFERROR(__xludf.DUMMYFUNCTION("GOOGLETRANSLATE(B2958,""en"",""pt-br"")"),"negativo")</f>
        <v>negativo</v>
      </c>
    </row>
    <row r="2959" ht="15.75" customHeight="1">
      <c r="A2959" s="2" t="s">
        <v>2958</v>
      </c>
      <c r="B2959" s="2" t="s">
        <v>3</v>
      </c>
      <c r="C2959" s="1" t="str">
        <f>IFERROR(__xludf.DUMMYFUNCTION("GOOGLETRANSLATE(A2959,""en"",""pt-br"")"),"ho-hum")</f>
        <v>ho-hum</v>
      </c>
      <c r="D2959" s="1" t="str">
        <f>IFERROR(__xludf.DUMMYFUNCTION("GOOGLETRANSLATE(B2959,""en"",""pt-br"")"),"negativo")</f>
        <v>negativo</v>
      </c>
    </row>
    <row r="2960" ht="15.75" customHeight="1">
      <c r="A2960" s="2" t="s">
        <v>2959</v>
      </c>
      <c r="B2960" s="2" t="s">
        <v>3</v>
      </c>
      <c r="C2960" s="1" t="str">
        <f>IFERROR(__xludf.DUMMYFUNCTION("GOOGLETRANSLATE(A2960,""en"",""pt-br"")"),"Tesouro escondido")</f>
        <v>Tesouro escondido</v>
      </c>
      <c r="D2960" s="1" t="str">
        <f>IFERROR(__xludf.DUMMYFUNCTION("GOOGLETRANSLATE(B2960,""en"",""pt-br"")"),"negativo")</f>
        <v>negativo</v>
      </c>
    </row>
    <row r="2961" ht="15.75" customHeight="1">
      <c r="A2961" s="2" t="s">
        <v>2960</v>
      </c>
      <c r="B2961" s="2" t="s">
        <v>3</v>
      </c>
      <c r="C2961" s="1" t="str">
        <f>IFERROR(__xludf.DUMMYFUNCTION("GOOGLETRANSLATE(A2961,""en"",""pt-br"")"),"engano")</f>
        <v>engano</v>
      </c>
      <c r="D2961" s="1" t="str">
        <f>IFERROR(__xludf.DUMMYFUNCTION("GOOGLETRANSLATE(B2961,""en"",""pt-br"")"),"negativo")</f>
        <v>negativo</v>
      </c>
    </row>
    <row r="2962" ht="15.75" customHeight="1">
      <c r="A2962" s="2" t="s">
        <v>2961</v>
      </c>
      <c r="B2962" s="2" t="s">
        <v>3</v>
      </c>
      <c r="C2962" s="1" t="str">
        <f>IFERROR(__xludf.DUMMYFUNCTION("GOOGLETRANSLATE(A2962,""en"",""pt-br"")"),"mancar")</f>
        <v>mancar</v>
      </c>
      <c r="D2962" s="1" t="str">
        <f>IFERROR(__xludf.DUMMYFUNCTION("GOOGLETRANSLATE(B2962,""en"",""pt-br"")"),"negativo")</f>
        <v>negativo</v>
      </c>
    </row>
    <row r="2963" ht="15.75" customHeight="1">
      <c r="A2963" s="2" t="s">
        <v>2962</v>
      </c>
      <c r="B2963" s="2" t="s">
        <v>3</v>
      </c>
      <c r="C2963" s="1" t="str">
        <f>IFERROR(__xludf.DUMMYFUNCTION("GOOGLETRANSLATE(A2963,""en"",""pt-br"")"),"porcos")</f>
        <v>porcos</v>
      </c>
      <c r="D2963" s="1" t="str">
        <f>IFERROR(__xludf.DUMMYFUNCTION("GOOGLETRANSLATE(B2963,""en"",""pt-br"")"),"negativo")</f>
        <v>negativo</v>
      </c>
    </row>
    <row r="2964" ht="15.75" customHeight="1">
      <c r="A2964" s="2" t="s">
        <v>2963</v>
      </c>
      <c r="B2964" s="2" t="s">
        <v>3</v>
      </c>
      <c r="C2964" s="1" t="str">
        <f>IFERROR(__xludf.DUMMYFUNCTION("GOOGLETRANSLATE(A2964,""en"",""pt-br"")"),"oco")</f>
        <v>oco</v>
      </c>
      <c r="D2964" s="1" t="str">
        <f>IFERROR(__xludf.DUMMYFUNCTION("GOOGLETRANSLATE(B2964,""en"",""pt-br"")"),"negativo")</f>
        <v>negativo</v>
      </c>
    </row>
    <row r="2965" ht="15.75" customHeight="1">
      <c r="A2965" s="2" t="s">
        <v>2964</v>
      </c>
      <c r="B2965" s="2" t="s">
        <v>14</v>
      </c>
      <c r="C2965" s="1" t="str">
        <f>IFERROR(__xludf.DUMMYFUNCTION("GOOGLETRANSLATE(A2965,""en"",""pt-br"")"),"piedosos")</f>
        <v>piedosos</v>
      </c>
      <c r="D2965" s="1" t="str">
        <f>IFERROR(__xludf.DUMMYFUNCTION("GOOGLETRANSLATE(B2965,""en"",""pt-br"")"),"positivo")</f>
        <v>positivo</v>
      </c>
    </row>
    <row r="2966" ht="15.75" customHeight="1">
      <c r="A2966" s="2" t="s">
        <v>2965</v>
      </c>
      <c r="B2966" s="2" t="s">
        <v>14</v>
      </c>
      <c r="C2966" s="1" t="str">
        <f>IFERROR(__xludf.DUMMYFUNCTION("GOOGLETRANSLATE(A2966,""en"",""pt-br"")"),"homenagem")</f>
        <v>homenagem</v>
      </c>
      <c r="D2966" s="1" t="str">
        <f>IFERROR(__xludf.DUMMYFUNCTION("GOOGLETRANSLATE(B2966,""en"",""pt-br"")"),"positivo")</f>
        <v>positivo</v>
      </c>
    </row>
    <row r="2967" ht="15.75" customHeight="1">
      <c r="A2967" s="2" t="s">
        <v>2966</v>
      </c>
      <c r="B2967" s="2" t="s">
        <v>14</v>
      </c>
      <c r="C2967" s="1" t="str">
        <f>IFERROR(__xludf.DUMMYFUNCTION("GOOGLETRANSLATE(A2967,""en"",""pt-br"")"),"honesto")</f>
        <v>honesto</v>
      </c>
      <c r="D2967" s="1" t="str">
        <f>IFERROR(__xludf.DUMMYFUNCTION("GOOGLETRANSLATE(B2967,""en"",""pt-br"")"),"positivo")</f>
        <v>positivo</v>
      </c>
    </row>
    <row r="2968" ht="15.75" customHeight="1">
      <c r="A2968" s="2" t="s">
        <v>2967</v>
      </c>
      <c r="B2968" s="2" t="s">
        <v>14</v>
      </c>
      <c r="C2968" s="1" t="str">
        <f>IFERROR(__xludf.DUMMYFUNCTION("GOOGLETRANSLATE(A2968,""en"",""pt-br"")"),"honestidade")</f>
        <v>honestidade</v>
      </c>
      <c r="D2968" s="1" t="str">
        <f>IFERROR(__xludf.DUMMYFUNCTION("GOOGLETRANSLATE(B2968,""en"",""pt-br"")"),"positivo")</f>
        <v>positivo</v>
      </c>
    </row>
    <row r="2969" ht="15.75" customHeight="1">
      <c r="A2969" s="2" t="s">
        <v>2968</v>
      </c>
      <c r="B2969" s="2" t="s">
        <v>14</v>
      </c>
      <c r="C2969" s="1" t="str">
        <f>IFERROR(__xludf.DUMMYFUNCTION("GOOGLETRANSLATE(A2969,""en"",""pt-br"")"),"honra")</f>
        <v>honra</v>
      </c>
      <c r="D2969" s="1" t="str">
        <f>IFERROR(__xludf.DUMMYFUNCTION("GOOGLETRANSLATE(B2969,""en"",""pt-br"")"),"positivo")</f>
        <v>positivo</v>
      </c>
    </row>
    <row r="2970" ht="15.75" customHeight="1">
      <c r="A2970" s="2" t="s">
        <v>2969</v>
      </c>
      <c r="B2970" s="2" t="s">
        <v>14</v>
      </c>
      <c r="C2970" s="1" t="str">
        <f>IFERROR(__xludf.DUMMYFUNCTION("GOOGLETRANSLATE(A2970,""en"",""pt-br"")"),"honroso")</f>
        <v>honroso</v>
      </c>
      <c r="D2970" s="1" t="str">
        <f>IFERROR(__xludf.DUMMYFUNCTION("GOOGLETRANSLATE(B2970,""en"",""pt-br"")"),"positivo")</f>
        <v>positivo</v>
      </c>
    </row>
    <row r="2971" ht="15.75" customHeight="1">
      <c r="A2971" s="2" t="s">
        <v>2970</v>
      </c>
      <c r="B2971" s="2" t="s">
        <v>14</v>
      </c>
      <c r="C2971" s="1" t="str">
        <f>IFERROR(__xludf.DUMMYFUNCTION("GOOGLETRANSLATE(A2971,""en"",""pt-br"")"),"honrado")</f>
        <v>honrado</v>
      </c>
      <c r="D2971" s="1" t="str">
        <f>IFERROR(__xludf.DUMMYFUNCTION("GOOGLETRANSLATE(B2971,""en"",""pt-br"")"),"positivo")</f>
        <v>positivo</v>
      </c>
    </row>
    <row r="2972" ht="15.75" customHeight="1">
      <c r="A2972" s="2" t="s">
        <v>2971</v>
      </c>
      <c r="B2972" s="2" t="s">
        <v>14</v>
      </c>
      <c r="C2972" s="1" t="str">
        <f>IFERROR(__xludf.DUMMYFUNCTION("GOOGLETRANSLATE(A2972,""en"",""pt-br"")"),"homenagem")</f>
        <v>homenagem</v>
      </c>
      <c r="D2972" s="1" t="str">
        <f>IFERROR(__xludf.DUMMYFUNCTION("GOOGLETRANSLATE(B2972,""en"",""pt-br"")"),"positivo")</f>
        <v>positivo</v>
      </c>
    </row>
    <row r="2973" ht="15.75" customHeight="1">
      <c r="A2973" s="2" t="s">
        <v>2972</v>
      </c>
      <c r="B2973" s="2" t="s">
        <v>3</v>
      </c>
      <c r="C2973" s="1" t="str">
        <f>IFERROR(__xludf.DUMMYFUNCTION("GOOGLETRANSLATE(A2973,""en"",""pt-br"")"),"hoodium")</f>
        <v>hoodium</v>
      </c>
      <c r="D2973" s="1" t="str">
        <f>IFERROR(__xludf.DUMMYFUNCTION("GOOGLETRANSLATE(B2973,""en"",""pt-br"")"),"negativo")</f>
        <v>negativo</v>
      </c>
    </row>
    <row r="2974" ht="15.75" customHeight="1">
      <c r="A2974" s="2" t="s">
        <v>2973</v>
      </c>
      <c r="B2974" s="2" t="s">
        <v>3</v>
      </c>
      <c r="C2974" s="1" t="str">
        <f>IFERROR(__xludf.DUMMYFUNCTION("GOOGLETRANSLATE(A2974,""en"",""pt-br"")"),"enganar")</f>
        <v>enganar</v>
      </c>
      <c r="D2974" s="1" t="str">
        <f>IFERROR(__xludf.DUMMYFUNCTION("GOOGLETRANSLATE(B2974,""en"",""pt-br"")"),"negativo")</f>
        <v>negativo</v>
      </c>
    </row>
    <row r="2975" ht="15.75" customHeight="1">
      <c r="A2975" s="2" t="s">
        <v>2974</v>
      </c>
      <c r="B2975" s="2" t="s">
        <v>3</v>
      </c>
      <c r="C2975" s="1" t="str">
        <f>IFERROR(__xludf.DUMMYFUNCTION("GOOGLETRANSLATE(A2975,""en"",""pt-br"")"),"vândalo")</f>
        <v>vândalo</v>
      </c>
      <c r="D2975" s="1" t="str">
        <f>IFERROR(__xludf.DUMMYFUNCTION("GOOGLETRANSLATE(B2975,""en"",""pt-br"")"),"negativo")</f>
        <v>negativo</v>
      </c>
    </row>
    <row r="2976" ht="15.75" customHeight="1">
      <c r="A2976" s="2" t="s">
        <v>2975</v>
      </c>
      <c r="B2976" s="2" t="s">
        <v>14</v>
      </c>
      <c r="C2976" s="1" t="str">
        <f>IFERROR(__xludf.DUMMYFUNCTION("GOOGLETRANSLATE(A2976,""en"",""pt-br"")"),"hooray")</f>
        <v>hooray</v>
      </c>
      <c r="D2976" s="1" t="str">
        <f>IFERROR(__xludf.DUMMYFUNCTION("GOOGLETRANSLATE(B2976,""en"",""pt-br"")"),"positivo")</f>
        <v>positivo</v>
      </c>
    </row>
    <row r="2977" ht="15.75" customHeight="1">
      <c r="A2977" s="2" t="s">
        <v>2976</v>
      </c>
      <c r="B2977" s="2" t="s">
        <v>14</v>
      </c>
      <c r="C2977" s="1" t="str">
        <f>IFERROR(__xludf.DUMMYFUNCTION("GOOGLETRANSLATE(A2977,""en"",""pt-br"")"),"esperançoso")</f>
        <v>esperançoso</v>
      </c>
      <c r="D2977" s="1" t="str">
        <f>IFERROR(__xludf.DUMMYFUNCTION("GOOGLETRANSLATE(B2977,""en"",""pt-br"")"),"positivo")</f>
        <v>positivo</v>
      </c>
    </row>
    <row r="2978" ht="15.75" customHeight="1">
      <c r="A2978" s="2" t="s">
        <v>2977</v>
      </c>
      <c r="B2978" s="2" t="s">
        <v>3</v>
      </c>
      <c r="C2978" s="1" t="str">
        <f>IFERROR(__xludf.DUMMYFUNCTION("GOOGLETRANSLATE(A2978,""en"",""pt-br"")"),"sem esperança")</f>
        <v>sem esperança</v>
      </c>
      <c r="D2978" s="1" t="str">
        <f>IFERROR(__xludf.DUMMYFUNCTION("GOOGLETRANSLATE(B2978,""en"",""pt-br"")"),"negativo")</f>
        <v>negativo</v>
      </c>
    </row>
    <row r="2979" ht="15.75" customHeight="1">
      <c r="A2979" s="2" t="s">
        <v>2978</v>
      </c>
      <c r="B2979" s="2" t="s">
        <v>3</v>
      </c>
      <c r="C2979" s="1" t="str">
        <f>IFERROR(__xludf.DUMMYFUNCTION("GOOGLETRANSLATE(A2979,""en"",""pt-br"")"),"desesperadamente")</f>
        <v>desesperadamente</v>
      </c>
      <c r="D2979" s="1" t="str">
        <f>IFERROR(__xludf.DUMMYFUNCTION("GOOGLETRANSLATE(B2979,""en"",""pt-br"")"),"negativo")</f>
        <v>negativo</v>
      </c>
    </row>
    <row r="2980" ht="15.75" customHeight="1">
      <c r="A2980" s="2" t="s">
        <v>2979</v>
      </c>
      <c r="B2980" s="2" t="s">
        <v>3</v>
      </c>
      <c r="C2980" s="1" t="str">
        <f>IFERROR(__xludf.DUMMYFUNCTION("GOOGLETRANSLATE(A2980,""en"",""pt-br"")"),"desespero")</f>
        <v>desespero</v>
      </c>
      <c r="D2980" s="1" t="str">
        <f>IFERROR(__xludf.DUMMYFUNCTION("GOOGLETRANSLATE(B2980,""en"",""pt-br"")"),"negativo")</f>
        <v>negativo</v>
      </c>
    </row>
    <row r="2981" ht="15.75" customHeight="1">
      <c r="A2981" s="2" t="s">
        <v>2980</v>
      </c>
      <c r="B2981" s="2" t="s">
        <v>3</v>
      </c>
      <c r="C2981" s="1" t="str">
        <f>IFERROR(__xludf.DUMMYFUNCTION("GOOGLETRANSLATE(A2981,""en"",""pt-br"")"),"horda")</f>
        <v>horda</v>
      </c>
      <c r="D2981" s="1" t="str">
        <f>IFERROR(__xludf.DUMMYFUNCTION("GOOGLETRANSLATE(B2981,""en"",""pt-br"")"),"negativo")</f>
        <v>negativo</v>
      </c>
    </row>
    <row r="2982" ht="15.75" customHeight="1">
      <c r="A2982" s="2" t="s">
        <v>2981</v>
      </c>
      <c r="B2982" s="2" t="s">
        <v>3</v>
      </c>
      <c r="C2982" s="1" t="str">
        <f>IFERROR(__xludf.DUMMYFUNCTION("GOOGLETRANSLATE(A2982,""en"",""pt-br"")"),"horrendo")</f>
        <v>horrendo</v>
      </c>
      <c r="D2982" s="1" t="str">
        <f>IFERROR(__xludf.DUMMYFUNCTION("GOOGLETRANSLATE(B2982,""en"",""pt-br"")"),"negativo")</f>
        <v>negativo</v>
      </c>
    </row>
    <row r="2983" ht="15.75" customHeight="1">
      <c r="A2983" s="2" t="s">
        <v>2982</v>
      </c>
      <c r="B2983" s="2" t="s">
        <v>3</v>
      </c>
      <c r="C2983" s="1" t="str">
        <f>IFERROR(__xludf.DUMMYFUNCTION("GOOGLETRANSLATE(A2983,""en"",""pt-br"")"),"horrendously")</f>
        <v>horrendously</v>
      </c>
      <c r="D2983" s="1" t="str">
        <f>IFERROR(__xludf.DUMMYFUNCTION("GOOGLETRANSLATE(B2983,""en"",""pt-br"")"),"negativo")</f>
        <v>negativo</v>
      </c>
    </row>
    <row r="2984" ht="15.75" customHeight="1">
      <c r="A2984" s="2" t="s">
        <v>2983</v>
      </c>
      <c r="B2984" s="2" t="s">
        <v>3</v>
      </c>
      <c r="C2984" s="1" t="str">
        <f>IFERROR(__xludf.DUMMYFUNCTION("GOOGLETRANSLATE(A2984,""en"",""pt-br"")"),"horrível")</f>
        <v>horrível</v>
      </c>
      <c r="D2984" s="1" t="str">
        <f>IFERROR(__xludf.DUMMYFUNCTION("GOOGLETRANSLATE(B2984,""en"",""pt-br"")"),"negativo")</f>
        <v>negativo</v>
      </c>
    </row>
    <row r="2985" ht="15.75" customHeight="1">
      <c r="A2985" s="2" t="s">
        <v>2984</v>
      </c>
      <c r="B2985" s="2" t="s">
        <v>3</v>
      </c>
      <c r="C2985" s="1" t="str">
        <f>IFERROR(__xludf.DUMMYFUNCTION("GOOGLETRANSLATE(A2985,""en"",""pt-br"")"),"horrível")</f>
        <v>horrível</v>
      </c>
      <c r="D2985" s="1" t="str">
        <f>IFERROR(__xludf.DUMMYFUNCTION("GOOGLETRANSLATE(B2985,""en"",""pt-br"")"),"negativo")</f>
        <v>negativo</v>
      </c>
    </row>
    <row r="2986" ht="15.75" customHeight="1">
      <c r="A2986" s="2" t="s">
        <v>2985</v>
      </c>
      <c r="B2986" s="2" t="s">
        <v>3</v>
      </c>
      <c r="C2986" s="1" t="str">
        <f>IFERROR(__xludf.DUMMYFUNCTION("GOOGLETRANSLATE(A2986,""en"",""pt-br"")"),"horrível")</f>
        <v>horrível</v>
      </c>
      <c r="D2986" s="1" t="str">
        <f>IFERROR(__xludf.DUMMYFUNCTION("GOOGLETRANSLATE(B2986,""en"",""pt-br"")"),"negativo")</f>
        <v>negativo</v>
      </c>
    </row>
    <row r="2987" ht="15.75" customHeight="1">
      <c r="A2987" s="2" t="s">
        <v>2986</v>
      </c>
      <c r="B2987" s="2" t="s">
        <v>3</v>
      </c>
      <c r="C2987" s="1" t="str">
        <f>IFERROR(__xludf.DUMMYFUNCTION("GOOGLETRANSLATE(A2987,""en"",""pt-br"")"),"horrorizado")</f>
        <v>horrorizado</v>
      </c>
      <c r="D2987" s="1" t="str">
        <f>IFERROR(__xludf.DUMMYFUNCTION("GOOGLETRANSLATE(B2987,""en"",""pt-br"")"),"negativo")</f>
        <v>negativo</v>
      </c>
    </row>
    <row r="2988" ht="15.75" customHeight="1">
      <c r="A2988" s="2" t="s">
        <v>2987</v>
      </c>
      <c r="B2988" s="2" t="s">
        <v>3</v>
      </c>
      <c r="C2988" s="1" t="str">
        <f>IFERROR(__xludf.DUMMYFUNCTION("GOOGLETRANSLATE(A2988,""en"",""pt-br"")"),"horroriza")</f>
        <v>horroriza</v>
      </c>
      <c r="D2988" s="1" t="str">
        <f>IFERROR(__xludf.DUMMYFUNCTION("GOOGLETRANSLATE(B2988,""en"",""pt-br"")"),"negativo")</f>
        <v>negativo</v>
      </c>
    </row>
    <row r="2989" ht="15.75" customHeight="1">
      <c r="A2989" s="2" t="s">
        <v>2988</v>
      </c>
      <c r="B2989" s="2" t="s">
        <v>3</v>
      </c>
      <c r="C2989" s="1" t="str">
        <f>IFERROR(__xludf.DUMMYFUNCTION("GOOGLETRANSLATE(A2989,""en"",""pt-br"")"),"horrorizar")</f>
        <v>horrorizar</v>
      </c>
      <c r="D2989" s="1" t="str">
        <f>IFERROR(__xludf.DUMMYFUNCTION("GOOGLETRANSLATE(B2989,""en"",""pt-br"")"),"negativo")</f>
        <v>negativo</v>
      </c>
    </row>
    <row r="2990" ht="15.75" customHeight="1">
      <c r="A2990" s="2" t="s">
        <v>2989</v>
      </c>
      <c r="B2990" s="2" t="s">
        <v>3</v>
      </c>
      <c r="C2990" s="1" t="str">
        <f>IFERROR(__xludf.DUMMYFUNCTION("GOOGLETRANSLATE(A2990,""en"",""pt-br"")"),"horripilante")</f>
        <v>horripilante</v>
      </c>
      <c r="D2990" s="1" t="str">
        <f>IFERROR(__xludf.DUMMYFUNCTION("GOOGLETRANSLATE(B2990,""en"",""pt-br"")"),"negativo")</f>
        <v>negativo</v>
      </c>
    </row>
    <row r="2991" ht="15.75" customHeight="1">
      <c r="A2991" s="2" t="s">
        <v>2990</v>
      </c>
      <c r="B2991" s="2" t="s">
        <v>3</v>
      </c>
      <c r="C2991" s="1" t="str">
        <f>IFERROR(__xludf.DUMMYFUNCTION("GOOGLETRANSLATE(A2991,""en"",""pt-br"")"),"horrifys")</f>
        <v>horrifys</v>
      </c>
      <c r="D2991" s="1" t="str">
        <f>IFERROR(__xludf.DUMMYFUNCTION("GOOGLETRANSLATE(B2991,""en"",""pt-br"")"),"negativo")</f>
        <v>negativo</v>
      </c>
    </row>
    <row r="2992" ht="15.75" customHeight="1">
      <c r="A2992" s="2" t="s">
        <v>2991</v>
      </c>
      <c r="B2992" s="2" t="s">
        <v>14</v>
      </c>
      <c r="C2992" s="1" t="str">
        <f>IFERROR(__xludf.DUMMYFUNCTION("GOOGLETRANSLATE(A2992,""en"",""pt-br"")"),"hospitaleiro")</f>
        <v>hospitaleiro</v>
      </c>
      <c r="D2992" s="1" t="str">
        <f>IFERROR(__xludf.DUMMYFUNCTION("GOOGLETRANSLATE(B2992,""en"",""pt-br"")"),"positivo")</f>
        <v>positivo</v>
      </c>
    </row>
    <row r="2993" ht="15.75" customHeight="1">
      <c r="A2993" s="2" t="s">
        <v>2992</v>
      </c>
      <c r="B2993" s="2" t="s">
        <v>3</v>
      </c>
      <c r="C2993" s="1" t="str">
        <f>IFERROR(__xludf.DUMMYFUNCTION("GOOGLETRANSLATE(A2993,""en"",""pt-br"")"),"refém")</f>
        <v>refém</v>
      </c>
      <c r="D2993" s="1" t="str">
        <f>IFERROR(__xludf.DUMMYFUNCTION("GOOGLETRANSLATE(B2993,""en"",""pt-br"")"),"negativo")</f>
        <v>negativo</v>
      </c>
    </row>
    <row r="2994" ht="15.75" customHeight="1">
      <c r="A2994" s="2" t="s">
        <v>2993</v>
      </c>
      <c r="B2994" s="2" t="s">
        <v>3</v>
      </c>
      <c r="C2994" s="1" t="str">
        <f>IFERROR(__xludf.DUMMYFUNCTION("GOOGLETRANSLATE(A2994,""en"",""pt-br"")"),"hostil")</f>
        <v>hostil</v>
      </c>
      <c r="D2994" s="1" t="str">
        <f>IFERROR(__xludf.DUMMYFUNCTION("GOOGLETRANSLATE(B2994,""en"",""pt-br"")"),"negativo")</f>
        <v>negativo</v>
      </c>
    </row>
    <row r="2995" ht="15.75" customHeight="1">
      <c r="A2995" s="2" t="s">
        <v>2994</v>
      </c>
      <c r="B2995" s="2" t="s">
        <v>3</v>
      </c>
      <c r="C2995" s="1" t="str">
        <f>IFERROR(__xludf.DUMMYFUNCTION("GOOGLETRANSLATE(A2995,""en"",""pt-br"")"),"hostilidades")</f>
        <v>hostilidades</v>
      </c>
      <c r="D2995" s="1" t="str">
        <f>IFERROR(__xludf.DUMMYFUNCTION("GOOGLETRANSLATE(B2995,""en"",""pt-br"")"),"negativo")</f>
        <v>negativo</v>
      </c>
    </row>
    <row r="2996" ht="15.75" customHeight="1">
      <c r="A2996" s="2" t="s">
        <v>2995</v>
      </c>
      <c r="B2996" s="2" t="s">
        <v>3</v>
      </c>
      <c r="C2996" s="1" t="str">
        <f>IFERROR(__xludf.DUMMYFUNCTION("GOOGLETRANSLATE(A2996,""en"",""pt-br"")"),"hostilidade")</f>
        <v>hostilidade</v>
      </c>
      <c r="D2996" s="1" t="str">
        <f>IFERROR(__xludf.DUMMYFUNCTION("GOOGLETRANSLATE(B2996,""en"",""pt-br"")"),"negativo")</f>
        <v>negativo</v>
      </c>
    </row>
    <row r="2997" ht="15.75" customHeight="1">
      <c r="A2997" s="2" t="s">
        <v>2996</v>
      </c>
      <c r="B2997" s="2" t="s">
        <v>14</v>
      </c>
      <c r="C2997" s="1" t="str">
        <f>IFERROR(__xludf.DUMMYFUNCTION("GOOGLETRANSLATE(A2997,""en"",""pt-br"")"),"quente")</f>
        <v>quente</v>
      </c>
      <c r="D2997" s="1" t="str">
        <f>IFERROR(__xludf.DUMMYFUNCTION("GOOGLETRANSLATE(B2997,""en"",""pt-br"")"),"positivo")</f>
        <v>positivo</v>
      </c>
    </row>
    <row r="2998" ht="15.75" customHeight="1">
      <c r="A2998" s="2" t="s">
        <v>2997</v>
      </c>
      <c r="B2998" s="2" t="s">
        <v>3</v>
      </c>
      <c r="C2998" s="1" t="str">
        <f>IFERROR(__xludf.DUMMYFUNCTION("GOOGLETRANSLATE(A2998,""en"",""pt-br"")"),"hotbeds")</f>
        <v>hotbeds</v>
      </c>
      <c r="D2998" s="1" t="str">
        <f>IFERROR(__xludf.DUMMYFUNCTION("GOOGLETRANSLATE(B2998,""en"",""pt-br"")"),"negativo")</f>
        <v>negativo</v>
      </c>
    </row>
    <row r="2999" ht="15.75" customHeight="1">
      <c r="A2999" s="2" t="s">
        <v>2998</v>
      </c>
      <c r="B2999" s="2" t="s">
        <v>14</v>
      </c>
      <c r="C2999" s="1" t="str">
        <f>IFERROR(__xludf.DUMMYFUNCTION("GOOGLETRANSLATE(A2999,""en"",""pt-br"")"),"bolo quente")</f>
        <v>bolo quente</v>
      </c>
      <c r="D2999" s="1" t="str">
        <f>IFERROR(__xludf.DUMMYFUNCTION("GOOGLETRANSLATE(B2999,""en"",""pt-br"")"),"positivo")</f>
        <v>positivo</v>
      </c>
    </row>
    <row r="3000" ht="15.75" customHeight="1">
      <c r="A3000" s="2" t="s">
        <v>2999</v>
      </c>
      <c r="B3000" s="2" t="s">
        <v>14</v>
      </c>
      <c r="C3000" s="1" t="str">
        <f>IFERROR(__xludf.DUMMYFUNCTION("GOOGLETRANSLATE(A3000,""en"",""pt-br"")"),"Bolos quentes")</f>
        <v>Bolos quentes</v>
      </c>
      <c r="D3000" s="1" t="str">
        <f>IFERROR(__xludf.DUMMYFUNCTION("GOOGLETRANSLATE(B3000,""en"",""pt-br"")"),"positivo")</f>
        <v>positivo</v>
      </c>
    </row>
    <row r="3001" ht="15.75" customHeight="1">
      <c r="A3001" s="2" t="s">
        <v>3000</v>
      </c>
      <c r="B3001" s="2" t="s">
        <v>3</v>
      </c>
      <c r="C3001" s="1" t="str">
        <f>IFERROR(__xludf.DUMMYFUNCTION("GOOGLETRANSLATE(A3001,""en"",""pt-br"")"),"hothead")</f>
        <v>hothead</v>
      </c>
      <c r="D3001" s="1" t="str">
        <f>IFERROR(__xludf.DUMMYFUNCTION("GOOGLETRANSLATE(B3001,""en"",""pt-br"")"),"negativo")</f>
        <v>negativo</v>
      </c>
    </row>
    <row r="3002" ht="15.75" customHeight="1">
      <c r="A3002" s="2" t="s">
        <v>3001</v>
      </c>
      <c r="B3002" s="2" t="s">
        <v>3</v>
      </c>
      <c r="C3002" s="1" t="str">
        <f>IFERROR(__xludf.DUMMYFUNCTION("GOOGLETRANSLATE(A3002,""en"",""pt-br"")"),"hotheaded")</f>
        <v>hotheaded</v>
      </c>
      <c r="D3002" s="1" t="str">
        <f>IFERROR(__xludf.DUMMYFUNCTION("GOOGLETRANSLATE(B3002,""en"",""pt-br"")"),"negativo")</f>
        <v>negativo</v>
      </c>
    </row>
    <row r="3003" ht="15.75" customHeight="1">
      <c r="A3003" s="2" t="s">
        <v>3002</v>
      </c>
      <c r="B3003" s="2" t="s">
        <v>3</v>
      </c>
      <c r="C3003" s="1" t="str">
        <f>IFERROR(__xludf.DUMMYFUNCTION("GOOGLETRANSLATE(A3003,""en"",""pt-br"")"),"estufa")</f>
        <v>estufa</v>
      </c>
      <c r="D3003" s="1" t="str">
        <f>IFERROR(__xludf.DUMMYFUNCTION("GOOGLETRANSLATE(B3003,""en"",""pt-br"")"),"negativo")</f>
        <v>negativo</v>
      </c>
    </row>
    <row r="3004" ht="15.75" customHeight="1">
      <c r="A3004" s="2" t="s">
        <v>3003</v>
      </c>
      <c r="B3004" s="2" t="s">
        <v>14</v>
      </c>
      <c r="C3004" s="1" t="str">
        <f>IFERROR(__xludf.DUMMYFUNCTION("GOOGLETRANSLATE(A3004,""en"",""pt-br"")"),"mais quente")</f>
        <v>mais quente</v>
      </c>
      <c r="D3004" s="1" t="str">
        <f>IFERROR(__xludf.DUMMYFUNCTION("GOOGLETRANSLATE(B3004,""en"",""pt-br"")"),"positivo")</f>
        <v>positivo</v>
      </c>
    </row>
    <row r="3005" ht="15.75" customHeight="1">
      <c r="A3005" s="2" t="s">
        <v>3004</v>
      </c>
      <c r="B3005" s="2" t="s">
        <v>3</v>
      </c>
      <c r="C3005" s="1" t="str">
        <f>IFERROR(__xludf.DUMMYFUNCTION("GOOGLETRANSLATE(A3005,""en"",""pt-br"")"),"arrogância")</f>
        <v>arrogância</v>
      </c>
      <c r="D3005" s="1" t="str">
        <f>IFERROR(__xludf.DUMMYFUNCTION("GOOGLETRANSLATE(B3005,""en"",""pt-br"")"),"negativo")</f>
        <v>negativo</v>
      </c>
    </row>
    <row r="3006" ht="15.75" customHeight="1">
      <c r="A3006" s="2" t="s">
        <v>3005</v>
      </c>
      <c r="B3006" s="2" t="s">
        <v>3</v>
      </c>
      <c r="C3006" s="1" t="str">
        <f>IFERROR(__xludf.DUMMYFUNCTION("GOOGLETRANSLATE(A3006,""en"",""pt-br"")"),"mascate")</f>
        <v>mascate</v>
      </c>
      <c r="D3006" s="1" t="str">
        <f>IFERROR(__xludf.DUMMYFUNCTION("GOOGLETRANSLATE(B3006,""en"",""pt-br"")"),"negativo")</f>
        <v>negativo</v>
      </c>
    </row>
    <row r="3007" ht="15.75" customHeight="1">
      <c r="A3007" s="2" t="s">
        <v>3006</v>
      </c>
      <c r="B3007" s="2" t="s">
        <v>14</v>
      </c>
      <c r="C3007" s="1" t="str">
        <f>IFERROR(__xludf.DUMMYFUNCTION("GOOGLETRANSLATE(A3007,""en"",""pt-br"")"),"abraço")</f>
        <v>abraço</v>
      </c>
      <c r="D3007" s="1" t="str">
        <f>IFERROR(__xludf.DUMMYFUNCTION("GOOGLETRANSLATE(B3007,""en"",""pt-br"")"),"positivo")</f>
        <v>positivo</v>
      </c>
    </row>
    <row r="3008" ht="15.75" customHeight="1">
      <c r="A3008" s="2" t="s">
        <v>3007</v>
      </c>
      <c r="B3008" s="2" t="s">
        <v>3</v>
      </c>
      <c r="C3008" s="1" t="str">
        <f>IFERROR(__xludf.DUMMYFUNCTION("GOOGLETRANSLATE(A3008,""en"",""pt-br"")"),"cantarolar")</f>
        <v>cantarolar</v>
      </c>
      <c r="D3008" s="1" t="str">
        <f>IFERROR(__xludf.DUMMYFUNCTION("GOOGLETRANSLATE(B3008,""en"",""pt-br"")"),"negativo")</f>
        <v>negativo</v>
      </c>
    </row>
    <row r="3009" ht="15.75" customHeight="1">
      <c r="A3009" s="2" t="s">
        <v>3008</v>
      </c>
      <c r="B3009" s="2" t="s">
        <v>14</v>
      </c>
      <c r="C3009" s="1" t="str">
        <f>IFERROR(__xludf.DUMMYFUNCTION("GOOGLETRANSLATE(A3009,""en"",""pt-br"")"),"humano")</f>
        <v>humano</v>
      </c>
      <c r="D3009" s="1" t="str">
        <f>IFERROR(__xludf.DUMMYFUNCTION("GOOGLETRANSLATE(B3009,""en"",""pt-br"")"),"positivo")</f>
        <v>positivo</v>
      </c>
    </row>
    <row r="3010" ht="15.75" customHeight="1">
      <c r="A3010" s="2" t="s">
        <v>3009</v>
      </c>
      <c r="B3010" s="2" t="s">
        <v>14</v>
      </c>
      <c r="C3010" s="1" t="str">
        <f>IFERROR(__xludf.DUMMYFUNCTION("GOOGLETRANSLATE(A3010,""en"",""pt-br"")"),"humilde")</f>
        <v>humilde</v>
      </c>
      <c r="D3010" s="1" t="str">
        <f>IFERROR(__xludf.DUMMYFUNCTION("GOOGLETRANSLATE(B3010,""en"",""pt-br"")"),"positivo")</f>
        <v>positivo</v>
      </c>
    </row>
    <row r="3011" ht="15.75" customHeight="1">
      <c r="A3011" s="2" t="s">
        <v>3010</v>
      </c>
      <c r="B3011" s="2" t="s">
        <v>3</v>
      </c>
      <c r="C3011" s="1" t="str">
        <f>IFERROR(__xludf.DUMMYFUNCTION("GOOGLETRANSLATE(A3011,""en"",""pt-br"")"),"úmido")</f>
        <v>úmido</v>
      </c>
      <c r="D3011" s="1" t="str">
        <f>IFERROR(__xludf.DUMMYFUNCTION("GOOGLETRANSLATE(B3011,""en"",""pt-br"")"),"negativo")</f>
        <v>negativo</v>
      </c>
    </row>
    <row r="3012" ht="15.75" customHeight="1">
      <c r="A3012" s="2" t="s">
        <v>3011</v>
      </c>
      <c r="B3012" s="2" t="s">
        <v>3</v>
      </c>
      <c r="C3012" s="1" t="str">
        <f>IFERROR(__xludf.DUMMYFUNCTION("GOOGLETRANSLATE(A3012,""en"",""pt-br"")"),"humilhar")</f>
        <v>humilhar</v>
      </c>
      <c r="D3012" s="1" t="str">
        <f>IFERROR(__xludf.DUMMYFUNCTION("GOOGLETRANSLATE(B3012,""en"",""pt-br"")"),"negativo")</f>
        <v>negativo</v>
      </c>
    </row>
    <row r="3013" ht="15.75" customHeight="1">
      <c r="A3013" s="2" t="s">
        <v>3012</v>
      </c>
      <c r="B3013" s="2" t="s">
        <v>3</v>
      </c>
      <c r="C3013" s="1" t="str">
        <f>IFERROR(__xludf.DUMMYFUNCTION("GOOGLETRANSLATE(A3013,""en"",""pt-br"")"),"humilhante")</f>
        <v>humilhante</v>
      </c>
      <c r="D3013" s="1" t="str">
        <f>IFERROR(__xludf.DUMMYFUNCTION("GOOGLETRANSLATE(B3013,""en"",""pt-br"")"),"negativo")</f>
        <v>negativo</v>
      </c>
    </row>
    <row r="3014" ht="15.75" customHeight="1">
      <c r="A3014" s="2" t="s">
        <v>3013</v>
      </c>
      <c r="B3014" s="2" t="s">
        <v>3</v>
      </c>
      <c r="C3014" s="1" t="str">
        <f>IFERROR(__xludf.DUMMYFUNCTION("GOOGLETRANSLATE(A3014,""en"",""pt-br"")"),"humilhação")</f>
        <v>humilhação</v>
      </c>
      <c r="D3014" s="1" t="str">
        <f>IFERROR(__xludf.DUMMYFUNCTION("GOOGLETRANSLATE(B3014,""en"",""pt-br"")"),"negativo")</f>
        <v>negativo</v>
      </c>
    </row>
    <row r="3015" ht="15.75" customHeight="1">
      <c r="A3015" s="2" t="s">
        <v>3014</v>
      </c>
      <c r="B3015" s="2" t="s">
        <v>14</v>
      </c>
      <c r="C3015" s="1" t="str">
        <f>IFERROR(__xludf.DUMMYFUNCTION("GOOGLETRANSLATE(A3015,""en"",""pt-br"")"),"humildade")</f>
        <v>humildade</v>
      </c>
      <c r="D3015" s="1" t="str">
        <f>IFERROR(__xludf.DUMMYFUNCTION("GOOGLETRANSLATE(B3015,""en"",""pt-br"")"),"positivo")</f>
        <v>positivo</v>
      </c>
    </row>
    <row r="3016" ht="15.75" customHeight="1">
      <c r="A3016" s="2" t="s">
        <v>3015</v>
      </c>
      <c r="B3016" s="2" t="s">
        <v>3</v>
      </c>
      <c r="C3016" s="1" t="str">
        <f>IFERROR(__xludf.DUMMYFUNCTION("GOOGLETRANSLATE(A3016,""en"",""pt-br"")"),"sussurrante")</f>
        <v>sussurrante</v>
      </c>
      <c r="D3016" s="1" t="str">
        <f>IFERROR(__xludf.DUMMYFUNCTION("GOOGLETRANSLATE(B3016,""en"",""pt-br"")"),"negativo")</f>
        <v>negativo</v>
      </c>
    </row>
    <row r="3017" ht="15.75" customHeight="1">
      <c r="A3017" s="2" t="s">
        <v>3016</v>
      </c>
      <c r="B3017" s="2" t="s">
        <v>14</v>
      </c>
      <c r="C3017" s="1" t="str">
        <f>IFERROR(__xludf.DUMMYFUNCTION("GOOGLETRANSLATE(A3017,""en"",""pt-br"")"),"humor")</f>
        <v>humor</v>
      </c>
      <c r="D3017" s="1" t="str">
        <f>IFERROR(__xludf.DUMMYFUNCTION("GOOGLETRANSLATE(B3017,""en"",""pt-br"")"),"positivo")</f>
        <v>positivo</v>
      </c>
    </row>
    <row r="3018" ht="15.75" customHeight="1">
      <c r="A3018" s="2" t="s">
        <v>3017</v>
      </c>
      <c r="B3018" s="2" t="s">
        <v>14</v>
      </c>
      <c r="C3018" s="1" t="str">
        <f>IFERROR(__xludf.DUMMYFUNCTION("GOOGLETRANSLATE(A3018,""en"",""pt-br"")"),"engraçado")</f>
        <v>engraçado</v>
      </c>
      <c r="D3018" s="1" t="str">
        <f>IFERROR(__xludf.DUMMYFUNCTION("GOOGLETRANSLATE(B3018,""en"",""pt-br"")"),"positivo")</f>
        <v>positivo</v>
      </c>
    </row>
    <row r="3019" ht="15.75" customHeight="1">
      <c r="A3019" s="2" t="s">
        <v>3018</v>
      </c>
      <c r="B3019" s="2" t="s">
        <v>14</v>
      </c>
      <c r="C3019" s="1" t="str">
        <f>IFERROR(__xludf.DUMMYFUNCTION("GOOGLETRANSLATE(A3019,""en"",""pt-br"")"),"humoristicamente")</f>
        <v>humoristicamente</v>
      </c>
      <c r="D3019" s="1" t="str">
        <f>IFERROR(__xludf.DUMMYFUNCTION("GOOGLETRANSLATE(B3019,""en"",""pt-br"")"),"positivo")</f>
        <v>positivo</v>
      </c>
    </row>
    <row r="3020" ht="15.75" customHeight="1">
      <c r="A3020" s="2" t="s">
        <v>3019</v>
      </c>
      <c r="B3020" s="2" t="s">
        <v>14</v>
      </c>
      <c r="C3020" s="1" t="str">
        <f>IFERROR(__xludf.DUMMYFUNCTION("GOOGLETRANSLATE(A3020,""en"",""pt-br"")"),"humor")</f>
        <v>humor</v>
      </c>
      <c r="D3020" s="1" t="str">
        <f>IFERROR(__xludf.DUMMYFUNCTION("GOOGLETRANSLATE(B3020,""en"",""pt-br"")"),"positivo")</f>
        <v>positivo</v>
      </c>
    </row>
    <row r="3021" ht="15.75" customHeight="1">
      <c r="A3021" s="2" t="s">
        <v>3020</v>
      </c>
      <c r="B3021" s="2" t="s">
        <v>14</v>
      </c>
      <c r="C3021" s="1" t="str">
        <f>IFERROR(__xludf.DUMMYFUNCTION("GOOGLETRANSLATE(A3021,""en"",""pt-br"")"),"cómico")</f>
        <v>cómico</v>
      </c>
      <c r="D3021" s="1" t="str">
        <f>IFERROR(__xludf.DUMMYFUNCTION("GOOGLETRANSLATE(B3021,""en"",""pt-br"")"),"positivo")</f>
        <v>positivo</v>
      </c>
    </row>
    <row r="3022" ht="15.75" customHeight="1">
      <c r="A3022" s="2" t="s">
        <v>3021</v>
      </c>
      <c r="B3022" s="2" t="s">
        <v>3</v>
      </c>
      <c r="C3022" s="1" t="str">
        <f>IFERROR(__xludf.DUMMYFUNCTION("GOOGLETRANSLATE(A3022,""en"",""pt-br"")"),"pendurado")</f>
        <v>pendurado</v>
      </c>
      <c r="D3022" s="1" t="str">
        <f>IFERROR(__xludf.DUMMYFUNCTION("GOOGLETRANSLATE(B3022,""en"",""pt-br"")"),"negativo")</f>
        <v>negativo</v>
      </c>
    </row>
    <row r="3023" ht="15.75" customHeight="1">
      <c r="A3023" s="2" t="s">
        <v>3022</v>
      </c>
      <c r="B3023" s="2" t="s">
        <v>3</v>
      </c>
      <c r="C3023" s="1" t="str">
        <f>IFERROR(__xludf.DUMMYFUNCTION("GOOGLETRANSLATE(A3023,""en"",""pt-br"")"),"doeu")</f>
        <v>doeu</v>
      </c>
      <c r="D3023" s="1" t="str">
        <f>IFERROR(__xludf.DUMMYFUNCTION("GOOGLETRANSLATE(B3023,""en"",""pt-br"")"),"negativo")</f>
        <v>negativo</v>
      </c>
    </row>
    <row r="3024" ht="15.75" customHeight="1">
      <c r="A3024" s="2" t="s">
        <v>3023</v>
      </c>
      <c r="B3024" s="2" t="s">
        <v>3</v>
      </c>
      <c r="C3024" s="1" t="str">
        <f>IFERROR(__xludf.DUMMYFUNCTION("GOOGLETRANSLATE(A3024,""en"",""pt-br"")"),"machucado")</f>
        <v>machucado</v>
      </c>
      <c r="D3024" s="1" t="str">
        <f>IFERROR(__xludf.DUMMYFUNCTION("GOOGLETRANSLATE(B3024,""en"",""pt-br"")"),"negativo")</f>
        <v>negativo</v>
      </c>
    </row>
    <row r="3025" ht="15.75" customHeight="1">
      <c r="A3025" s="2" t="s">
        <v>3024</v>
      </c>
      <c r="B3025" s="2" t="s">
        <v>3</v>
      </c>
      <c r="C3025" s="1" t="str">
        <f>IFERROR(__xludf.DUMMYFUNCTION("GOOGLETRANSLATE(A3025,""en"",""pt-br"")"),"prejudicial")</f>
        <v>prejudicial</v>
      </c>
      <c r="D3025" s="1" t="str">
        <f>IFERROR(__xludf.DUMMYFUNCTION("GOOGLETRANSLATE(B3025,""en"",""pt-br"")"),"negativo")</f>
        <v>negativo</v>
      </c>
    </row>
    <row r="3026" ht="15.75" customHeight="1">
      <c r="A3026" s="2" t="s">
        <v>3025</v>
      </c>
      <c r="B3026" s="2" t="s">
        <v>3</v>
      </c>
      <c r="C3026" s="1" t="str">
        <f>IFERROR(__xludf.DUMMYFUNCTION("GOOGLETRANSLATE(A3026,""en"",""pt-br"")"),"machucando")</f>
        <v>machucando</v>
      </c>
      <c r="D3026" s="1" t="str">
        <f>IFERROR(__xludf.DUMMYFUNCTION("GOOGLETRANSLATE(B3026,""en"",""pt-br"")"),"negativo")</f>
        <v>negativo</v>
      </c>
    </row>
    <row r="3027" ht="15.75" customHeight="1">
      <c r="A3027" s="2" t="s">
        <v>3026</v>
      </c>
      <c r="B3027" s="2" t="s">
        <v>3</v>
      </c>
      <c r="C3027" s="1" t="str">
        <f>IFERROR(__xludf.DUMMYFUNCTION("GOOGLETRANSLATE(A3027,""en"",""pt-br"")"),"dói")</f>
        <v>dói</v>
      </c>
      <c r="D3027" s="1" t="str">
        <f>IFERROR(__xludf.DUMMYFUNCTION("GOOGLETRANSLATE(B3027,""en"",""pt-br"")"),"negativo")</f>
        <v>negativo</v>
      </c>
    </row>
    <row r="3028" ht="15.75" customHeight="1">
      <c r="A3028" s="2" t="s">
        <v>3027</v>
      </c>
      <c r="B3028" s="2" t="s">
        <v>3</v>
      </c>
      <c r="C3028" s="1" t="str">
        <f>IFERROR(__xludf.DUMMYFUNCTION("GOOGLETRANSLATE(A3028,""en"",""pt-br"")"),"pessoa ativa")</f>
        <v>pessoa ativa</v>
      </c>
      <c r="D3028" s="1" t="str">
        <f>IFERROR(__xludf.DUMMYFUNCTION("GOOGLETRANSLATE(B3028,""en"",""pt-br"")"),"negativo")</f>
        <v>negativo</v>
      </c>
    </row>
    <row r="3029" ht="15.75" customHeight="1">
      <c r="A3029" s="2" t="s">
        <v>3028</v>
      </c>
      <c r="B3029" s="2" t="s">
        <v>3</v>
      </c>
      <c r="C3029" s="1" t="str">
        <f>IFERROR(__xludf.DUMMYFUNCTION("GOOGLETRANSLATE(A3029,""en"",""pt-br"")"),"campanha publicitária")</f>
        <v>campanha publicitária</v>
      </c>
      <c r="D3029" s="1" t="str">
        <f>IFERROR(__xludf.DUMMYFUNCTION("GOOGLETRANSLATE(B3029,""en"",""pt-br"")"),"negativo")</f>
        <v>negativo</v>
      </c>
    </row>
    <row r="3030" ht="15.75" customHeight="1">
      <c r="A3030" s="2" t="s">
        <v>3029</v>
      </c>
      <c r="B3030" s="2" t="s">
        <v>3</v>
      </c>
      <c r="C3030" s="1" t="str">
        <f>IFERROR(__xludf.DUMMYFUNCTION("GOOGLETRANSLATE(A3030,""en"",""pt-br"")"),"hipocrisia")</f>
        <v>hipocrisia</v>
      </c>
      <c r="D3030" s="1" t="str">
        <f>IFERROR(__xludf.DUMMYFUNCTION("GOOGLETRANSLATE(B3030,""en"",""pt-br"")"),"negativo")</f>
        <v>negativo</v>
      </c>
    </row>
    <row r="3031" ht="15.75" customHeight="1">
      <c r="A3031" s="2" t="s">
        <v>3030</v>
      </c>
      <c r="B3031" s="2" t="s">
        <v>3</v>
      </c>
      <c r="C3031" s="1" t="str">
        <f>IFERROR(__xludf.DUMMYFUNCTION("GOOGLETRANSLATE(A3031,""en"",""pt-br"")"),"hipocrisia")</f>
        <v>hipocrisia</v>
      </c>
      <c r="D3031" s="1" t="str">
        <f>IFERROR(__xludf.DUMMYFUNCTION("GOOGLETRANSLATE(B3031,""en"",""pt-br"")"),"negativo")</f>
        <v>negativo</v>
      </c>
    </row>
    <row r="3032" ht="15.75" customHeight="1">
      <c r="A3032" s="2" t="s">
        <v>3031</v>
      </c>
      <c r="B3032" s="2" t="s">
        <v>3</v>
      </c>
      <c r="C3032" s="1" t="str">
        <f>IFERROR(__xludf.DUMMYFUNCTION("GOOGLETRANSLATE(A3032,""en"",""pt-br"")"),"hipócrita")</f>
        <v>hipócrita</v>
      </c>
      <c r="D3032" s="1" t="str">
        <f>IFERROR(__xludf.DUMMYFUNCTION("GOOGLETRANSLATE(B3032,""en"",""pt-br"")"),"negativo")</f>
        <v>negativo</v>
      </c>
    </row>
    <row r="3033" ht="15.75" customHeight="1">
      <c r="A3033" s="2" t="s">
        <v>3032</v>
      </c>
      <c r="B3033" s="2" t="s">
        <v>3</v>
      </c>
      <c r="C3033" s="1" t="str">
        <f>IFERROR(__xludf.DUMMYFUNCTION("GOOGLETRANSLATE(A3033,""en"",""pt-br"")"),"hipócritas")</f>
        <v>hipócritas</v>
      </c>
      <c r="D3033" s="1" t="str">
        <f>IFERROR(__xludf.DUMMYFUNCTION("GOOGLETRANSLATE(B3033,""en"",""pt-br"")"),"negativo")</f>
        <v>negativo</v>
      </c>
    </row>
    <row r="3034" ht="15.75" customHeight="1">
      <c r="A3034" s="2" t="s">
        <v>3033</v>
      </c>
      <c r="B3034" s="2" t="s">
        <v>3</v>
      </c>
      <c r="C3034" s="1" t="str">
        <f>IFERROR(__xludf.DUMMYFUNCTION("GOOGLETRANSLATE(A3034,""en"",""pt-br"")"),"hipócrita")</f>
        <v>hipócrita</v>
      </c>
      <c r="D3034" s="1" t="str">
        <f>IFERROR(__xludf.DUMMYFUNCTION("GOOGLETRANSLATE(B3034,""en"",""pt-br"")"),"negativo")</f>
        <v>negativo</v>
      </c>
    </row>
    <row r="3035" ht="15.75" customHeight="1">
      <c r="A3035" s="2" t="s">
        <v>3034</v>
      </c>
      <c r="B3035" s="2" t="s">
        <v>3</v>
      </c>
      <c r="C3035" s="1" t="str">
        <f>IFERROR(__xludf.DUMMYFUNCTION("GOOGLETRANSLATE(A3035,""en"",""pt-br"")"),"hipocritamente")</f>
        <v>hipocritamente</v>
      </c>
      <c r="D3035" s="1" t="str">
        <f>IFERROR(__xludf.DUMMYFUNCTION("GOOGLETRANSLATE(B3035,""en"",""pt-br"")"),"negativo")</f>
        <v>negativo</v>
      </c>
    </row>
    <row r="3036" ht="15.75" customHeight="1">
      <c r="A3036" s="2" t="s">
        <v>3035</v>
      </c>
      <c r="B3036" s="2" t="s">
        <v>3</v>
      </c>
      <c r="C3036" s="1" t="str">
        <f>IFERROR(__xludf.DUMMYFUNCTION("GOOGLETRANSLATE(A3036,""en"",""pt-br"")"),"histeria")</f>
        <v>histeria</v>
      </c>
      <c r="D3036" s="1" t="str">
        <f>IFERROR(__xludf.DUMMYFUNCTION("GOOGLETRANSLATE(B3036,""en"",""pt-br"")"),"negativo")</f>
        <v>negativo</v>
      </c>
    </row>
    <row r="3037" ht="15.75" customHeight="1">
      <c r="A3037" s="2" t="s">
        <v>3036</v>
      </c>
      <c r="B3037" s="2" t="s">
        <v>3</v>
      </c>
      <c r="C3037" s="1" t="str">
        <f>IFERROR(__xludf.DUMMYFUNCTION("GOOGLETRANSLATE(A3037,""en"",""pt-br"")"),"histérico")</f>
        <v>histérico</v>
      </c>
      <c r="D3037" s="1" t="str">
        <f>IFERROR(__xludf.DUMMYFUNCTION("GOOGLETRANSLATE(B3037,""en"",""pt-br"")"),"negativo")</f>
        <v>negativo</v>
      </c>
    </row>
    <row r="3038" ht="15.75" customHeight="1">
      <c r="A3038" s="2" t="s">
        <v>3037</v>
      </c>
      <c r="B3038" s="2" t="s">
        <v>3</v>
      </c>
      <c r="C3038" s="1" t="str">
        <f>IFERROR(__xludf.DUMMYFUNCTION("GOOGLETRANSLATE(A3038,""en"",""pt-br"")"),"histérico")</f>
        <v>histérico</v>
      </c>
      <c r="D3038" s="1" t="str">
        <f>IFERROR(__xludf.DUMMYFUNCTION("GOOGLETRANSLATE(B3038,""en"",""pt-br"")"),"negativo")</f>
        <v>negativo</v>
      </c>
    </row>
    <row r="3039" ht="15.75" customHeight="1">
      <c r="A3039" s="2" t="s">
        <v>3038</v>
      </c>
      <c r="B3039" s="2" t="s">
        <v>3</v>
      </c>
      <c r="C3039" s="1" t="str">
        <f>IFERROR(__xludf.DUMMYFUNCTION("GOOGLETRANSLATE(A3039,""en"",""pt-br"")"),"histericamente")</f>
        <v>histericamente</v>
      </c>
      <c r="D3039" s="1" t="str">
        <f>IFERROR(__xludf.DUMMYFUNCTION("GOOGLETRANSLATE(B3039,""en"",""pt-br"")"),"negativo")</f>
        <v>negativo</v>
      </c>
    </row>
    <row r="3040" ht="15.75" customHeight="1">
      <c r="A3040" s="2" t="s">
        <v>3039</v>
      </c>
      <c r="B3040" s="2" t="s">
        <v>3</v>
      </c>
      <c r="C3040" s="1" t="str">
        <f>IFERROR(__xludf.DUMMYFUNCTION("GOOGLETRANSLATE(A3040,""en"",""pt-br"")"),"ataque de nervos")</f>
        <v>ataque de nervos</v>
      </c>
      <c r="D3040" s="1" t="str">
        <f>IFERROR(__xludf.DUMMYFUNCTION("GOOGLETRANSLATE(B3040,""en"",""pt-br"")"),"negativo")</f>
        <v>negativo</v>
      </c>
    </row>
    <row r="3041" ht="15.75" customHeight="1">
      <c r="A3041" s="2" t="s">
        <v>3040</v>
      </c>
      <c r="B3041" s="2" t="s">
        <v>14</v>
      </c>
      <c r="C3041" s="1" t="str">
        <f>IFERROR(__xludf.DUMMYFUNCTION("GOOGLETRANSLATE(A3041,""en"",""pt-br"")"),"ideal")</f>
        <v>ideal</v>
      </c>
      <c r="D3041" s="1" t="str">
        <f>IFERROR(__xludf.DUMMYFUNCTION("GOOGLETRANSLATE(B3041,""en"",""pt-br"")"),"positivo")</f>
        <v>positivo</v>
      </c>
    </row>
    <row r="3042" ht="15.75" customHeight="1">
      <c r="A3042" s="2" t="s">
        <v>3041</v>
      </c>
      <c r="B3042" s="2" t="s">
        <v>14</v>
      </c>
      <c r="C3042" s="1" t="str">
        <f>IFERROR(__xludf.DUMMYFUNCTION("GOOGLETRANSLATE(A3042,""en"",""pt-br"")"),"idealizar")</f>
        <v>idealizar</v>
      </c>
      <c r="D3042" s="1" t="str">
        <f>IFERROR(__xludf.DUMMYFUNCTION("GOOGLETRANSLATE(B3042,""en"",""pt-br"")"),"positivo")</f>
        <v>positivo</v>
      </c>
    </row>
    <row r="3043" ht="15.75" customHeight="1">
      <c r="A3043" s="2" t="s">
        <v>3042</v>
      </c>
      <c r="B3043" s="2" t="s">
        <v>14</v>
      </c>
      <c r="C3043" s="1" t="str">
        <f>IFERROR(__xludf.DUMMYFUNCTION("GOOGLETRANSLATE(A3043,""en"",""pt-br"")"),"idealmente")</f>
        <v>idealmente</v>
      </c>
      <c r="D3043" s="1" t="str">
        <f>IFERROR(__xludf.DUMMYFUNCTION("GOOGLETRANSLATE(B3043,""en"",""pt-br"")"),"positivo")</f>
        <v>positivo</v>
      </c>
    </row>
    <row r="3044" ht="15.75" customHeight="1">
      <c r="A3044" s="2" t="s">
        <v>3043</v>
      </c>
      <c r="B3044" s="2" t="s">
        <v>3</v>
      </c>
      <c r="C3044" s="1" t="str">
        <f>IFERROR(__xludf.DUMMYFUNCTION("GOOGLETRANSLATE(A3044,""en"",""pt-br"")"),"idiotices")</f>
        <v>idiotices</v>
      </c>
      <c r="D3044" s="1" t="str">
        <f>IFERROR(__xludf.DUMMYFUNCTION("GOOGLETRANSLATE(B3044,""en"",""pt-br"")"),"negativo")</f>
        <v>negativo</v>
      </c>
    </row>
    <row r="3045" ht="15.75" customHeight="1">
      <c r="A3045" s="2" t="s">
        <v>3044</v>
      </c>
      <c r="B3045" s="2" t="s">
        <v>3</v>
      </c>
      <c r="C3045" s="1" t="str">
        <f>IFERROR(__xludf.DUMMYFUNCTION("GOOGLETRANSLATE(A3045,""en"",""pt-br"")"),"idiotia")</f>
        <v>idiotia</v>
      </c>
      <c r="D3045" s="1" t="str">
        <f>IFERROR(__xludf.DUMMYFUNCTION("GOOGLETRANSLATE(B3045,""en"",""pt-br"")"),"negativo")</f>
        <v>negativo</v>
      </c>
    </row>
    <row r="3046" ht="15.75" customHeight="1">
      <c r="A3046" s="2" t="s">
        <v>3045</v>
      </c>
      <c r="B3046" s="2" t="s">
        <v>3</v>
      </c>
      <c r="C3046" s="1" t="str">
        <f>IFERROR(__xludf.DUMMYFUNCTION("GOOGLETRANSLATE(A3046,""en"",""pt-br"")"),"idiota")</f>
        <v>idiota</v>
      </c>
      <c r="D3046" s="1" t="str">
        <f>IFERROR(__xludf.DUMMYFUNCTION("GOOGLETRANSLATE(B3046,""en"",""pt-br"")"),"negativo")</f>
        <v>negativo</v>
      </c>
    </row>
    <row r="3047" ht="15.75" customHeight="1">
      <c r="A3047" s="2" t="s">
        <v>3046</v>
      </c>
      <c r="B3047" s="2" t="s">
        <v>3</v>
      </c>
      <c r="C3047" s="1" t="str">
        <f>IFERROR(__xludf.DUMMYFUNCTION("GOOGLETRANSLATE(A3047,""en"",""pt-br"")"),"idiota")</f>
        <v>idiota</v>
      </c>
      <c r="D3047" s="1" t="str">
        <f>IFERROR(__xludf.DUMMYFUNCTION("GOOGLETRANSLATE(B3047,""en"",""pt-br"")"),"negativo")</f>
        <v>negativo</v>
      </c>
    </row>
    <row r="3048" ht="15.75" customHeight="1">
      <c r="A3048" s="2" t="s">
        <v>3047</v>
      </c>
      <c r="B3048" s="2" t="s">
        <v>3</v>
      </c>
      <c r="C3048" s="1" t="str">
        <f>IFERROR(__xludf.DUMMYFUNCTION("GOOGLETRANSLATE(A3048,""en"",""pt-br"")"),"idiotically")</f>
        <v>idiotically</v>
      </c>
      <c r="D3048" s="1" t="str">
        <f>IFERROR(__xludf.DUMMYFUNCTION("GOOGLETRANSLATE(B3048,""en"",""pt-br"")"),"negativo")</f>
        <v>negativo</v>
      </c>
    </row>
    <row r="3049" ht="15.75" customHeight="1">
      <c r="A3049" s="2" t="s">
        <v>3048</v>
      </c>
      <c r="B3049" s="2" t="s">
        <v>3</v>
      </c>
      <c r="C3049" s="1" t="str">
        <f>IFERROR(__xludf.DUMMYFUNCTION("GOOGLETRANSLATE(A3049,""en"",""pt-br"")"),"idiotas")</f>
        <v>idiotas</v>
      </c>
      <c r="D3049" s="1" t="str">
        <f>IFERROR(__xludf.DUMMYFUNCTION("GOOGLETRANSLATE(B3049,""en"",""pt-br"")"),"negativo")</f>
        <v>negativo</v>
      </c>
    </row>
    <row r="3050" ht="15.75" customHeight="1">
      <c r="A3050" s="2" t="s">
        <v>3049</v>
      </c>
      <c r="B3050" s="2" t="s">
        <v>3</v>
      </c>
      <c r="C3050" s="1" t="str">
        <f>IFERROR(__xludf.DUMMYFUNCTION("GOOGLETRANSLATE(A3050,""en"",""pt-br"")"),"ocioso")</f>
        <v>ocioso</v>
      </c>
      <c r="D3050" s="1" t="str">
        <f>IFERROR(__xludf.DUMMYFUNCTION("GOOGLETRANSLATE(B3050,""en"",""pt-br"")"),"negativo")</f>
        <v>negativo</v>
      </c>
    </row>
    <row r="3051" ht="15.75" customHeight="1">
      <c r="A3051" s="2" t="s">
        <v>3050</v>
      </c>
      <c r="B3051" s="2" t="s">
        <v>14</v>
      </c>
      <c r="C3051" s="1" t="str">
        <f>IFERROR(__xludf.DUMMYFUNCTION("GOOGLETRANSLATE(A3051,""en"",""pt-br"")"),"ídolo")</f>
        <v>ídolo</v>
      </c>
      <c r="D3051" s="1" t="str">
        <f>IFERROR(__xludf.DUMMYFUNCTION("GOOGLETRANSLATE(B3051,""en"",""pt-br"")"),"positivo")</f>
        <v>positivo</v>
      </c>
    </row>
    <row r="3052" ht="15.75" customHeight="1">
      <c r="A3052" s="2" t="s">
        <v>3051</v>
      </c>
      <c r="B3052" s="2" t="s">
        <v>14</v>
      </c>
      <c r="C3052" s="1" t="str">
        <f>IFERROR(__xludf.DUMMYFUNCTION("GOOGLETRANSLATE(A3052,""en"",""pt-br"")"),"idolatrar")</f>
        <v>idolatrar</v>
      </c>
      <c r="D3052" s="1" t="str">
        <f>IFERROR(__xludf.DUMMYFUNCTION("GOOGLETRANSLATE(B3052,""en"",""pt-br"")"),"positivo")</f>
        <v>positivo</v>
      </c>
    </row>
    <row r="3053" ht="15.75" customHeight="1">
      <c r="A3053" s="2" t="s">
        <v>3052</v>
      </c>
      <c r="B3053" s="2" t="s">
        <v>14</v>
      </c>
      <c r="C3053" s="1" t="str">
        <f>IFERROR(__xludf.DUMMYFUNCTION("GOOGLETRANSLATE(A3053,""en"",""pt-br"")"),"idolatrava")</f>
        <v>idolatrava</v>
      </c>
      <c r="D3053" s="1" t="str">
        <f>IFERROR(__xludf.DUMMYFUNCTION("GOOGLETRANSLATE(B3053,""en"",""pt-br"")"),"positivo")</f>
        <v>positivo</v>
      </c>
    </row>
    <row r="3054" ht="15.75" customHeight="1">
      <c r="A3054" s="2" t="s">
        <v>3053</v>
      </c>
      <c r="B3054" s="2" t="s">
        <v>14</v>
      </c>
      <c r="C3054" s="1" t="str">
        <f>IFERROR(__xludf.DUMMYFUNCTION("GOOGLETRANSLATE(A3054,""en"",""pt-br"")"),"idílico")</f>
        <v>idílico</v>
      </c>
      <c r="D3054" s="1" t="str">
        <f>IFERROR(__xludf.DUMMYFUNCTION("GOOGLETRANSLATE(B3054,""en"",""pt-br"")"),"positivo")</f>
        <v>positivo</v>
      </c>
    </row>
    <row r="3055" ht="15.75" customHeight="1">
      <c r="A3055" s="2" t="s">
        <v>3054</v>
      </c>
      <c r="B3055" s="2" t="s">
        <v>3</v>
      </c>
      <c r="C3055" s="1" t="str">
        <f>IFERROR(__xludf.DUMMYFUNCTION("GOOGLETRANSLATE(A3055,""en"",""pt-br"")"),"ignóbil")</f>
        <v>ignóbil</v>
      </c>
      <c r="D3055" s="1" t="str">
        <f>IFERROR(__xludf.DUMMYFUNCTION("GOOGLETRANSLATE(B3055,""en"",""pt-br"")"),"negativo")</f>
        <v>negativo</v>
      </c>
    </row>
    <row r="3056" ht="15.75" customHeight="1">
      <c r="A3056" s="2" t="s">
        <v>3055</v>
      </c>
      <c r="B3056" s="2" t="s">
        <v>3</v>
      </c>
      <c r="C3056" s="1" t="str">
        <f>IFERROR(__xludf.DUMMYFUNCTION("GOOGLETRANSLATE(A3056,""en"",""pt-br"")"),"ignominioso")</f>
        <v>ignominioso</v>
      </c>
      <c r="D3056" s="1" t="str">
        <f>IFERROR(__xludf.DUMMYFUNCTION("GOOGLETRANSLATE(B3056,""en"",""pt-br"")"),"negativo")</f>
        <v>negativo</v>
      </c>
    </row>
    <row r="3057" ht="15.75" customHeight="1">
      <c r="A3057" s="2" t="s">
        <v>3056</v>
      </c>
      <c r="B3057" s="2" t="s">
        <v>3</v>
      </c>
      <c r="C3057" s="1" t="str">
        <f>IFERROR(__xludf.DUMMYFUNCTION("GOOGLETRANSLATE(A3057,""en"",""pt-br"")"),"ignominiosamente")</f>
        <v>ignominiosamente</v>
      </c>
      <c r="D3057" s="1" t="str">
        <f>IFERROR(__xludf.DUMMYFUNCTION("GOOGLETRANSLATE(B3057,""en"",""pt-br"")"),"negativo")</f>
        <v>negativo</v>
      </c>
    </row>
    <row r="3058" ht="15.75" customHeight="1">
      <c r="A3058" s="2" t="s">
        <v>3057</v>
      </c>
      <c r="B3058" s="2" t="s">
        <v>3</v>
      </c>
      <c r="C3058" s="1" t="str">
        <f>IFERROR(__xludf.DUMMYFUNCTION("GOOGLETRANSLATE(A3058,""en"",""pt-br"")"),"infâmia")</f>
        <v>infâmia</v>
      </c>
      <c r="D3058" s="1" t="str">
        <f>IFERROR(__xludf.DUMMYFUNCTION("GOOGLETRANSLATE(B3058,""en"",""pt-br"")"),"negativo")</f>
        <v>negativo</v>
      </c>
    </row>
    <row r="3059" ht="15.75" customHeight="1">
      <c r="A3059" s="2" t="s">
        <v>3058</v>
      </c>
      <c r="B3059" s="2" t="s">
        <v>3</v>
      </c>
      <c r="C3059" s="1" t="str">
        <f>IFERROR(__xludf.DUMMYFUNCTION("GOOGLETRANSLATE(A3059,""en"",""pt-br"")"),"ignorância")</f>
        <v>ignorância</v>
      </c>
      <c r="D3059" s="1" t="str">
        <f>IFERROR(__xludf.DUMMYFUNCTION("GOOGLETRANSLATE(B3059,""en"",""pt-br"")"),"negativo")</f>
        <v>negativo</v>
      </c>
    </row>
    <row r="3060" ht="15.75" customHeight="1">
      <c r="A3060" s="2" t="s">
        <v>3059</v>
      </c>
      <c r="B3060" s="2" t="s">
        <v>3</v>
      </c>
      <c r="C3060" s="1" t="str">
        <f>IFERROR(__xludf.DUMMYFUNCTION("GOOGLETRANSLATE(A3060,""en"",""pt-br"")"),"ignorante")</f>
        <v>ignorante</v>
      </c>
      <c r="D3060" s="1" t="str">
        <f>IFERROR(__xludf.DUMMYFUNCTION("GOOGLETRANSLATE(B3060,""en"",""pt-br"")"),"negativo")</f>
        <v>negativo</v>
      </c>
    </row>
    <row r="3061" ht="15.75" customHeight="1">
      <c r="A3061" s="2" t="s">
        <v>3060</v>
      </c>
      <c r="B3061" s="2" t="s">
        <v>3</v>
      </c>
      <c r="C3061" s="1" t="str">
        <f>IFERROR(__xludf.DUMMYFUNCTION("GOOGLETRANSLATE(A3061,""en"",""pt-br"")"),"ignorar")</f>
        <v>ignorar</v>
      </c>
      <c r="D3061" s="1" t="str">
        <f>IFERROR(__xludf.DUMMYFUNCTION("GOOGLETRANSLATE(B3061,""en"",""pt-br"")"),"negativo")</f>
        <v>negativo</v>
      </c>
    </row>
    <row r="3062" ht="15.75" customHeight="1">
      <c r="A3062" s="2" t="s">
        <v>3061</v>
      </c>
      <c r="B3062" s="2" t="s">
        <v>3</v>
      </c>
      <c r="C3062" s="1" t="str">
        <f>IFERROR(__xludf.DUMMYFUNCTION("GOOGLETRANSLATE(A3062,""en"",""pt-br"")"),"mal-aconselhado")</f>
        <v>mal-aconselhado</v>
      </c>
      <c r="D3062" s="1" t="str">
        <f>IFERROR(__xludf.DUMMYFUNCTION("GOOGLETRANSLATE(B3062,""en"",""pt-br"")"),"negativo")</f>
        <v>negativo</v>
      </c>
    </row>
    <row r="3063" ht="15.75" customHeight="1">
      <c r="A3063" s="2" t="s">
        <v>3062</v>
      </c>
      <c r="B3063" s="2" t="s">
        <v>3</v>
      </c>
      <c r="C3063" s="1" t="str">
        <f>IFERROR(__xludf.DUMMYFUNCTION("GOOGLETRANSLATE(A3063,""en"",""pt-br"")"),"mal concebida")</f>
        <v>mal concebida</v>
      </c>
      <c r="D3063" s="1" t="str">
        <f>IFERROR(__xludf.DUMMYFUNCTION("GOOGLETRANSLATE(B3063,""en"",""pt-br"")"),"negativo")</f>
        <v>negativo</v>
      </c>
    </row>
    <row r="3064" ht="15.75" customHeight="1">
      <c r="A3064" s="2" t="s">
        <v>3063</v>
      </c>
      <c r="B3064" s="2" t="s">
        <v>3</v>
      </c>
      <c r="C3064" s="1" t="str">
        <f>IFERROR(__xludf.DUMMYFUNCTION("GOOGLETRANSLATE(A3064,""en"",""pt-br"")"),"mal definido")</f>
        <v>mal definido</v>
      </c>
      <c r="D3064" s="1" t="str">
        <f>IFERROR(__xludf.DUMMYFUNCTION("GOOGLETRANSLATE(B3064,""en"",""pt-br"")"),"negativo")</f>
        <v>negativo</v>
      </c>
    </row>
    <row r="3065" ht="15.75" customHeight="1">
      <c r="A3065" s="2" t="s">
        <v>3064</v>
      </c>
      <c r="B3065" s="2" t="s">
        <v>3</v>
      </c>
      <c r="C3065" s="1" t="str">
        <f>IFERROR(__xludf.DUMMYFUNCTION("GOOGLETRANSLATE(A3065,""en"",""pt-br"")"),"mal concebida")</f>
        <v>mal concebida</v>
      </c>
      <c r="D3065" s="1" t="str">
        <f>IFERROR(__xludf.DUMMYFUNCTION("GOOGLETRANSLATE(B3065,""en"",""pt-br"")"),"negativo")</f>
        <v>negativo</v>
      </c>
    </row>
    <row r="3066" ht="15.75" customHeight="1">
      <c r="A3066" s="2" t="s">
        <v>3065</v>
      </c>
      <c r="B3066" s="2" t="s">
        <v>3</v>
      </c>
      <c r="C3066" s="1" t="str">
        <f>IFERROR(__xludf.DUMMYFUNCTION("GOOGLETRANSLATE(A3066,""en"",""pt-br"")"),"infeliz")</f>
        <v>infeliz</v>
      </c>
      <c r="D3066" s="1" t="str">
        <f>IFERROR(__xludf.DUMMYFUNCTION("GOOGLETRANSLATE(B3066,""en"",""pt-br"")"),"negativo")</f>
        <v>negativo</v>
      </c>
    </row>
    <row r="3067" ht="15.75" customHeight="1">
      <c r="A3067" s="2" t="s">
        <v>3066</v>
      </c>
      <c r="B3067" s="2" t="s">
        <v>3</v>
      </c>
      <c r="C3067" s="1" t="str">
        <f>IFERROR(__xludf.DUMMYFUNCTION("GOOGLETRANSLATE(A3067,""en"",""pt-br"")"),"feio")</f>
        <v>feio</v>
      </c>
      <c r="D3067" s="1" t="str">
        <f>IFERROR(__xludf.DUMMYFUNCTION("GOOGLETRANSLATE(B3067,""en"",""pt-br"")"),"negativo")</f>
        <v>negativo</v>
      </c>
    </row>
    <row r="3068" ht="15.75" customHeight="1">
      <c r="A3068" s="2" t="s">
        <v>3067</v>
      </c>
      <c r="B3068" s="2" t="s">
        <v>3</v>
      </c>
      <c r="C3068" s="1" t="str">
        <f>IFERROR(__xludf.DUMMYFUNCTION("GOOGLETRANSLATE(A3068,""en"",""pt-br"")"),"mal formado")</f>
        <v>mal formado</v>
      </c>
      <c r="D3068" s="1" t="str">
        <f>IFERROR(__xludf.DUMMYFUNCTION("GOOGLETRANSLATE(B3068,""en"",""pt-br"")"),"negativo")</f>
        <v>negativo</v>
      </c>
    </row>
    <row r="3069" ht="15.75" customHeight="1">
      <c r="A3069" s="2" t="s">
        <v>3068</v>
      </c>
      <c r="B3069" s="2" t="s">
        <v>3</v>
      </c>
      <c r="C3069" s="1" t="str">
        <f>IFERROR(__xludf.DUMMYFUNCTION("GOOGLETRANSLATE(A3069,""en"",""pt-br"")"),"grosseiro")</f>
        <v>grosseiro</v>
      </c>
      <c r="D3069" s="1" t="str">
        <f>IFERROR(__xludf.DUMMYFUNCTION("GOOGLETRANSLATE(B3069,""en"",""pt-br"")"),"negativo")</f>
        <v>negativo</v>
      </c>
    </row>
    <row r="3070" ht="15.75" customHeight="1">
      <c r="A3070" s="2" t="s">
        <v>3069</v>
      </c>
      <c r="B3070" s="2" t="s">
        <v>3</v>
      </c>
      <c r="C3070" s="1" t="str">
        <f>IFERROR(__xludf.DUMMYFUNCTION("GOOGLETRANSLATE(A3070,""en"",""pt-br"")"),"mal-humorado")</f>
        <v>mal-humorado</v>
      </c>
      <c r="D3070" s="1" t="str">
        <f>IFERROR(__xludf.DUMMYFUNCTION("GOOGLETRANSLATE(B3070,""en"",""pt-br"")"),"negativo")</f>
        <v>negativo</v>
      </c>
    </row>
    <row r="3071" ht="15.75" customHeight="1">
      <c r="A3071" s="2" t="s">
        <v>3070</v>
      </c>
      <c r="B3071" s="2" t="s">
        <v>3</v>
      </c>
      <c r="C3071" s="1" t="str">
        <f>IFERROR(__xludf.DUMMYFUNCTION("GOOGLETRANSLATE(A3071,""en"",""pt-br"")"),"mal classificadas")</f>
        <v>mal classificadas</v>
      </c>
      <c r="D3071" s="1" t="str">
        <f>IFERROR(__xludf.DUMMYFUNCTION("GOOGLETRANSLATE(B3071,""en"",""pt-br"")"),"negativo")</f>
        <v>negativo</v>
      </c>
    </row>
    <row r="3072" ht="15.75" customHeight="1">
      <c r="A3072" s="2" t="s">
        <v>3071</v>
      </c>
      <c r="B3072" s="2" t="s">
        <v>3</v>
      </c>
      <c r="C3072" s="1" t="str">
        <f>IFERROR(__xludf.DUMMYFUNCTION("GOOGLETRANSLATE(A3072,""en"",""pt-br"")"),"mal-humorado")</f>
        <v>mal-humorado</v>
      </c>
      <c r="D3072" s="1" t="str">
        <f>IFERROR(__xludf.DUMMYFUNCTION("GOOGLETRANSLATE(B3072,""en"",""pt-br"")"),"negativo")</f>
        <v>negativo</v>
      </c>
    </row>
    <row r="3073" ht="15.75" customHeight="1">
      <c r="A3073" s="2" t="s">
        <v>3072</v>
      </c>
      <c r="B3073" s="2" t="s">
        <v>3</v>
      </c>
      <c r="C3073" s="1" t="str">
        <f>IFERROR(__xludf.DUMMYFUNCTION("GOOGLETRANSLATE(A3073,""en"",""pt-br"")"),"maltratado")</f>
        <v>maltratado</v>
      </c>
      <c r="D3073" s="1" t="str">
        <f>IFERROR(__xludf.DUMMYFUNCTION("GOOGLETRANSLATE(B3073,""en"",""pt-br"")"),"negativo")</f>
        <v>negativo</v>
      </c>
    </row>
    <row r="3074" ht="15.75" customHeight="1">
      <c r="A3074" s="2" t="s">
        <v>3073</v>
      </c>
      <c r="B3074" s="2" t="s">
        <v>3</v>
      </c>
      <c r="C3074" s="1" t="str">
        <f>IFERROR(__xludf.DUMMYFUNCTION("GOOGLETRANSLATE(A3074,""en"",""pt-br"")"),"maus-tratos")</f>
        <v>maus-tratos</v>
      </c>
      <c r="D3074" s="1" t="str">
        <f>IFERROR(__xludf.DUMMYFUNCTION("GOOGLETRANSLATE(B3074,""en"",""pt-br"")"),"negativo")</f>
        <v>negativo</v>
      </c>
    </row>
    <row r="3075" ht="15.75" customHeight="1">
      <c r="A3075" s="2" t="s">
        <v>3074</v>
      </c>
      <c r="B3075" s="2" t="s">
        <v>3</v>
      </c>
      <c r="C3075" s="1" t="str">
        <f>IFERROR(__xludf.DUMMYFUNCTION("GOOGLETRANSLATE(A3075,""en"",""pt-br"")"),"maus tratos")</f>
        <v>maus tratos</v>
      </c>
      <c r="D3075" s="1" t="str">
        <f>IFERROR(__xludf.DUMMYFUNCTION("GOOGLETRANSLATE(B3075,""en"",""pt-br"")"),"negativo")</f>
        <v>negativo</v>
      </c>
    </row>
    <row r="3076" ht="15.75" customHeight="1">
      <c r="A3076" s="2" t="s">
        <v>3075</v>
      </c>
      <c r="B3076" s="2" t="s">
        <v>3</v>
      </c>
      <c r="C3076" s="1" t="str">
        <f>IFERROR(__xludf.DUMMYFUNCTION("GOOGLETRANSLATE(A3076,""en"",""pt-br"")"),"maltratada")</f>
        <v>maltratada</v>
      </c>
      <c r="D3076" s="1" t="str">
        <f>IFERROR(__xludf.DUMMYFUNCTION("GOOGLETRANSLATE(B3076,""en"",""pt-br"")"),"negativo")</f>
        <v>negativo</v>
      </c>
    </row>
    <row r="3077" ht="15.75" customHeight="1">
      <c r="A3077" s="2" t="s">
        <v>3076</v>
      </c>
      <c r="B3077" s="2" t="s">
        <v>3</v>
      </c>
      <c r="C3077" s="1" t="str">
        <f>IFERROR(__xludf.DUMMYFUNCTION("GOOGLETRANSLATE(A3077,""en"",""pt-br"")"),"ilegal")</f>
        <v>ilegal</v>
      </c>
      <c r="D3077" s="1" t="str">
        <f>IFERROR(__xludf.DUMMYFUNCTION("GOOGLETRANSLATE(B3077,""en"",""pt-br"")"),"negativo")</f>
        <v>negativo</v>
      </c>
    </row>
    <row r="3078" ht="15.75" customHeight="1">
      <c r="A3078" s="2" t="s">
        <v>3077</v>
      </c>
      <c r="B3078" s="2" t="s">
        <v>3</v>
      </c>
      <c r="C3078" s="1" t="str">
        <f>IFERROR(__xludf.DUMMYFUNCTION("GOOGLETRANSLATE(A3078,""en"",""pt-br"")"),"ilegalmente")</f>
        <v>ilegalmente</v>
      </c>
      <c r="D3078" s="1" t="str">
        <f>IFERROR(__xludf.DUMMYFUNCTION("GOOGLETRANSLATE(B3078,""en"",""pt-br"")"),"negativo")</f>
        <v>negativo</v>
      </c>
    </row>
    <row r="3079" ht="15.75" customHeight="1">
      <c r="A3079" s="2" t="s">
        <v>3078</v>
      </c>
      <c r="B3079" s="2" t="s">
        <v>3</v>
      </c>
      <c r="C3079" s="1" t="str">
        <f>IFERROR(__xludf.DUMMYFUNCTION("GOOGLETRANSLATE(A3079,""en"",""pt-br"")"),"ilegítimo")</f>
        <v>ilegítimo</v>
      </c>
      <c r="D3079" s="1" t="str">
        <f>IFERROR(__xludf.DUMMYFUNCTION("GOOGLETRANSLATE(B3079,""en"",""pt-br"")"),"negativo")</f>
        <v>negativo</v>
      </c>
    </row>
    <row r="3080" ht="15.75" customHeight="1">
      <c r="A3080" s="2" t="s">
        <v>3079</v>
      </c>
      <c r="B3080" s="2" t="s">
        <v>3</v>
      </c>
      <c r="C3080" s="1" t="str">
        <f>IFERROR(__xludf.DUMMYFUNCTION("GOOGLETRANSLATE(A3080,""en"",""pt-br"")"),"ilícito")</f>
        <v>ilícito</v>
      </c>
      <c r="D3080" s="1" t="str">
        <f>IFERROR(__xludf.DUMMYFUNCTION("GOOGLETRANSLATE(B3080,""en"",""pt-br"")"),"negativo")</f>
        <v>negativo</v>
      </c>
    </row>
    <row r="3081" ht="15.75" customHeight="1">
      <c r="A3081" s="2" t="s">
        <v>3080</v>
      </c>
      <c r="B3081" s="2" t="s">
        <v>3</v>
      </c>
      <c r="C3081" s="1" t="str">
        <f>IFERROR(__xludf.DUMMYFUNCTION("GOOGLETRANSLATE(A3081,""en"",""pt-br"")"),"analfabeto")</f>
        <v>analfabeto</v>
      </c>
      <c r="D3081" s="1" t="str">
        <f>IFERROR(__xludf.DUMMYFUNCTION("GOOGLETRANSLATE(B3081,""en"",""pt-br"")"),"negativo")</f>
        <v>negativo</v>
      </c>
    </row>
    <row r="3082" ht="15.75" customHeight="1">
      <c r="A3082" s="2" t="s">
        <v>3081</v>
      </c>
      <c r="B3082" s="2" t="s">
        <v>3</v>
      </c>
      <c r="C3082" s="1" t="str">
        <f>IFERROR(__xludf.DUMMYFUNCTION("GOOGLETRANSLATE(A3082,""en"",""pt-br"")"),"doença")</f>
        <v>doença</v>
      </c>
      <c r="D3082" s="1" t="str">
        <f>IFERROR(__xludf.DUMMYFUNCTION("GOOGLETRANSLATE(B3082,""en"",""pt-br"")"),"negativo")</f>
        <v>negativo</v>
      </c>
    </row>
    <row r="3083" ht="15.75" customHeight="1">
      <c r="A3083" s="2" t="s">
        <v>3082</v>
      </c>
      <c r="B3083" s="2" t="s">
        <v>3</v>
      </c>
      <c r="C3083" s="1" t="str">
        <f>IFERROR(__xludf.DUMMYFUNCTION("GOOGLETRANSLATE(A3083,""en"",""pt-br"")"),"illogic")</f>
        <v>illogic</v>
      </c>
      <c r="D3083" s="1" t="str">
        <f>IFERROR(__xludf.DUMMYFUNCTION("GOOGLETRANSLATE(B3083,""en"",""pt-br"")"),"negativo")</f>
        <v>negativo</v>
      </c>
    </row>
    <row r="3084" ht="15.75" customHeight="1">
      <c r="A3084" s="2" t="s">
        <v>3083</v>
      </c>
      <c r="B3084" s="2" t="s">
        <v>3</v>
      </c>
      <c r="C3084" s="1" t="str">
        <f>IFERROR(__xludf.DUMMYFUNCTION("GOOGLETRANSLATE(A3084,""en"",""pt-br"")"),"ilógico")</f>
        <v>ilógico</v>
      </c>
      <c r="D3084" s="1" t="str">
        <f>IFERROR(__xludf.DUMMYFUNCTION("GOOGLETRANSLATE(B3084,""en"",""pt-br"")"),"negativo")</f>
        <v>negativo</v>
      </c>
    </row>
    <row r="3085" ht="15.75" customHeight="1">
      <c r="A3085" s="2" t="s">
        <v>3084</v>
      </c>
      <c r="B3085" s="2" t="s">
        <v>3</v>
      </c>
      <c r="C3085" s="1" t="str">
        <f>IFERROR(__xludf.DUMMYFUNCTION("GOOGLETRANSLATE(A3085,""en"",""pt-br"")"),"ilogicamente")</f>
        <v>ilogicamente</v>
      </c>
      <c r="D3085" s="1" t="str">
        <f>IFERROR(__xludf.DUMMYFUNCTION("GOOGLETRANSLATE(B3085,""en"",""pt-br"")"),"negativo")</f>
        <v>negativo</v>
      </c>
    </row>
    <row r="3086" ht="15.75" customHeight="1">
      <c r="A3086" s="2" t="s">
        <v>3085</v>
      </c>
      <c r="B3086" s="2" t="s">
        <v>14</v>
      </c>
      <c r="C3086" s="1" t="str">
        <f>IFERROR(__xludf.DUMMYFUNCTION("GOOGLETRANSLATE(A3086,""en"",""pt-br"")"),"iluminar")</f>
        <v>iluminar</v>
      </c>
      <c r="D3086" s="1" t="str">
        <f>IFERROR(__xludf.DUMMYFUNCTION("GOOGLETRANSLATE(B3086,""en"",""pt-br"")"),"positivo")</f>
        <v>positivo</v>
      </c>
    </row>
    <row r="3087" ht="15.75" customHeight="1">
      <c r="A3087" s="2" t="s">
        <v>3086</v>
      </c>
      <c r="B3087" s="2" t="s">
        <v>14</v>
      </c>
      <c r="C3087" s="1" t="str">
        <f>IFERROR(__xludf.DUMMYFUNCTION("GOOGLETRANSLATE(A3087,""en"",""pt-br"")"),"illuminati")</f>
        <v>illuminati</v>
      </c>
      <c r="D3087" s="1" t="str">
        <f>IFERROR(__xludf.DUMMYFUNCTION("GOOGLETRANSLATE(B3087,""en"",""pt-br"")"),"positivo")</f>
        <v>positivo</v>
      </c>
    </row>
    <row r="3088" ht="15.75" customHeight="1">
      <c r="A3088" s="2" t="s">
        <v>3087</v>
      </c>
      <c r="B3088" s="2" t="s">
        <v>14</v>
      </c>
      <c r="C3088" s="1" t="str">
        <f>IFERROR(__xludf.DUMMYFUNCTION("GOOGLETRANSLATE(A3088,""en"",""pt-br"")"),"iluminando")</f>
        <v>iluminando</v>
      </c>
      <c r="D3088" s="1" t="str">
        <f>IFERROR(__xludf.DUMMYFUNCTION("GOOGLETRANSLATE(B3088,""en"",""pt-br"")"),"positivo")</f>
        <v>positivo</v>
      </c>
    </row>
    <row r="3089" ht="15.75" customHeight="1">
      <c r="A3089" s="2" t="s">
        <v>3088</v>
      </c>
      <c r="B3089" s="2" t="s">
        <v>14</v>
      </c>
      <c r="C3089" s="1" t="str">
        <f>IFERROR(__xludf.DUMMYFUNCTION("GOOGLETRANSLATE(A3089,""en"",""pt-br"")"),"iluminar")</f>
        <v>iluminar</v>
      </c>
      <c r="D3089" s="1" t="str">
        <f>IFERROR(__xludf.DUMMYFUNCTION("GOOGLETRANSLATE(B3089,""en"",""pt-br"")"),"positivo")</f>
        <v>positivo</v>
      </c>
    </row>
    <row r="3090" ht="15.75" customHeight="1">
      <c r="A3090" s="2" t="s">
        <v>3089</v>
      </c>
      <c r="B3090" s="2" t="s">
        <v>3</v>
      </c>
      <c r="C3090" s="1" t="str">
        <f>IFERROR(__xludf.DUMMYFUNCTION("GOOGLETRANSLATE(A3090,""en"",""pt-br"")"),"ilusão")</f>
        <v>ilusão</v>
      </c>
      <c r="D3090" s="1" t="str">
        <f>IFERROR(__xludf.DUMMYFUNCTION("GOOGLETRANSLATE(B3090,""en"",""pt-br"")"),"negativo")</f>
        <v>negativo</v>
      </c>
    </row>
    <row r="3091" ht="15.75" customHeight="1">
      <c r="A3091" s="2" t="s">
        <v>3090</v>
      </c>
      <c r="B3091" s="2" t="s">
        <v>3</v>
      </c>
      <c r="C3091" s="1" t="str">
        <f>IFERROR(__xludf.DUMMYFUNCTION("GOOGLETRANSLATE(A3091,""en"",""pt-br"")"),"ilusões")</f>
        <v>ilusões</v>
      </c>
      <c r="D3091" s="1" t="str">
        <f>IFERROR(__xludf.DUMMYFUNCTION("GOOGLETRANSLATE(B3091,""en"",""pt-br"")"),"negativo")</f>
        <v>negativo</v>
      </c>
    </row>
    <row r="3092" ht="15.75" customHeight="1">
      <c r="A3092" s="2" t="s">
        <v>3091</v>
      </c>
      <c r="B3092" s="2" t="s">
        <v>3</v>
      </c>
      <c r="C3092" s="1" t="str">
        <f>IFERROR(__xludf.DUMMYFUNCTION("GOOGLETRANSLATE(A3092,""en"",""pt-br"")"),"ilusório")</f>
        <v>ilusório</v>
      </c>
      <c r="D3092" s="1" t="str">
        <f>IFERROR(__xludf.DUMMYFUNCTION("GOOGLETRANSLATE(B3092,""en"",""pt-br"")"),"negativo")</f>
        <v>negativo</v>
      </c>
    </row>
    <row r="3093" ht="15.75" customHeight="1">
      <c r="A3093" s="2" t="s">
        <v>3092</v>
      </c>
      <c r="B3093" s="2" t="s">
        <v>14</v>
      </c>
      <c r="C3093" s="1" t="str">
        <f>IFERROR(__xludf.DUMMYFUNCTION("GOOGLETRANSLATE(A3093,""en"",""pt-br"")"),"ilustre")</f>
        <v>ilustre</v>
      </c>
      <c r="D3093" s="1" t="str">
        <f>IFERROR(__xludf.DUMMYFUNCTION("GOOGLETRANSLATE(B3093,""en"",""pt-br"")"),"positivo")</f>
        <v>positivo</v>
      </c>
    </row>
    <row r="3094" ht="15.75" customHeight="1">
      <c r="A3094" s="2" t="s">
        <v>3093</v>
      </c>
      <c r="B3094" s="2" t="s">
        <v>14</v>
      </c>
      <c r="C3094" s="1" t="str">
        <f>IFERROR(__xludf.DUMMYFUNCTION("GOOGLETRANSLATE(A3094,""en"",""pt-br"")"),"ilu")</f>
        <v>ilu</v>
      </c>
      <c r="D3094" s="1" t="str">
        <f>IFERROR(__xludf.DUMMYFUNCTION("GOOGLETRANSLATE(B3094,""en"",""pt-br"")"),"positivo")</f>
        <v>positivo</v>
      </c>
    </row>
    <row r="3095" ht="15.75" customHeight="1">
      <c r="A3095" s="2" t="s">
        <v>3094</v>
      </c>
      <c r="B3095" s="2" t="s">
        <v>14</v>
      </c>
      <c r="C3095" s="1" t="str">
        <f>IFERROR(__xludf.DUMMYFUNCTION("GOOGLETRANSLATE(A3095,""en"",""pt-br"")"),"imaculate")</f>
        <v>imaculate</v>
      </c>
      <c r="D3095" s="1" t="str">
        <f>IFERROR(__xludf.DUMMYFUNCTION("GOOGLETRANSLATE(B3095,""en"",""pt-br"")"),"positivo")</f>
        <v>positivo</v>
      </c>
    </row>
    <row r="3096" ht="15.75" customHeight="1">
      <c r="A3096" s="2" t="s">
        <v>3095</v>
      </c>
      <c r="B3096" s="2" t="s">
        <v>3</v>
      </c>
      <c r="C3096" s="1" t="str">
        <f>IFERROR(__xludf.DUMMYFUNCTION("GOOGLETRANSLATE(A3096,""en"",""pt-br"")"),"imaginário")</f>
        <v>imaginário</v>
      </c>
      <c r="D3096" s="1" t="str">
        <f>IFERROR(__xludf.DUMMYFUNCTION("GOOGLETRANSLATE(B3096,""en"",""pt-br"")"),"negativo")</f>
        <v>negativo</v>
      </c>
    </row>
    <row r="3097" ht="15.75" customHeight="1">
      <c r="A3097" s="2" t="s">
        <v>3096</v>
      </c>
      <c r="B3097" s="2" t="s">
        <v>14</v>
      </c>
      <c r="C3097" s="1" t="str">
        <f>IFERROR(__xludf.DUMMYFUNCTION("GOOGLETRANSLATE(A3097,""en"",""pt-br"")"),"imaginativo")</f>
        <v>imaginativo</v>
      </c>
      <c r="D3097" s="1" t="str">
        <f>IFERROR(__xludf.DUMMYFUNCTION("GOOGLETRANSLATE(B3097,""en"",""pt-br"")"),"positivo")</f>
        <v>positivo</v>
      </c>
    </row>
    <row r="3098" ht="15.75" customHeight="1">
      <c r="A3098" s="2" t="s">
        <v>3097</v>
      </c>
      <c r="B3098" s="2" t="s">
        <v>3</v>
      </c>
      <c r="C3098" s="1" t="str">
        <f>IFERROR(__xludf.DUMMYFUNCTION("GOOGLETRANSLATE(A3098,""en"",""pt-br"")"),"desequilíbrio")</f>
        <v>desequilíbrio</v>
      </c>
      <c r="D3098" s="1" t="str">
        <f>IFERROR(__xludf.DUMMYFUNCTION("GOOGLETRANSLATE(B3098,""en"",""pt-br"")"),"negativo")</f>
        <v>negativo</v>
      </c>
    </row>
    <row r="3099" ht="15.75" customHeight="1">
      <c r="A3099" s="2" t="s">
        <v>3098</v>
      </c>
      <c r="B3099" s="2" t="s">
        <v>3</v>
      </c>
      <c r="C3099" s="1" t="str">
        <f>IFERROR(__xludf.DUMMYFUNCTION("GOOGLETRANSLATE(A3099,""en"",""pt-br"")"),"imbecil")</f>
        <v>imbecil</v>
      </c>
      <c r="D3099" s="1" t="str">
        <f>IFERROR(__xludf.DUMMYFUNCTION("GOOGLETRANSLATE(B3099,""en"",""pt-br"")"),"negativo")</f>
        <v>negativo</v>
      </c>
    </row>
    <row r="3100" ht="15.75" customHeight="1">
      <c r="A3100" s="2" t="s">
        <v>3099</v>
      </c>
      <c r="B3100" s="2" t="s">
        <v>3</v>
      </c>
      <c r="C3100" s="1" t="str">
        <f>IFERROR(__xludf.DUMMYFUNCTION("GOOGLETRANSLATE(A3100,""en"",""pt-br"")"),"confusão")</f>
        <v>confusão</v>
      </c>
      <c r="D3100" s="1" t="str">
        <f>IFERROR(__xludf.DUMMYFUNCTION("GOOGLETRANSLATE(B3100,""en"",""pt-br"")"),"negativo")</f>
        <v>negativo</v>
      </c>
    </row>
    <row r="3101" ht="15.75" customHeight="1">
      <c r="A3101" s="2" t="s">
        <v>3100</v>
      </c>
      <c r="B3101" s="2" t="s">
        <v>14</v>
      </c>
      <c r="C3101" s="1" t="str">
        <f>IFERROR(__xludf.DUMMYFUNCTION("GOOGLETRANSLATE(A3101,""en"",""pt-br"")"),"imaculado")</f>
        <v>imaculado</v>
      </c>
      <c r="D3101" s="1" t="str">
        <f>IFERROR(__xludf.DUMMYFUNCTION("GOOGLETRANSLATE(B3101,""en"",""pt-br"")"),"positivo")</f>
        <v>positivo</v>
      </c>
    </row>
    <row r="3102" ht="15.75" customHeight="1">
      <c r="A3102" s="2" t="s">
        <v>3101</v>
      </c>
      <c r="B3102" s="2" t="s">
        <v>14</v>
      </c>
      <c r="C3102" s="1" t="str">
        <f>IFERROR(__xludf.DUMMYFUNCTION("GOOGLETRANSLATE(A3102,""en"",""pt-br"")"),"imaculadamente")</f>
        <v>imaculadamente</v>
      </c>
      <c r="D3102" s="1" t="str">
        <f>IFERROR(__xludf.DUMMYFUNCTION("GOOGLETRANSLATE(B3102,""en"",""pt-br"")"),"positivo")</f>
        <v>positivo</v>
      </c>
    </row>
    <row r="3103" ht="15.75" customHeight="1">
      <c r="A3103" s="2" t="s">
        <v>3102</v>
      </c>
      <c r="B3103" s="2" t="s">
        <v>3</v>
      </c>
      <c r="C3103" s="1" t="str">
        <f>IFERROR(__xludf.DUMMYFUNCTION("GOOGLETRANSLATE(A3103,""en"",""pt-br"")"),"imaterial")</f>
        <v>imaterial</v>
      </c>
      <c r="D3103" s="1" t="str">
        <f>IFERROR(__xludf.DUMMYFUNCTION("GOOGLETRANSLATE(B3103,""en"",""pt-br"")"),"negativo")</f>
        <v>negativo</v>
      </c>
    </row>
    <row r="3104" ht="15.75" customHeight="1">
      <c r="A3104" s="2" t="s">
        <v>3103</v>
      </c>
      <c r="B3104" s="2" t="s">
        <v>3</v>
      </c>
      <c r="C3104" s="1" t="str">
        <f>IFERROR(__xludf.DUMMYFUNCTION("GOOGLETRANSLATE(A3104,""en"",""pt-br"")"),"imaturo")</f>
        <v>imaturo</v>
      </c>
      <c r="D3104" s="1" t="str">
        <f>IFERROR(__xludf.DUMMYFUNCTION("GOOGLETRANSLATE(B3104,""en"",""pt-br"")"),"negativo")</f>
        <v>negativo</v>
      </c>
    </row>
    <row r="3105" ht="15.75" customHeight="1">
      <c r="A3105" s="2" t="s">
        <v>3104</v>
      </c>
      <c r="B3105" s="2" t="s">
        <v>14</v>
      </c>
      <c r="C3105" s="1" t="str">
        <f>IFERROR(__xludf.DUMMYFUNCTION("GOOGLETRANSLATE(A3105,""en"",""pt-br"")"),"imenso")</f>
        <v>imenso</v>
      </c>
      <c r="D3105" s="1" t="str">
        <f>IFERROR(__xludf.DUMMYFUNCTION("GOOGLETRANSLATE(B3105,""en"",""pt-br"")"),"positivo")</f>
        <v>positivo</v>
      </c>
    </row>
    <row r="3106" ht="15.75" customHeight="1">
      <c r="A3106" s="2" t="s">
        <v>3105</v>
      </c>
      <c r="B3106" s="2" t="s">
        <v>3</v>
      </c>
      <c r="C3106" s="1" t="str">
        <f>IFERROR(__xludf.DUMMYFUNCTION("GOOGLETRANSLATE(A3106,""en"",""pt-br"")"),"iminência")</f>
        <v>iminência</v>
      </c>
      <c r="D3106" s="1" t="str">
        <f>IFERROR(__xludf.DUMMYFUNCTION("GOOGLETRANSLATE(B3106,""en"",""pt-br"")"),"negativo")</f>
        <v>negativo</v>
      </c>
    </row>
    <row r="3107" ht="15.75" customHeight="1">
      <c r="A3107" s="2" t="s">
        <v>3106</v>
      </c>
      <c r="B3107" s="2" t="s">
        <v>3</v>
      </c>
      <c r="C3107" s="1" t="str">
        <f>IFERROR(__xludf.DUMMYFUNCTION("GOOGLETRANSLATE(A3107,""en"",""pt-br"")"),"iminentemente")</f>
        <v>iminentemente</v>
      </c>
      <c r="D3107" s="1" t="str">
        <f>IFERROR(__xludf.DUMMYFUNCTION("GOOGLETRANSLATE(B3107,""en"",""pt-br"")"),"negativo")</f>
        <v>negativo</v>
      </c>
    </row>
    <row r="3108" ht="15.75" customHeight="1">
      <c r="A3108" s="2" t="s">
        <v>3107</v>
      </c>
      <c r="B3108" s="2" t="s">
        <v>3</v>
      </c>
      <c r="C3108" s="1" t="str">
        <f>IFERROR(__xludf.DUMMYFUNCTION("GOOGLETRANSLATE(A3108,""en"",""pt-br"")"),"imobilizada")</f>
        <v>imobilizada</v>
      </c>
      <c r="D3108" s="1" t="str">
        <f>IFERROR(__xludf.DUMMYFUNCTION("GOOGLETRANSLATE(B3108,""en"",""pt-br"")"),"negativo")</f>
        <v>negativo</v>
      </c>
    </row>
    <row r="3109" ht="15.75" customHeight="1">
      <c r="A3109" s="2" t="s">
        <v>3108</v>
      </c>
      <c r="B3109" s="2" t="s">
        <v>3</v>
      </c>
      <c r="C3109" s="1" t="str">
        <f>IFERROR(__xludf.DUMMYFUNCTION("GOOGLETRANSLATE(A3109,""en"",""pt-br"")"),"imoderado")</f>
        <v>imoderado</v>
      </c>
      <c r="D3109" s="1" t="str">
        <f>IFERROR(__xludf.DUMMYFUNCTION("GOOGLETRANSLATE(B3109,""en"",""pt-br"")"),"negativo")</f>
        <v>negativo</v>
      </c>
    </row>
    <row r="3110" ht="15.75" customHeight="1">
      <c r="A3110" s="2" t="s">
        <v>3109</v>
      </c>
      <c r="B3110" s="2" t="s">
        <v>3</v>
      </c>
      <c r="C3110" s="1" t="str">
        <f>IFERROR(__xludf.DUMMYFUNCTION("GOOGLETRANSLATE(A3110,""en"",""pt-br"")"),"imoderadamente")</f>
        <v>imoderadamente</v>
      </c>
      <c r="D3110" s="1" t="str">
        <f>IFERROR(__xludf.DUMMYFUNCTION("GOOGLETRANSLATE(B3110,""en"",""pt-br"")"),"negativo")</f>
        <v>negativo</v>
      </c>
    </row>
    <row r="3111" ht="15.75" customHeight="1">
      <c r="A3111" s="2" t="s">
        <v>3110</v>
      </c>
      <c r="B3111" s="2" t="s">
        <v>3</v>
      </c>
      <c r="C3111" s="1" t="str">
        <f>IFERROR(__xludf.DUMMYFUNCTION("GOOGLETRANSLATE(A3111,""en"",""pt-br"")"),"imodesto")</f>
        <v>imodesto</v>
      </c>
      <c r="D3111" s="1" t="str">
        <f>IFERROR(__xludf.DUMMYFUNCTION("GOOGLETRANSLATE(B3111,""en"",""pt-br"")"),"negativo")</f>
        <v>negativo</v>
      </c>
    </row>
    <row r="3112" ht="15.75" customHeight="1">
      <c r="A3112" s="2" t="s">
        <v>3111</v>
      </c>
      <c r="B3112" s="2" t="s">
        <v>3</v>
      </c>
      <c r="C3112" s="1" t="str">
        <f>IFERROR(__xludf.DUMMYFUNCTION("GOOGLETRANSLATE(A3112,""en"",""pt-br"")"),"imoral")</f>
        <v>imoral</v>
      </c>
      <c r="D3112" s="1" t="str">
        <f>IFERROR(__xludf.DUMMYFUNCTION("GOOGLETRANSLATE(B3112,""en"",""pt-br"")"),"negativo")</f>
        <v>negativo</v>
      </c>
    </row>
    <row r="3113" ht="15.75" customHeight="1">
      <c r="A3113" s="2" t="s">
        <v>3112</v>
      </c>
      <c r="B3113" s="2" t="s">
        <v>3</v>
      </c>
      <c r="C3113" s="1" t="str">
        <f>IFERROR(__xludf.DUMMYFUNCTION("GOOGLETRANSLATE(A3113,""en"",""pt-br"")"),"imoralidade")</f>
        <v>imoralidade</v>
      </c>
      <c r="D3113" s="1" t="str">
        <f>IFERROR(__xludf.DUMMYFUNCTION("GOOGLETRANSLATE(B3113,""en"",""pt-br"")"),"negativo")</f>
        <v>negativo</v>
      </c>
    </row>
    <row r="3114" ht="15.75" customHeight="1">
      <c r="A3114" s="2" t="s">
        <v>3113</v>
      </c>
      <c r="B3114" s="2" t="s">
        <v>3</v>
      </c>
      <c r="C3114" s="1" t="str">
        <f>IFERROR(__xludf.DUMMYFUNCTION("GOOGLETRANSLATE(A3114,""en"",""pt-br"")"),"imoralmente")</f>
        <v>imoralmente</v>
      </c>
      <c r="D3114" s="1" t="str">
        <f>IFERROR(__xludf.DUMMYFUNCTION("GOOGLETRANSLATE(B3114,""en"",""pt-br"")"),"negativo")</f>
        <v>negativo</v>
      </c>
    </row>
    <row r="3115" ht="15.75" customHeight="1">
      <c r="A3115" s="2" t="s">
        <v>3114</v>
      </c>
      <c r="B3115" s="2" t="s">
        <v>3</v>
      </c>
      <c r="C3115" s="1" t="str">
        <f>IFERROR(__xludf.DUMMYFUNCTION("GOOGLETRANSLATE(A3115,""en"",""pt-br"")"),"imóvel")</f>
        <v>imóvel</v>
      </c>
      <c r="D3115" s="1" t="str">
        <f>IFERROR(__xludf.DUMMYFUNCTION("GOOGLETRANSLATE(B3115,""en"",""pt-br"")"),"negativo")</f>
        <v>negativo</v>
      </c>
    </row>
    <row r="3116" ht="15.75" customHeight="1">
      <c r="A3116" s="2" t="s">
        <v>3115</v>
      </c>
      <c r="B3116" s="2" t="s">
        <v>3</v>
      </c>
      <c r="C3116" s="1" t="str">
        <f>IFERROR(__xludf.DUMMYFUNCTION("GOOGLETRANSLATE(A3116,""en"",""pt-br"")"),"prejudicar")</f>
        <v>prejudicar</v>
      </c>
      <c r="D3116" s="1" t="str">
        <f>IFERROR(__xludf.DUMMYFUNCTION("GOOGLETRANSLATE(B3116,""en"",""pt-br"")"),"negativo")</f>
        <v>negativo</v>
      </c>
    </row>
    <row r="3117" ht="15.75" customHeight="1">
      <c r="A3117" s="2" t="s">
        <v>3116</v>
      </c>
      <c r="B3117" s="2" t="s">
        <v>3</v>
      </c>
      <c r="C3117" s="1" t="str">
        <f>IFERROR(__xludf.DUMMYFUNCTION("GOOGLETRANSLATE(A3117,""en"",""pt-br"")"),"prejudicada")</f>
        <v>prejudicada</v>
      </c>
      <c r="D3117" s="1" t="str">
        <f>IFERROR(__xludf.DUMMYFUNCTION("GOOGLETRANSLATE(B3117,""en"",""pt-br"")"),"negativo")</f>
        <v>negativo</v>
      </c>
    </row>
    <row r="3118" ht="15.75" customHeight="1">
      <c r="A3118" s="2" t="s">
        <v>3117</v>
      </c>
      <c r="B3118" s="2" t="s">
        <v>14</v>
      </c>
      <c r="C3118" s="1" t="str">
        <f>IFERROR(__xludf.DUMMYFUNCTION("GOOGLETRANSLATE(A3118,""en"",""pt-br"")"),"imparcial")</f>
        <v>imparcial</v>
      </c>
      <c r="D3118" s="1" t="str">
        <f>IFERROR(__xludf.DUMMYFUNCTION("GOOGLETRANSLATE(B3118,""en"",""pt-br"")"),"positivo")</f>
        <v>positivo</v>
      </c>
    </row>
    <row r="3119" ht="15.75" customHeight="1">
      <c r="A3119" s="2" t="s">
        <v>3118</v>
      </c>
      <c r="B3119" s="2" t="s">
        <v>14</v>
      </c>
      <c r="C3119" s="1" t="str">
        <f>IFERROR(__xludf.DUMMYFUNCTION("GOOGLETRANSLATE(A3119,""en"",""pt-br"")"),"imparcialidade")</f>
        <v>imparcialidade</v>
      </c>
      <c r="D3119" s="1" t="str">
        <f>IFERROR(__xludf.DUMMYFUNCTION("GOOGLETRANSLATE(B3119,""en"",""pt-br"")"),"positivo")</f>
        <v>positivo</v>
      </c>
    </row>
    <row r="3120" ht="15.75" customHeight="1">
      <c r="A3120" s="2" t="s">
        <v>3119</v>
      </c>
      <c r="B3120" s="2" t="s">
        <v>14</v>
      </c>
      <c r="C3120" s="1" t="str">
        <f>IFERROR(__xludf.DUMMYFUNCTION("GOOGLETRANSLATE(A3120,""en"",""pt-br"")"),"imparcial")</f>
        <v>imparcial</v>
      </c>
      <c r="D3120" s="1" t="str">
        <f>IFERROR(__xludf.DUMMYFUNCTION("GOOGLETRANSLATE(B3120,""en"",""pt-br"")"),"positivo")</f>
        <v>positivo</v>
      </c>
    </row>
    <row r="3121" ht="15.75" customHeight="1">
      <c r="A3121" s="2" t="s">
        <v>3120</v>
      </c>
      <c r="B3121" s="2" t="s">
        <v>3</v>
      </c>
      <c r="C3121" s="1" t="str">
        <f>IFERROR(__xludf.DUMMYFUNCTION("GOOGLETRANSLATE(A3121,""en"",""pt-br"")"),"impasse")</f>
        <v>impasse</v>
      </c>
      <c r="D3121" s="1" t="str">
        <f>IFERROR(__xludf.DUMMYFUNCTION("GOOGLETRANSLATE(B3121,""en"",""pt-br"")"),"negativo")</f>
        <v>negativo</v>
      </c>
    </row>
    <row r="3122" ht="15.75" customHeight="1">
      <c r="A3122" s="2" t="s">
        <v>3121</v>
      </c>
      <c r="B3122" s="2" t="s">
        <v>14</v>
      </c>
      <c r="C3122" s="1" t="str">
        <f>IFERROR(__xludf.DUMMYFUNCTION("GOOGLETRANSLATE(A3122,""en"",""pt-br"")"),"apaixonado")</f>
        <v>apaixonado</v>
      </c>
      <c r="D3122" s="1" t="str">
        <f>IFERROR(__xludf.DUMMYFUNCTION("GOOGLETRANSLATE(B3122,""en"",""pt-br"")"),"positivo")</f>
        <v>positivo</v>
      </c>
    </row>
    <row r="3123" ht="15.75" customHeight="1">
      <c r="A3123" s="2" t="s">
        <v>3122</v>
      </c>
      <c r="B3123" s="2" t="s">
        <v>3</v>
      </c>
      <c r="C3123" s="1" t="str">
        <f>IFERROR(__xludf.DUMMYFUNCTION("GOOGLETRANSLATE(A3123,""en"",""pt-br"")"),"impaciência")</f>
        <v>impaciência</v>
      </c>
      <c r="D3123" s="1" t="str">
        <f>IFERROR(__xludf.DUMMYFUNCTION("GOOGLETRANSLATE(B3123,""en"",""pt-br"")"),"negativo")</f>
        <v>negativo</v>
      </c>
    </row>
    <row r="3124" ht="15.75" customHeight="1">
      <c r="A3124" s="2" t="s">
        <v>3123</v>
      </c>
      <c r="B3124" s="2" t="s">
        <v>3</v>
      </c>
      <c r="C3124" s="1" t="str">
        <f>IFERROR(__xludf.DUMMYFUNCTION("GOOGLETRANSLATE(A3124,""en"",""pt-br"")"),"impaciente")</f>
        <v>impaciente</v>
      </c>
      <c r="D3124" s="1" t="str">
        <f>IFERROR(__xludf.DUMMYFUNCTION("GOOGLETRANSLATE(B3124,""en"",""pt-br"")"),"negativo")</f>
        <v>negativo</v>
      </c>
    </row>
    <row r="3125" ht="15.75" customHeight="1">
      <c r="A3125" s="2" t="s">
        <v>3124</v>
      </c>
      <c r="B3125" s="2" t="s">
        <v>3</v>
      </c>
      <c r="C3125" s="1" t="str">
        <f>IFERROR(__xludf.DUMMYFUNCTION("GOOGLETRANSLATE(A3125,""en"",""pt-br"")"),"impacientemente")</f>
        <v>impacientemente</v>
      </c>
      <c r="D3125" s="1" t="str">
        <f>IFERROR(__xludf.DUMMYFUNCTION("GOOGLETRANSLATE(B3125,""en"",""pt-br"")"),"negativo")</f>
        <v>negativo</v>
      </c>
    </row>
    <row r="3126" ht="15.75" customHeight="1">
      <c r="A3126" s="2" t="s">
        <v>3125</v>
      </c>
      <c r="B3126" s="2" t="s">
        <v>3</v>
      </c>
      <c r="C3126" s="1" t="str">
        <f>IFERROR(__xludf.DUMMYFUNCTION("GOOGLETRANSLATE(A3126,""en"",""pt-br"")"),"impeach")</f>
        <v>impeach</v>
      </c>
      <c r="D3126" s="1" t="str">
        <f>IFERROR(__xludf.DUMMYFUNCTION("GOOGLETRANSLATE(B3126,""en"",""pt-br"")"),"negativo")</f>
        <v>negativo</v>
      </c>
    </row>
    <row r="3127" ht="15.75" customHeight="1">
      <c r="A3127" s="2" t="s">
        <v>3126</v>
      </c>
      <c r="B3127" s="2" t="s">
        <v>14</v>
      </c>
      <c r="C3127" s="1" t="str">
        <f>IFERROR(__xludf.DUMMYFUNCTION("GOOGLETRANSLATE(A3127,""en"",""pt-br"")"),"impecável")</f>
        <v>impecável</v>
      </c>
      <c r="D3127" s="1" t="str">
        <f>IFERROR(__xludf.DUMMYFUNCTION("GOOGLETRANSLATE(B3127,""en"",""pt-br"")"),"positivo")</f>
        <v>positivo</v>
      </c>
    </row>
    <row r="3128" ht="15.75" customHeight="1">
      <c r="A3128" s="2" t="s">
        <v>3127</v>
      </c>
      <c r="B3128" s="2" t="s">
        <v>14</v>
      </c>
      <c r="C3128" s="1" t="str">
        <f>IFERROR(__xludf.DUMMYFUNCTION("GOOGLETRANSLATE(A3128,""en"",""pt-br"")"),"impecavel")</f>
        <v>impecavel</v>
      </c>
      <c r="D3128" s="1" t="str">
        <f>IFERROR(__xludf.DUMMYFUNCTION("GOOGLETRANSLATE(B3128,""en"",""pt-br"")"),"positivo")</f>
        <v>positivo</v>
      </c>
    </row>
    <row r="3129" ht="15.75" customHeight="1">
      <c r="A3129" s="2" t="s">
        <v>3128</v>
      </c>
      <c r="B3129" s="2" t="s">
        <v>3</v>
      </c>
      <c r="C3129" s="1" t="str">
        <f>IFERROR(__xludf.DUMMYFUNCTION("GOOGLETRANSLATE(A3129,""en"",""pt-br"")"),"impedância")</f>
        <v>impedância</v>
      </c>
      <c r="D3129" s="1" t="str">
        <f>IFERROR(__xludf.DUMMYFUNCTION("GOOGLETRANSLATE(B3129,""en"",""pt-br"")"),"negativo")</f>
        <v>negativo</v>
      </c>
    </row>
    <row r="3130" ht="15.75" customHeight="1">
      <c r="A3130" s="2" t="s">
        <v>3129</v>
      </c>
      <c r="B3130" s="2" t="s">
        <v>3</v>
      </c>
      <c r="C3130" s="1" t="str">
        <f>IFERROR(__xludf.DUMMYFUNCTION("GOOGLETRANSLATE(A3130,""en"",""pt-br"")"),"impedir")</f>
        <v>impedir</v>
      </c>
      <c r="D3130" s="1" t="str">
        <f>IFERROR(__xludf.DUMMYFUNCTION("GOOGLETRANSLATE(B3130,""en"",""pt-br"")"),"negativo")</f>
        <v>negativo</v>
      </c>
    </row>
    <row r="3131" ht="15.75" customHeight="1">
      <c r="A3131" s="2" t="s">
        <v>3130</v>
      </c>
      <c r="B3131" s="2" t="s">
        <v>3</v>
      </c>
      <c r="C3131" s="1" t="str">
        <f>IFERROR(__xludf.DUMMYFUNCTION("GOOGLETRANSLATE(A3131,""en"",""pt-br"")"),"impedimento")</f>
        <v>impedimento</v>
      </c>
      <c r="D3131" s="1" t="str">
        <f>IFERROR(__xludf.DUMMYFUNCTION("GOOGLETRANSLATE(B3131,""en"",""pt-br"")"),"negativo")</f>
        <v>negativo</v>
      </c>
    </row>
    <row r="3132" ht="15.75" customHeight="1">
      <c r="A3132" s="2" t="s">
        <v>3131</v>
      </c>
      <c r="B3132" s="2" t="s">
        <v>3</v>
      </c>
      <c r="C3132" s="1" t="str">
        <f>IFERROR(__xludf.DUMMYFUNCTION("GOOGLETRANSLATE(A3132,""en"",""pt-br"")"),"iminente")</f>
        <v>iminente</v>
      </c>
      <c r="D3132" s="1" t="str">
        <f>IFERROR(__xludf.DUMMYFUNCTION("GOOGLETRANSLATE(B3132,""en"",""pt-br"")"),"negativo")</f>
        <v>negativo</v>
      </c>
    </row>
    <row r="3133" ht="15.75" customHeight="1">
      <c r="A3133" s="2" t="s">
        <v>3132</v>
      </c>
      <c r="B3133" s="2" t="s">
        <v>3</v>
      </c>
      <c r="C3133" s="1" t="str">
        <f>IFERROR(__xludf.DUMMYFUNCTION("GOOGLETRANSLATE(A3133,""en"",""pt-br"")"),"impenitente")</f>
        <v>impenitente</v>
      </c>
      <c r="D3133" s="1" t="str">
        <f>IFERROR(__xludf.DUMMYFUNCTION("GOOGLETRANSLATE(B3133,""en"",""pt-br"")"),"negativo")</f>
        <v>negativo</v>
      </c>
    </row>
    <row r="3134" ht="15.75" customHeight="1">
      <c r="A3134" s="2" t="s">
        <v>3133</v>
      </c>
      <c r="B3134" s="2" t="s">
        <v>3</v>
      </c>
      <c r="C3134" s="1" t="str">
        <f>IFERROR(__xludf.DUMMYFUNCTION("GOOGLETRANSLATE(A3134,""en"",""pt-br"")"),"imperfeita")</f>
        <v>imperfeita</v>
      </c>
      <c r="D3134" s="1" t="str">
        <f>IFERROR(__xludf.DUMMYFUNCTION("GOOGLETRANSLATE(B3134,""en"",""pt-br"")"),"negativo")</f>
        <v>negativo</v>
      </c>
    </row>
    <row r="3135" ht="15.75" customHeight="1">
      <c r="A3135" s="2" t="s">
        <v>3134</v>
      </c>
      <c r="B3135" s="2" t="s">
        <v>3</v>
      </c>
      <c r="C3135" s="1" t="str">
        <f>IFERROR(__xludf.DUMMYFUNCTION("GOOGLETRANSLATE(A3135,""en"",""pt-br"")"),"imperfeição")</f>
        <v>imperfeição</v>
      </c>
      <c r="D3135" s="1" t="str">
        <f>IFERROR(__xludf.DUMMYFUNCTION("GOOGLETRANSLATE(B3135,""en"",""pt-br"")"),"negativo")</f>
        <v>negativo</v>
      </c>
    </row>
    <row r="3136" ht="15.75" customHeight="1">
      <c r="A3136" s="2" t="s">
        <v>3135</v>
      </c>
      <c r="B3136" s="2" t="s">
        <v>3</v>
      </c>
      <c r="C3136" s="1" t="str">
        <f>IFERROR(__xludf.DUMMYFUNCTION("GOOGLETRANSLATE(A3136,""en"",""pt-br"")"),"imperfeições")</f>
        <v>imperfeições</v>
      </c>
      <c r="D3136" s="1" t="str">
        <f>IFERROR(__xludf.DUMMYFUNCTION("GOOGLETRANSLATE(B3136,""en"",""pt-br"")"),"negativo")</f>
        <v>negativo</v>
      </c>
    </row>
    <row r="3137" ht="15.75" customHeight="1">
      <c r="A3137" s="2" t="s">
        <v>3136</v>
      </c>
      <c r="B3137" s="2" t="s">
        <v>3</v>
      </c>
      <c r="C3137" s="1" t="str">
        <f>IFERROR(__xludf.DUMMYFUNCTION("GOOGLETRANSLATE(A3137,""en"",""pt-br"")"),"imperfeitamente")</f>
        <v>imperfeitamente</v>
      </c>
      <c r="D3137" s="1" t="str">
        <f>IFERROR(__xludf.DUMMYFUNCTION("GOOGLETRANSLATE(B3137,""en"",""pt-br"")"),"negativo")</f>
        <v>negativo</v>
      </c>
    </row>
    <row r="3138" ht="15.75" customHeight="1">
      <c r="A3138" s="2" t="s">
        <v>3137</v>
      </c>
      <c r="B3138" s="2" t="s">
        <v>3</v>
      </c>
      <c r="C3138" s="1" t="str">
        <f>IFERROR(__xludf.DUMMYFUNCTION("GOOGLETRANSLATE(A3138,""en"",""pt-br"")"),"imperialista")</f>
        <v>imperialista</v>
      </c>
      <c r="D3138" s="1" t="str">
        <f>IFERROR(__xludf.DUMMYFUNCTION("GOOGLETRANSLATE(B3138,""en"",""pt-br"")"),"negativo")</f>
        <v>negativo</v>
      </c>
    </row>
    <row r="3139" ht="15.75" customHeight="1">
      <c r="A3139" s="2" t="s">
        <v>3138</v>
      </c>
      <c r="B3139" s="2" t="s">
        <v>3</v>
      </c>
      <c r="C3139" s="1" t="str">
        <f>IFERROR(__xludf.DUMMYFUNCTION("GOOGLETRANSLATE(A3139,""en"",""pt-br"")"),"representam um perigo")</f>
        <v>representam um perigo</v>
      </c>
      <c r="D3139" s="1" t="str">
        <f>IFERROR(__xludf.DUMMYFUNCTION("GOOGLETRANSLATE(B3139,""en"",""pt-br"")"),"negativo")</f>
        <v>negativo</v>
      </c>
    </row>
    <row r="3140" ht="15.75" customHeight="1">
      <c r="A3140" s="2" t="s">
        <v>3139</v>
      </c>
      <c r="B3140" s="2" t="s">
        <v>3</v>
      </c>
      <c r="C3140" s="1" t="str">
        <f>IFERROR(__xludf.DUMMYFUNCTION("GOOGLETRANSLATE(A3140,""en"",""pt-br"")"),"imperioso")</f>
        <v>imperioso</v>
      </c>
      <c r="D3140" s="1" t="str">
        <f>IFERROR(__xludf.DUMMYFUNCTION("GOOGLETRANSLATE(B3140,""en"",""pt-br"")"),"negativo")</f>
        <v>negativo</v>
      </c>
    </row>
    <row r="3141" ht="15.75" customHeight="1">
      <c r="A3141" s="2" t="s">
        <v>3140</v>
      </c>
      <c r="B3141" s="2" t="s">
        <v>3</v>
      </c>
      <c r="C3141" s="1" t="str">
        <f>IFERROR(__xludf.DUMMYFUNCTION("GOOGLETRANSLATE(A3141,""en"",""pt-br"")"),"imperiosamente")</f>
        <v>imperiosamente</v>
      </c>
      <c r="D3141" s="1" t="str">
        <f>IFERROR(__xludf.DUMMYFUNCTION("GOOGLETRANSLATE(B3141,""en"",""pt-br"")"),"negativo")</f>
        <v>negativo</v>
      </c>
    </row>
    <row r="3142" ht="15.75" customHeight="1">
      <c r="A3142" s="2" t="s">
        <v>3141</v>
      </c>
      <c r="B3142" s="2" t="s">
        <v>3</v>
      </c>
      <c r="C3142" s="1" t="str">
        <f>IFERROR(__xludf.DUMMYFUNCTION("GOOGLETRANSLATE(A3142,""en"",""pt-br"")"),"impermissible")</f>
        <v>impermissible</v>
      </c>
      <c r="D3142" s="1" t="str">
        <f>IFERROR(__xludf.DUMMYFUNCTION("GOOGLETRANSLATE(B3142,""en"",""pt-br"")"),"negativo")</f>
        <v>negativo</v>
      </c>
    </row>
    <row r="3143" ht="15.75" customHeight="1">
      <c r="A3143" s="2" t="s">
        <v>3142</v>
      </c>
      <c r="B3143" s="2" t="s">
        <v>3</v>
      </c>
      <c r="C3143" s="1" t="str">
        <f>IFERROR(__xludf.DUMMYFUNCTION("GOOGLETRANSLATE(A3143,""en"",""pt-br"")"),"impessoal")</f>
        <v>impessoal</v>
      </c>
      <c r="D3143" s="1" t="str">
        <f>IFERROR(__xludf.DUMMYFUNCTION("GOOGLETRANSLATE(B3143,""en"",""pt-br"")"),"negativo")</f>
        <v>negativo</v>
      </c>
    </row>
    <row r="3144" ht="15.75" customHeight="1">
      <c r="A3144" s="2" t="s">
        <v>3143</v>
      </c>
      <c r="B3144" s="2" t="s">
        <v>3</v>
      </c>
      <c r="C3144" s="1" t="str">
        <f>IFERROR(__xludf.DUMMYFUNCTION("GOOGLETRANSLATE(A3144,""en"",""pt-br"")"),"impertinente")</f>
        <v>impertinente</v>
      </c>
      <c r="D3144" s="1" t="str">
        <f>IFERROR(__xludf.DUMMYFUNCTION("GOOGLETRANSLATE(B3144,""en"",""pt-br"")"),"negativo")</f>
        <v>negativo</v>
      </c>
    </row>
    <row r="3145" ht="15.75" customHeight="1">
      <c r="A3145" s="2" t="s">
        <v>3144</v>
      </c>
      <c r="B3145" s="2" t="s">
        <v>3</v>
      </c>
      <c r="C3145" s="1" t="str">
        <f>IFERROR(__xludf.DUMMYFUNCTION("GOOGLETRANSLATE(A3145,""en"",""pt-br"")"),"impetuoso")</f>
        <v>impetuoso</v>
      </c>
      <c r="D3145" s="1" t="str">
        <f>IFERROR(__xludf.DUMMYFUNCTION("GOOGLETRANSLATE(B3145,""en"",""pt-br"")"),"negativo")</f>
        <v>negativo</v>
      </c>
    </row>
    <row r="3146" ht="15.75" customHeight="1">
      <c r="A3146" s="2" t="s">
        <v>3145</v>
      </c>
      <c r="B3146" s="2" t="s">
        <v>3</v>
      </c>
      <c r="C3146" s="1" t="str">
        <f>IFERROR(__xludf.DUMMYFUNCTION("GOOGLETRANSLATE(A3146,""en"",""pt-br"")"),"impetuosamente")</f>
        <v>impetuosamente</v>
      </c>
      <c r="D3146" s="1" t="str">
        <f>IFERROR(__xludf.DUMMYFUNCTION("GOOGLETRANSLATE(B3146,""en"",""pt-br"")"),"negativo")</f>
        <v>negativo</v>
      </c>
    </row>
    <row r="3147" ht="15.75" customHeight="1">
      <c r="A3147" s="2" t="s">
        <v>3146</v>
      </c>
      <c r="B3147" s="2" t="s">
        <v>3</v>
      </c>
      <c r="C3147" s="1" t="str">
        <f>IFERROR(__xludf.DUMMYFUNCTION("GOOGLETRANSLATE(A3147,""en"",""pt-br"")"),"impiedade")</f>
        <v>impiedade</v>
      </c>
      <c r="D3147" s="1" t="str">
        <f>IFERROR(__xludf.DUMMYFUNCTION("GOOGLETRANSLATE(B3147,""en"",""pt-br"")"),"negativo")</f>
        <v>negativo</v>
      </c>
    </row>
    <row r="3148" ht="15.75" customHeight="1">
      <c r="A3148" s="2" t="s">
        <v>3147</v>
      </c>
      <c r="B3148" s="2" t="s">
        <v>3</v>
      </c>
      <c r="C3148" s="1" t="str">
        <f>IFERROR(__xludf.DUMMYFUNCTION("GOOGLETRANSLATE(A3148,""en"",""pt-br"")"),"impinge")</f>
        <v>impinge</v>
      </c>
      <c r="D3148" s="1" t="str">
        <f>IFERROR(__xludf.DUMMYFUNCTION("GOOGLETRANSLATE(B3148,""en"",""pt-br"")"),"negativo")</f>
        <v>negativo</v>
      </c>
    </row>
    <row r="3149" ht="15.75" customHeight="1">
      <c r="A3149" s="2" t="s">
        <v>3148</v>
      </c>
      <c r="B3149" s="2" t="s">
        <v>3</v>
      </c>
      <c r="C3149" s="1" t="str">
        <f>IFERROR(__xludf.DUMMYFUNCTION("GOOGLETRANSLATE(A3149,""en"",""pt-br"")"),"ímpio")</f>
        <v>ímpio</v>
      </c>
      <c r="D3149" s="1" t="str">
        <f>IFERROR(__xludf.DUMMYFUNCTION("GOOGLETRANSLATE(B3149,""en"",""pt-br"")"),"negativo")</f>
        <v>negativo</v>
      </c>
    </row>
    <row r="3150" ht="15.75" customHeight="1">
      <c r="A3150" s="2" t="s">
        <v>3149</v>
      </c>
      <c r="B3150" s="2" t="s">
        <v>3</v>
      </c>
      <c r="C3150" s="1" t="str">
        <f>IFERROR(__xludf.DUMMYFUNCTION("GOOGLETRANSLATE(A3150,""en"",""pt-br"")"),"implacável")</f>
        <v>implacável</v>
      </c>
      <c r="D3150" s="1" t="str">
        <f>IFERROR(__xludf.DUMMYFUNCTION("GOOGLETRANSLATE(B3150,""en"",""pt-br"")"),"negativo")</f>
        <v>negativo</v>
      </c>
    </row>
    <row r="3151" ht="15.75" customHeight="1">
      <c r="A3151" s="2" t="s">
        <v>3150</v>
      </c>
      <c r="B3151" s="2" t="s">
        <v>3</v>
      </c>
      <c r="C3151" s="1" t="str">
        <f>IFERROR(__xludf.DUMMYFUNCTION("GOOGLETRANSLATE(A3151,""en"",""pt-br"")"),"inverossímil")</f>
        <v>inverossímil</v>
      </c>
      <c r="D3151" s="1" t="str">
        <f>IFERROR(__xludf.DUMMYFUNCTION("GOOGLETRANSLATE(B3151,""en"",""pt-br"")"),"negativo")</f>
        <v>negativo</v>
      </c>
    </row>
    <row r="3152" ht="15.75" customHeight="1">
      <c r="A3152" s="2" t="s">
        <v>3151</v>
      </c>
      <c r="B3152" s="2" t="s">
        <v>3</v>
      </c>
      <c r="C3152" s="1" t="str">
        <f>IFERROR(__xludf.DUMMYFUNCTION("GOOGLETRANSLATE(A3152,""en"",""pt-br"")"),"implausivelmente")</f>
        <v>implausivelmente</v>
      </c>
      <c r="D3152" s="1" t="str">
        <f>IFERROR(__xludf.DUMMYFUNCTION("GOOGLETRANSLATE(B3152,""en"",""pt-br"")"),"negativo")</f>
        <v>negativo</v>
      </c>
    </row>
    <row r="3153" ht="15.75" customHeight="1">
      <c r="A3153" s="2" t="s">
        <v>3152</v>
      </c>
      <c r="B3153" s="2" t="s">
        <v>3</v>
      </c>
      <c r="C3153" s="1" t="str">
        <f>IFERROR(__xludf.DUMMYFUNCTION("GOOGLETRANSLATE(A3153,""en"",""pt-br"")"),"implicada")</f>
        <v>implicada</v>
      </c>
      <c r="D3153" s="1" t="str">
        <f>IFERROR(__xludf.DUMMYFUNCTION("GOOGLETRANSLATE(B3153,""en"",""pt-br"")"),"negativo")</f>
        <v>negativo</v>
      </c>
    </row>
    <row r="3154" ht="15.75" customHeight="1">
      <c r="A3154" s="2" t="s">
        <v>3153</v>
      </c>
      <c r="B3154" s="2" t="s">
        <v>3</v>
      </c>
      <c r="C3154" s="1" t="str">
        <f>IFERROR(__xludf.DUMMYFUNCTION("GOOGLETRANSLATE(A3154,""en"",""pt-br"")"),"implicação")</f>
        <v>implicação</v>
      </c>
      <c r="D3154" s="1" t="str">
        <f>IFERROR(__xludf.DUMMYFUNCTION("GOOGLETRANSLATE(B3154,""en"",""pt-br"")"),"negativo")</f>
        <v>negativo</v>
      </c>
    </row>
    <row r="3155" ht="15.75" customHeight="1">
      <c r="A3155" s="2" t="s">
        <v>3154</v>
      </c>
      <c r="B3155" s="2" t="s">
        <v>3</v>
      </c>
      <c r="C3155" s="1" t="str">
        <f>IFERROR(__xludf.DUMMYFUNCTION("GOOGLETRANSLATE(A3155,""en"",""pt-br"")"),"implodir")</f>
        <v>implodir</v>
      </c>
      <c r="D3155" s="1" t="str">
        <f>IFERROR(__xludf.DUMMYFUNCTION("GOOGLETRANSLATE(B3155,""en"",""pt-br"")"),"negativo")</f>
        <v>negativo</v>
      </c>
    </row>
    <row r="3156" ht="15.75" customHeight="1">
      <c r="A3156" s="2" t="s">
        <v>3155</v>
      </c>
      <c r="B3156" s="2" t="s">
        <v>3</v>
      </c>
      <c r="C3156" s="1" t="str">
        <f>IFERROR(__xludf.DUMMYFUNCTION("GOOGLETRANSLATE(A3156,""en"",""pt-br"")"),"indelicado")</f>
        <v>indelicado</v>
      </c>
      <c r="D3156" s="1" t="str">
        <f>IFERROR(__xludf.DUMMYFUNCTION("GOOGLETRANSLATE(B3156,""en"",""pt-br"")"),"negativo")</f>
        <v>negativo</v>
      </c>
    </row>
    <row r="3157" ht="15.75" customHeight="1">
      <c r="A3157" s="2" t="s">
        <v>3156</v>
      </c>
      <c r="B3157" s="2" t="s">
        <v>3</v>
      </c>
      <c r="C3157" s="1" t="str">
        <f>IFERROR(__xludf.DUMMYFUNCTION("GOOGLETRANSLATE(A3157,""en"",""pt-br"")"),"impolitely")</f>
        <v>impolitely</v>
      </c>
      <c r="D3157" s="1" t="str">
        <f>IFERROR(__xludf.DUMMYFUNCTION("GOOGLETRANSLATE(B3157,""en"",""pt-br"")"),"negativo")</f>
        <v>negativo</v>
      </c>
    </row>
    <row r="3158" ht="15.75" customHeight="1">
      <c r="A3158" s="2" t="s">
        <v>3157</v>
      </c>
      <c r="B3158" s="2" t="s">
        <v>3</v>
      </c>
      <c r="C3158" s="1" t="str">
        <f>IFERROR(__xludf.DUMMYFUNCTION("GOOGLETRANSLATE(A3158,""en"",""pt-br"")"),"imprudente")</f>
        <v>imprudente</v>
      </c>
      <c r="D3158" s="1" t="str">
        <f>IFERROR(__xludf.DUMMYFUNCTION("GOOGLETRANSLATE(B3158,""en"",""pt-br"")"),"negativo")</f>
        <v>negativo</v>
      </c>
    </row>
    <row r="3159" ht="15.75" customHeight="1">
      <c r="A3159" s="2" t="s">
        <v>3158</v>
      </c>
      <c r="B3159" s="2" t="s">
        <v>14</v>
      </c>
      <c r="C3159" s="1" t="str">
        <f>IFERROR(__xludf.DUMMYFUNCTION("GOOGLETRANSLATE(A3159,""en"",""pt-br"")"),"importante")</f>
        <v>importante</v>
      </c>
      <c r="D3159" s="1" t="str">
        <f>IFERROR(__xludf.DUMMYFUNCTION("GOOGLETRANSLATE(B3159,""en"",""pt-br"")"),"positivo")</f>
        <v>positivo</v>
      </c>
    </row>
    <row r="3160" ht="15.75" customHeight="1">
      <c r="A3160" s="2" t="s">
        <v>3159</v>
      </c>
      <c r="B3160" s="2" t="s">
        <v>3</v>
      </c>
      <c r="C3160" s="1" t="str">
        <f>IFERROR(__xludf.DUMMYFUNCTION("GOOGLETRANSLATE(A3160,""en"",""pt-br"")"),"inoportuno")</f>
        <v>inoportuno</v>
      </c>
      <c r="D3160" s="1" t="str">
        <f>IFERROR(__xludf.DUMMYFUNCTION("GOOGLETRANSLATE(B3160,""en"",""pt-br"")"),"negativo")</f>
        <v>negativo</v>
      </c>
    </row>
    <row r="3161" ht="15.75" customHeight="1">
      <c r="A3161" s="2" t="s">
        <v>3160</v>
      </c>
      <c r="B3161" s="2" t="s">
        <v>3</v>
      </c>
      <c r="C3161" s="1" t="str">
        <f>IFERROR(__xludf.DUMMYFUNCTION("GOOGLETRANSLATE(A3161,""en"",""pt-br"")"),"importunar")</f>
        <v>importunar</v>
      </c>
      <c r="D3161" s="1" t="str">
        <f>IFERROR(__xludf.DUMMYFUNCTION("GOOGLETRANSLATE(B3161,""en"",""pt-br"")"),"negativo")</f>
        <v>negativo</v>
      </c>
    </row>
    <row r="3162" ht="15.75" customHeight="1">
      <c r="A3162" s="2" t="s">
        <v>3161</v>
      </c>
      <c r="B3162" s="2" t="s">
        <v>3</v>
      </c>
      <c r="C3162" s="1" t="str">
        <f>IFERROR(__xludf.DUMMYFUNCTION("GOOGLETRANSLATE(A3162,""en"",""pt-br"")"),"impor")</f>
        <v>impor</v>
      </c>
      <c r="D3162" s="1" t="str">
        <f>IFERROR(__xludf.DUMMYFUNCTION("GOOGLETRANSLATE(B3162,""en"",""pt-br"")"),"negativo")</f>
        <v>negativo</v>
      </c>
    </row>
    <row r="3163" ht="15.75" customHeight="1">
      <c r="A3163" s="2" t="s">
        <v>3162</v>
      </c>
      <c r="B3163" s="2" t="s">
        <v>3</v>
      </c>
      <c r="C3163" s="1" t="str">
        <f>IFERROR(__xludf.DUMMYFUNCTION("GOOGLETRANSLATE(A3163,""en"",""pt-br"")"),"impostores")</f>
        <v>impostores</v>
      </c>
      <c r="D3163" s="1" t="str">
        <f>IFERROR(__xludf.DUMMYFUNCTION("GOOGLETRANSLATE(B3163,""en"",""pt-br"")"),"negativo")</f>
        <v>negativo</v>
      </c>
    </row>
    <row r="3164" ht="15.75" customHeight="1">
      <c r="A3164" s="2" t="s">
        <v>3163</v>
      </c>
      <c r="B3164" s="2" t="s">
        <v>3</v>
      </c>
      <c r="C3164" s="1" t="str">
        <f>IFERROR(__xludf.DUMMYFUNCTION("GOOGLETRANSLATE(A3164,""en"",""pt-br"")"),"imponente")</f>
        <v>imponente</v>
      </c>
      <c r="D3164" s="1" t="str">
        <f>IFERROR(__xludf.DUMMYFUNCTION("GOOGLETRANSLATE(B3164,""en"",""pt-br"")"),"negativo")</f>
        <v>negativo</v>
      </c>
    </row>
    <row r="3165" ht="15.75" customHeight="1">
      <c r="A3165" s="2" t="s">
        <v>3164</v>
      </c>
      <c r="B3165" s="2" t="s">
        <v>3</v>
      </c>
      <c r="C3165" s="1" t="str">
        <f>IFERROR(__xludf.DUMMYFUNCTION("GOOGLETRANSLATE(A3165,""en"",""pt-br"")"),"imposição")</f>
        <v>imposição</v>
      </c>
      <c r="D3165" s="1" t="str">
        <f>IFERROR(__xludf.DUMMYFUNCTION("GOOGLETRANSLATE(B3165,""en"",""pt-br"")"),"negativo")</f>
        <v>negativo</v>
      </c>
    </row>
    <row r="3166" ht="15.75" customHeight="1">
      <c r="A3166" s="2" t="s">
        <v>3165</v>
      </c>
      <c r="B3166" s="2" t="s">
        <v>3</v>
      </c>
      <c r="C3166" s="1" t="str">
        <f>IFERROR(__xludf.DUMMYFUNCTION("GOOGLETRANSLATE(A3166,""en"",""pt-br"")"),"impossível")</f>
        <v>impossível</v>
      </c>
      <c r="D3166" s="1" t="str">
        <f>IFERROR(__xludf.DUMMYFUNCTION("GOOGLETRANSLATE(B3166,""en"",""pt-br"")"),"negativo")</f>
        <v>negativo</v>
      </c>
    </row>
    <row r="3167" ht="15.75" customHeight="1">
      <c r="A3167" s="2" t="s">
        <v>3166</v>
      </c>
      <c r="B3167" s="2" t="s">
        <v>3</v>
      </c>
      <c r="C3167" s="1" t="str">
        <f>IFERROR(__xludf.DUMMYFUNCTION("GOOGLETRANSLATE(A3167,""en"",""pt-br"")"),"impossiblity")</f>
        <v>impossiblity</v>
      </c>
      <c r="D3167" s="1" t="str">
        <f>IFERROR(__xludf.DUMMYFUNCTION("GOOGLETRANSLATE(B3167,""en"",""pt-br"")"),"negativo")</f>
        <v>negativo</v>
      </c>
    </row>
    <row r="3168" ht="15.75" customHeight="1">
      <c r="A3168" s="2" t="s">
        <v>3167</v>
      </c>
      <c r="B3168" s="2" t="s">
        <v>3</v>
      </c>
      <c r="C3168" s="1" t="str">
        <f>IFERROR(__xludf.DUMMYFUNCTION("GOOGLETRANSLATE(A3168,""en"",""pt-br"")"),"impossivel")</f>
        <v>impossivel</v>
      </c>
      <c r="D3168" s="1" t="str">
        <f>IFERROR(__xludf.DUMMYFUNCTION("GOOGLETRANSLATE(B3168,""en"",""pt-br"")"),"negativo")</f>
        <v>negativo</v>
      </c>
    </row>
    <row r="3169" ht="15.75" customHeight="1">
      <c r="A3169" s="2" t="s">
        <v>3168</v>
      </c>
      <c r="B3169" s="2" t="s">
        <v>3</v>
      </c>
      <c r="C3169" s="1" t="str">
        <f>IFERROR(__xludf.DUMMYFUNCTION("GOOGLETRANSLATE(A3169,""en"",""pt-br"")"),"impotente")</f>
        <v>impotente</v>
      </c>
      <c r="D3169" s="1" t="str">
        <f>IFERROR(__xludf.DUMMYFUNCTION("GOOGLETRANSLATE(B3169,""en"",""pt-br"")"),"negativo")</f>
        <v>negativo</v>
      </c>
    </row>
    <row r="3170" ht="15.75" customHeight="1">
      <c r="A3170" s="2" t="s">
        <v>3169</v>
      </c>
      <c r="B3170" s="2" t="s">
        <v>3</v>
      </c>
      <c r="C3170" s="1" t="str">
        <f>IFERROR(__xludf.DUMMYFUNCTION("GOOGLETRANSLATE(A3170,""en"",""pt-br"")"),"empobrecer")</f>
        <v>empobrecer</v>
      </c>
      <c r="D3170" s="1" t="str">
        <f>IFERROR(__xludf.DUMMYFUNCTION("GOOGLETRANSLATE(B3170,""en"",""pt-br"")"),"negativo")</f>
        <v>negativo</v>
      </c>
    </row>
    <row r="3171" ht="15.75" customHeight="1">
      <c r="A3171" s="2" t="s">
        <v>3170</v>
      </c>
      <c r="B3171" s="2" t="s">
        <v>3</v>
      </c>
      <c r="C3171" s="1" t="str">
        <f>IFERROR(__xludf.DUMMYFUNCTION("GOOGLETRANSLATE(A3171,""en"",""pt-br"")"),"empobrecida")</f>
        <v>empobrecida</v>
      </c>
      <c r="D3171" s="1" t="str">
        <f>IFERROR(__xludf.DUMMYFUNCTION("GOOGLETRANSLATE(B3171,""en"",""pt-br"")"),"negativo")</f>
        <v>negativo</v>
      </c>
    </row>
    <row r="3172" ht="15.75" customHeight="1">
      <c r="A3172" s="2" t="s">
        <v>3171</v>
      </c>
      <c r="B3172" s="2" t="s">
        <v>3</v>
      </c>
      <c r="C3172" s="1" t="str">
        <f>IFERROR(__xludf.DUMMYFUNCTION("GOOGLETRANSLATE(A3172,""en"",""pt-br"")"),"impraticável")</f>
        <v>impraticável</v>
      </c>
      <c r="D3172" s="1" t="str">
        <f>IFERROR(__xludf.DUMMYFUNCTION("GOOGLETRANSLATE(B3172,""en"",""pt-br"")"),"negativo")</f>
        <v>negativo</v>
      </c>
    </row>
    <row r="3173" ht="15.75" customHeight="1">
      <c r="A3173" s="2" t="s">
        <v>3172</v>
      </c>
      <c r="B3173" s="2" t="s">
        <v>3</v>
      </c>
      <c r="C3173" s="1" t="str">
        <f>IFERROR(__xludf.DUMMYFUNCTION("GOOGLETRANSLATE(A3173,""en"",""pt-br"")"),"maldizer")</f>
        <v>maldizer</v>
      </c>
      <c r="D3173" s="1" t="str">
        <f>IFERROR(__xludf.DUMMYFUNCTION("GOOGLETRANSLATE(B3173,""en"",""pt-br"")"),"negativo")</f>
        <v>negativo</v>
      </c>
    </row>
    <row r="3174" ht="15.75" customHeight="1">
      <c r="A3174" s="2" t="s">
        <v>3173</v>
      </c>
      <c r="B3174" s="2" t="s">
        <v>3</v>
      </c>
      <c r="C3174" s="1" t="str">
        <f>IFERROR(__xludf.DUMMYFUNCTION("GOOGLETRANSLATE(A3174,""en"",""pt-br"")"),"impreciso")</f>
        <v>impreciso</v>
      </c>
      <c r="D3174" s="1" t="str">
        <f>IFERROR(__xludf.DUMMYFUNCTION("GOOGLETRANSLATE(B3174,""en"",""pt-br"")"),"negativo")</f>
        <v>negativo</v>
      </c>
    </row>
    <row r="3175" ht="15.75" customHeight="1">
      <c r="A3175" s="2" t="s">
        <v>3174</v>
      </c>
      <c r="B3175" s="2" t="s">
        <v>3</v>
      </c>
      <c r="C3175" s="1" t="str">
        <f>IFERROR(__xludf.DUMMYFUNCTION("GOOGLETRANSLATE(A3175,""en"",""pt-br"")"),"imprecisely")</f>
        <v>imprecisely</v>
      </c>
      <c r="D3175" s="1" t="str">
        <f>IFERROR(__xludf.DUMMYFUNCTION("GOOGLETRANSLATE(B3175,""en"",""pt-br"")"),"negativo")</f>
        <v>negativo</v>
      </c>
    </row>
    <row r="3176" ht="15.75" customHeight="1">
      <c r="A3176" s="2" t="s">
        <v>3175</v>
      </c>
      <c r="B3176" s="2" t="s">
        <v>3</v>
      </c>
      <c r="C3176" s="1" t="str">
        <f>IFERROR(__xludf.DUMMYFUNCTION("GOOGLETRANSLATE(A3176,""en"",""pt-br"")"),"imprecisão")</f>
        <v>imprecisão</v>
      </c>
      <c r="D3176" s="1" t="str">
        <f>IFERROR(__xludf.DUMMYFUNCTION("GOOGLETRANSLATE(B3176,""en"",""pt-br"")"),"negativo")</f>
        <v>negativo</v>
      </c>
    </row>
    <row r="3177" ht="15.75" customHeight="1">
      <c r="A3177" s="2" t="s">
        <v>3176</v>
      </c>
      <c r="B3177" s="2" t="s">
        <v>14</v>
      </c>
      <c r="C3177" s="1" t="str">
        <f>IFERROR(__xludf.DUMMYFUNCTION("GOOGLETRANSLATE(A3177,""en"",""pt-br"")"),"impressionar")</f>
        <v>impressionar</v>
      </c>
      <c r="D3177" s="1" t="str">
        <f>IFERROR(__xludf.DUMMYFUNCTION("GOOGLETRANSLATE(B3177,""en"",""pt-br"")"),"positivo")</f>
        <v>positivo</v>
      </c>
    </row>
    <row r="3178" ht="15.75" customHeight="1">
      <c r="A3178" s="2" t="s">
        <v>3177</v>
      </c>
      <c r="B3178" s="2" t="s">
        <v>14</v>
      </c>
      <c r="C3178" s="1" t="str">
        <f>IFERROR(__xludf.DUMMYFUNCTION("GOOGLETRANSLATE(A3178,""en"",""pt-br"")"),"impressionado")</f>
        <v>impressionado</v>
      </c>
      <c r="D3178" s="1" t="str">
        <f>IFERROR(__xludf.DUMMYFUNCTION("GOOGLETRANSLATE(B3178,""en"",""pt-br"")"),"positivo")</f>
        <v>positivo</v>
      </c>
    </row>
    <row r="3179" ht="15.75" customHeight="1">
      <c r="A3179" s="2" t="s">
        <v>3178</v>
      </c>
      <c r="B3179" s="2" t="s">
        <v>14</v>
      </c>
      <c r="C3179" s="1" t="str">
        <f>IFERROR(__xludf.DUMMYFUNCTION("GOOGLETRANSLATE(A3179,""en"",""pt-br"")"),"impressiona")</f>
        <v>impressiona</v>
      </c>
      <c r="D3179" s="1" t="str">
        <f>IFERROR(__xludf.DUMMYFUNCTION("GOOGLETRANSLATE(B3179,""en"",""pt-br"")"),"positivo")</f>
        <v>positivo</v>
      </c>
    </row>
    <row r="3180" ht="15.75" customHeight="1">
      <c r="A3180" s="2" t="s">
        <v>3179</v>
      </c>
      <c r="B3180" s="2" t="s">
        <v>14</v>
      </c>
      <c r="C3180" s="1" t="str">
        <f>IFERROR(__xludf.DUMMYFUNCTION("GOOGLETRANSLATE(A3180,""en"",""pt-br"")"),"impressionante")</f>
        <v>impressionante</v>
      </c>
      <c r="D3180" s="1" t="str">
        <f>IFERROR(__xludf.DUMMYFUNCTION("GOOGLETRANSLATE(B3180,""en"",""pt-br"")"),"positivo")</f>
        <v>positivo</v>
      </c>
    </row>
    <row r="3181" ht="15.75" customHeight="1">
      <c r="A3181" s="2" t="s">
        <v>3180</v>
      </c>
      <c r="B3181" s="2" t="s">
        <v>14</v>
      </c>
      <c r="C3181" s="1" t="str">
        <f>IFERROR(__xludf.DUMMYFUNCTION("GOOGLETRANSLATE(A3181,""en"",""pt-br"")"),"impressionantemente")</f>
        <v>impressionantemente</v>
      </c>
      <c r="D3181" s="1" t="str">
        <f>IFERROR(__xludf.DUMMYFUNCTION("GOOGLETRANSLATE(B3181,""en"",""pt-br"")"),"positivo")</f>
        <v>positivo</v>
      </c>
    </row>
    <row r="3182" ht="15.75" customHeight="1">
      <c r="A3182" s="2" t="s">
        <v>3181</v>
      </c>
      <c r="B3182" s="2" t="s">
        <v>14</v>
      </c>
      <c r="C3182" s="1" t="str">
        <f>IFERROR(__xludf.DUMMYFUNCTION("GOOGLETRANSLATE(A3182,""en"",""pt-br"")"),"impressiveness")</f>
        <v>impressiveness</v>
      </c>
      <c r="D3182" s="1" t="str">
        <f>IFERROR(__xludf.DUMMYFUNCTION("GOOGLETRANSLATE(B3182,""en"",""pt-br"")"),"positivo")</f>
        <v>positivo</v>
      </c>
    </row>
    <row r="3183" ht="15.75" customHeight="1">
      <c r="A3183" s="2" t="s">
        <v>3182</v>
      </c>
      <c r="B3183" s="2" t="s">
        <v>3</v>
      </c>
      <c r="C3183" s="1" t="str">
        <f>IFERROR(__xludf.DUMMYFUNCTION("GOOGLETRANSLATE(A3183,""en"",""pt-br"")"),"aprisionar")</f>
        <v>aprisionar</v>
      </c>
      <c r="D3183" s="1" t="str">
        <f>IFERROR(__xludf.DUMMYFUNCTION("GOOGLETRANSLATE(B3183,""en"",""pt-br"")"),"negativo")</f>
        <v>negativo</v>
      </c>
    </row>
    <row r="3184" ht="15.75" customHeight="1">
      <c r="A3184" s="2" t="s">
        <v>3183</v>
      </c>
      <c r="B3184" s="2" t="s">
        <v>3</v>
      </c>
      <c r="C3184" s="1" t="str">
        <f>IFERROR(__xludf.DUMMYFUNCTION("GOOGLETRANSLATE(A3184,""en"",""pt-br"")"),"prisão")</f>
        <v>prisão</v>
      </c>
      <c r="D3184" s="1" t="str">
        <f>IFERROR(__xludf.DUMMYFUNCTION("GOOGLETRANSLATE(B3184,""en"",""pt-br"")"),"negativo")</f>
        <v>negativo</v>
      </c>
    </row>
    <row r="3185" ht="15.75" customHeight="1">
      <c r="A3185" s="2" t="s">
        <v>3184</v>
      </c>
      <c r="B3185" s="2" t="s">
        <v>3</v>
      </c>
      <c r="C3185" s="1" t="str">
        <f>IFERROR(__xludf.DUMMYFUNCTION("GOOGLETRANSLATE(A3185,""en"",""pt-br"")"),"improbabilidade")</f>
        <v>improbabilidade</v>
      </c>
      <c r="D3185" s="1" t="str">
        <f>IFERROR(__xludf.DUMMYFUNCTION("GOOGLETRANSLATE(B3185,""en"",""pt-br"")"),"negativo")</f>
        <v>negativo</v>
      </c>
    </row>
    <row r="3186" ht="15.75" customHeight="1">
      <c r="A3186" s="2" t="s">
        <v>3185</v>
      </c>
      <c r="B3186" s="2" t="s">
        <v>3</v>
      </c>
      <c r="C3186" s="1" t="str">
        <f>IFERROR(__xludf.DUMMYFUNCTION("GOOGLETRANSLATE(A3186,""en"",""pt-br"")"),"improvável")</f>
        <v>improvável</v>
      </c>
      <c r="D3186" s="1" t="str">
        <f>IFERROR(__xludf.DUMMYFUNCTION("GOOGLETRANSLATE(B3186,""en"",""pt-br"")"),"negativo")</f>
        <v>negativo</v>
      </c>
    </row>
    <row r="3187" ht="15.75" customHeight="1">
      <c r="A3187" s="2" t="s">
        <v>3186</v>
      </c>
      <c r="B3187" s="2" t="s">
        <v>3</v>
      </c>
      <c r="C3187" s="1" t="str">
        <f>IFERROR(__xludf.DUMMYFUNCTION("GOOGLETRANSLATE(A3187,""en"",""pt-br"")"),"improvavelmente")</f>
        <v>improvavelmente</v>
      </c>
      <c r="D3187" s="1" t="str">
        <f>IFERROR(__xludf.DUMMYFUNCTION("GOOGLETRANSLATE(B3187,""en"",""pt-br"")"),"negativo")</f>
        <v>negativo</v>
      </c>
    </row>
    <row r="3188" ht="15.75" customHeight="1">
      <c r="A3188" s="2" t="s">
        <v>3187</v>
      </c>
      <c r="B3188" s="2" t="s">
        <v>3</v>
      </c>
      <c r="C3188" s="1" t="str">
        <f>IFERROR(__xludf.DUMMYFUNCTION("GOOGLETRANSLATE(A3188,""en"",""pt-br"")"),"impróprio")</f>
        <v>impróprio</v>
      </c>
      <c r="D3188" s="1" t="str">
        <f>IFERROR(__xludf.DUMMYFUNCTION("GOOGLETRANSLATE(B3188,""en"",""pt-br"")"),"negativo")</f>
        <v>negativo</v>
      </c>
    </row>
    <row r="3189" ht="15.75" customHeight="1">
      <c r="A3189" s="2" t="s">
        <v>3188</v>
      </c>
      <c r="B3189" s="2" t="s">
        <v>3</v>
      </c>
      <c r="C3189" s="1" t="str">
        <f>IFERROR(__xludf.DUMMYFUNCTION("GOOGLETRANSLATE(A3189,""en"",""pt-br"")"),"impropriamente")</f>
        <v>impropriamente</v>
      </c>
      <c r="D3189" s="1" t="str">
        <f>IFERROR(__xludf.DUMMYFUNCTION("GOOGLETRANSLATE(B3189,""en"",""pt-br"")"),"negativo")</f>
        <v>negativo</v>
      </c>
    </row>
    <row r="3190" ht="15.75" customHeight="1">
      <c r="A3190" s="2" t="s">
        <v>3189</v>
      </c>
      <c r="B3190" s="2" t="s">
        <v>3</v>
      </c>
      <c r="C3190" s="1" t="str">
        <f>IFERROR(__xludf.DUMMYFUNCTION("GOOGLETRANSLATE(A3190,""en"",""pt-br"")"),"impropriedade")</f>
        <v>impropriedade</v>
      </c>
      <c r="D3190" s="1" t="str">
        <f>IFERROR(__xludf.DUMMYFUNCTION("GOOGLETRANSLATE(B3190,""en"",""pt-br"")"),"negativo")</f>
        <v>negativo</v>
      </c>
    </row>
    <row r="3191" ht="15.75" customHeight="1">
      <c r="A3191" s="2" t="s">
        <v>3190</v>
      </c>
      <c r="B3191" s="2" t="s">
        <v>14</v>
      </c>
      <c r="C3191" s="1" t="str">
        <f>IFERROR(__xludf.DUMMYFUNCTION("GOOGLETRANSLATE(A3191,""en"",""pt-br"")"),"melhorar")</f>
        <v>melhorar</v>
      </c>
      <c r="D3191" s="1" t="str">
        <f>IFERROR(__xludf.DUMMYFUNCTION("GOOGLETRANSLATE(B3191,""en"",""pt-br"")"),"positivo")</f>
        <v>positivo</v>
      </c>
    </row>
    <row r="3192" ht="15.75" customHeight="1">
      <c r="A3192" s="2" t="s">
        <v>3191</v>
      </c>
      <c r="B3192" s="2" t="s">
        <v>14</v>
      </c>
      <c r="C3192" s="1" t="str">
        <f>IFERROR(__xludf.DUMMYFUNCTION("GOOGLETRANSLATE(A3192,""en"",""pt-br"")"),"melhorado")</f>
        <v>melhorado</v>
      </c>
      <c r="D3192" s="1" t="str">
        <f>IFERROR(__xludf.DUMMYFUNCTION("GOOGLETRANSLATE(B3192,""en"",""pt-br"")"),"positivo")</f>
        <v>positivo</v>
      </c>
    </row>
    <row r="3193" ht="15.75" customHeight="1">
      <c r="A3193" s="2" t="s">
        <v>3192</v>
      </c>
      <c r="B3193" s="2" t="s">
        <v>14</v>
      </c>
      <c r="C3193" s="1" t="str">
        <f>IFERROR(__xludf.DUMMYFUNCTION("GOOGLETRANSLATE(A3193,""en"",""pt-br"")"),"melhoria")</f>
        <v>melhoria</v>
      </c>
      <c r="D3193" s="1" t="str">
        <f>IFERROR(__xludf.DUMMYFUNCTION("GOOGLETRANSLATE(B3193,""en"",""pt-br"")"),"positivo")</f>
        <v>positivo</v>
      </c>
    </row>
    <row r="3194" ht="15.75" customHeight="1">
      <c r="A3194" s="2" t="s">
        <v>3193</v>
      </c>
      <c r="B3194" s="2" t="s">
        <v>14</v>
      </c>
      <c r="C3194" s="1" t="str">
        <f>IFERROR(__xludf.DUMMYFUNCTION("GOOGLETRANSLATE(A3194,""en"",""pt-br"")"),"melhorias")</f>
        <v>melhorias</v>
      </c>
      <c r="D3194" s="1" t="str">
        <f>IFERROR(__xludf.DUMMYFUNCTION("GOOGLETRANSLATE(B3194,""en"",""pt-br"")"),"positivo")</f>
        <v>positivo</v>
      </c>
    </row>
    <row r="3195" ht="15.75" customHeight="1">
      <c r="A3195" s="2" t="s">
        <v>3194</v>
      </c>
      <c r="B3195" s="2" t="s">
        <v>14</v>
      </c>
      <c r="C3195" s="1" t="str">
        <f>IFERROR(__xludf.DUMMYFUNCTION("GOOGLETRANSLATE(A3195,""en"",""pt-br"")"),"melhora")</f>
        <v>melhora</v>
      </c>
      <c r="D3195" s="1" t="str">
        <f>IFERROR(__xludf.DUMMYFUNCTION("GOOGLETRANSLATE(B3195,""en"",""pt-br"")"),"positivo")</f>
        <v>positivo</v>
      </c>
    </row>
    <row r="3196" ht="15.75" customHeight="1">
      <c r="A3196" s="2" t="s">
        <v>3195</v>
      </c>
      <c r="B3196" s="2" t="s">
        <v>14</v>
      </c>
      <c r="C3196" s="1" t="str">
        <f>IFERROR(__xludf.DUMMYFUNCTION("GOOGLETRANSLATE(A3196,""en"",""pt-br"")"),"melhorando")</f>
        <v>melhorando</v>
      </c>
      <c r="D3196" s="1" t="str">
        <f>IFERROR(__xludf.DUMMYFUNCTION("GOOGLETRANSLATE(B3196,""en"",""pt-br"")"),"positivo")</f>
        <v>positivo</v>
      </c>
    </row>
    <row r="3197" ht="15.75" customHeight="1">
      <c r="A3197" s="2" t="s">
        <v>3196</v>
      </c>
      <c r="B3197" s="2" t="s">
        <v>3</v>
      </c>
      <c r="C3197" s="1" t="str">
        <f>IFERROR(__xludf.DUMMYFUNCTION("GOOGLETRANSLATE(A3197,""en"",""pt-br"")"),"imprudência")</f>
        <v>imprudência</v>
      </c>
      <c r="D3197" s="1" t="str">
        <f>IFERROR(__xludf.DUMMYFUNCTION("GOOGLETRANSLATE(B3197,""en"",""pt-br"")"),"negativo")</f>
        <v>negativo</v>
      </c>
    </row>
    <row r="3198" ht="15.75" customHeight="1">
      <c r="A3198" s="2" t="s">
        <v>3197</v>
      </c>
      <c r="B3198" s="2" t="s">
        <v>3</v>
      </c>
      <c r="C3198" s="1" t="str">
        <f>IFERROR(__xludf.DUMMYFUNCTION("GOOGLETRANSLATE(A3198,""en"",""pt-br"")"),"imprudente")</f>
        <v>imprudente</v>
      </c>
      <c r="D3198" s="1" t="str">
        <f>IFERROR(__xludf.DUMMYFUNCTION("GOOGLETRANSLATE(B3198,""en"",""pt-br"")"),"negativo")</f>
        <v>negativo</v>
      </c>
    </row>
    <row r="3199" ht="15.75" customHeight="1">
      <c r="A3199" s="2" t="s">
        <v>3198</v>
      </c>
      <c r="B3199" s="2" t="s">
        <v>3</v>
      </c>
      <c r="C3199" s="1" t="str">
        <f>IFERROR(__xludf.DUMMYFUNCTION("GOOGLETRANSLATE(A3199,""en"",""pt-br"")"),"impudência")</f>
        <v>impudência</v>
      </c>
      <c r="D3199" s="1" t="str">
        <f>IFERROR(__xludf.DUMMYFUNCTION("GOOGLETRANSLATE(B3199,""en"",""pt-br"")"),"negativo")</f>
        <v>negativo</v>
      </c>
    </row>
    <row r="3200" ht="15.75" customHeight="1">
      <c r="A3200" s="2" t="s">
        <v>3199</v>
      </c>
      <c r="B3200" s="2" t="s">
        <v>3</v>
      </c>
      <c r="C3200" s="1" t="str">
        <f>IFERROR(__xludf.DUMMYFUNCTION("GOOGLETRANSLATE(A3200,""en"",""pt-br"")"),"impudente")</f>
        <v>impudente</v>
      </c>
      <c r="D3200" s="1" t="str">
        <f>IFERROR(__xludf.DUMMYFUNCTION("GOOGLETRANSLATE(B3200,""en"",""pt-br"")"),"negativo")</f>
        <v>negativo</v>
      </c>
    </row>
    <row r="3201" ht="15.75" customHeight="1">
      <c r="A3201" s="2" t="s">
        <v>3200</v>
      </c>
      <c r="B3201" s="2" t="s">
        <v>3</v>
      </c>
      <c r="C3201" s="1" t="str">
        <f>IFERROR(__xludf.DUMMYFUNCTION("GOOGLETRANSLATE(A3201,""en"",""pt-br"")"),"impudently")</f>
        <v>impudently</v>
      </c>
      <c r="D3201" s="1" t="str">
        <f>IFERROR(__xludf.DUMMYFUNCTION("GOOGLETRANSLATE(B3201,""en"",""pt-br"")"),"negativo")</f>
        <v>negativo</v>
      </c>
    </row>
    <row r="3202" ht="15.75" customHeight="1">
      <c r="A3202" s="2" t="s">
        <v>3201</v>
      </c>
      <c r="B3202" s="2" t="s">
        <v>3</v>
      </c>
      <c r="C3202" s="1" t="str">
        <f>IFERROR(__xludf.DUMMYFUNCTION("GOOGLETRANSLATE(A3202,""en"",""pt-br"")"),"impugnar")</f>
        <v>impugnar</v>
      </c>
      <c r="D3202" s="1" t="str">
        <f>IFERROR(__xludf.DUMMYFUNCTION("GOOGLETRANSLATE(B3202,""en"",""pt-br"")"),"negativo")</f>
        <v>negativo</v>
      </c>
    </row>
    <row r="3203" ht="15.75" customHeight="1">
      <c r="A3203" s="2" t="s">
        <v>3202</v>
      </c>
      <c r="B3203" s="2" t="s">
        <v>3</v>
      </c>
      <c r="C3203" s="1" t="str">
        <f>IFERROR(__xludf.DUMMYFUNCTION("GOOGLETRANSLATE(A3203,""en"",""pt-br"")"),"impulsivo")</f>
        <v>impulsivo</v>
      </c>
      <c r="D3203" s="1" t="str">
        <f>IFERROR(__xludf.DUMMYFUNCTION("GOOGLETRANSLATE(B3203,""en"",""pt-br"")"),"negativo")</f>
        <v>negativo</v>
      </c>
    </row>
    <row r="3204" ht="15.75" customHeight="1">
      <c r="A3204" s="2" t="s">
        <v>3203</v>
      </c>
      <c r="B3204" s="2" t="s">
        <v>3</v>
      </c>
      <c r="C3204" s="1" t="str">
        <f>IFERROR(__xludf.DUMMYFUNCTION("GOOGLETRANSLATE(A3204,""en"",""pt-br"")"),"impulsivamente")</f>
        <v>impulsivamente</v>
      </c>
      <c r="D3204" s="1" t="str">
        <f>IFERROR(__xludf.DUMMYFUNCTION("GOOGLETRANSLATE(B3204,""en"",""pt-br"")"),"negativo")</f>
        <v>negativo</v>
      </c>
    </row>
    <row r="3205" ht="15.75" customHeight="1">
      <c r="A3205" s="2" t="s">
        <v>3204</v>
      </c>
      <c r="B3205" s="2" t="s">
        <v>3</v>
      </c>
      <c r="C3205" s="1" t="str">
        <f>IFERROR(__xludf.DUMMYFUNCTION("GOOGLETRANSLATE(A3205,""en"",""pt-br"")"),"impunidade")</f>
        <v>impunidade</v>
      </c>
      <c r="D3205" s="1" t="str">
        <f>IFERROR(__xludf.DUMMYFUNCTION("GOOGLETRANSLATE(B3205,""en"",""pt-br"")"),"negativo")</f>
        <v>negativo</v>
      </c>
    </row>
    <row r="3206" ht="15.75" customHeight="1">
      <c r="A3206" s="2" t="s">
        <v>3205</v>
      </c>
      <c r="B3206" s="2" t="s">
        <v>3</v>
      </c>
      <c r="C3206" s="1" t="str">
        <f>IFERROR(__xludf.DUMMYFUNCTION("GOOGLETRANSLATE(A3206,""en"",""pt-br"")"),"impuro")</f>
        <v>impuro</v>
      </c>
      <c r="D3206" s="1" t="str">
        <f>IFERROR(__xludf.DUMMYFUNCTION("GOOGLETRANSLATE(B3206,""en"",""pt-br"")"),"negativo")</f>
        <v>negativo</v>
      </c>
    </row>
    <row r="3207" ht="15.75" customHeight="1">
      <c r="A3207" s="2" t="s">
        <v>3206</v>
      </c>
      <c r="B3207" s="2" t="s">
        <v>3</v>
      </c>
      <c r="C3207" s="1" t="str">
        <f>IFERROR(__xludf.DUMMYFUNCTION("GOOGLETRANSLATE(A3207,""en"",""pt-br"")"),"impureza")</f>
        <v>impureza</v>
      </c>
      <c r="D3207" s="1" t="str">
        <f>IFERROR(__xludf.DUMMYFUNCTION("GOOGLETRANSLATE(B3207,""en"",""pt-br"")"),"negativo")</f>
        <v>negativo</v>
      </c>
    </row>
    <row r="3208" ht="15.75" customHeight="1">
      <c r="A3208" s="2" t="s">
        <v>3207</v>
      </c>
      <c r="B3208" s="2" t="s">
        <v>3</v>
      </c>
      <c r="C3208" s="1" t="str">
        <f>IFERROR(__xludf.DUMMYFUNCTION("GOOGLETRANSLATE(A3208,""en"",""pt-br"")"),"incapacidade")</f>
        <v>incapacidade</v>
      </c>
      <c r="D3208" s="1" t="str">
        <f>IFERROR(__xludf.DUMMYFUNCTION("GOOGLETRANSLATE(B3208,""en"",""pt-br"")"),"negativo")</f>
        <v>negativo</v>
      </c>
    </row>
    <row r="3209" ht="15.75" customHeight="1">
      <c r="A3209" s="2" t="s">
        <v>3208</v>
      </c>
      <c r="B3209" s="2" t="s">
        <v>3</v>
      </c>
      <c r="C3209" s="1" t="str">
        <f>IFERROR(__xludf.DUMMYFUNCTION("GOOGLETRANSLATE(A3209,""en"",""pt-br"")"),"imprecisões")</f>
        <v>imprecisões</v>
      </c>
      <c r="D3209" s="1" t="str">
        <f>IFERROR(__xludf.DUMMYFUNCTION("GOOGLETRANSLATE(B3209,""en"",""pt-br"")"),"negativo")</f>
        <v>negativo</v>
      </c>
    </row>
    <row r="3210" ht="15.75" customHeight="1">
      <c r="A3210" s="2" t="s">
        <v>3209</v>
      </c>
      <c r="B3210" s="2" t="s">
        <v>3</v>
      </c>
      <c r="C3210" s="1" t="str">
        <f>IFERROR(__xludf.DUMMYFUNCTION("GOOGLETRANSLATE(A3210,""en"",""pt-br"")"),"inexatidão")</f>
        <v>inexatidão</v>
      </c>
      <c r="D3210" s="1" t="str">
        <f>IFERROR(__xludf.DUMMYFUNCTION("GOOGLETRANSLATE(B3210,""en"",""pt-br"")"),"negativo")</f>
        <v>negativo</v>
      </c>
    </row>
    <row r="3211" ht="15.75" customHeight="1">
      <c r="A3211" s="2" t="s">
        <v>3210</v>
      </c>
      <c r="B3211" s="2" t="s">
        <v>3</v>
      </c>
      <c r="C3211" s="1" t="str">
        <f>IFERROR(__xludf.DUMMYFUNCTION("GOOGLETRANSLATE(A3211,""en"",""pt-br"")"),"impreciso")</f>
        <v>impreciso</v>
      </c>
      <c r="D3211" s="1" t="str">
        <f>IFERROR(__xludf.DUMMYFUNCTION("GOOGLETRANSLATE(B3211,""en"",""pt-br"")"),"negativo")</f>
        <v>negativo</v>
      </c>
    </row>
    <row r="3212" ht="15.75" customHeight="1">
      <c r="A3212" s="2" t="s">
        <v>3211</v>
      </c>
      <c r="B3212" s="2" t="s">
        <v>3</v>
      </c>
      <c r="C3212" s="1" t="str">
        <f>IFERROR(__xludf.DUMMYFUNCTION("GOOGLETRANSLATE(A3212,""en"",""pt-br"")"),"imprecisamente")</f>
        <v>imprecisamente</v>
      </c>
      <c r="D3212" s="1" t="str">
        <f>IFERROR(__xludf.DUMMYFUNCTION("GOOGLETRANSLATE(B3212,""en"",""pt-br"")"),"negativo")</f>
        <v>negativo</v>
      </c>
    </row>
    <row r="3213" ht="15.75" customHeight="1">
      <c r="A3213" s="2" t="s">
        <v>3212</v>
      </c>
      <c r="B3213" s="2" t="s">
        <v>3</v>
      </c>
      <c r="C3213" s="1" t="str">
        <f>IFERROR(__xludf.DUMMYFUNCTION("GOOGLETRANSLATE(A3213,""en"",""pt-br"")"),"inação")</f>
        <v>inação</v>
      </c>
      <c r="D3213" s="1" t="str">
        <f>IFERROR(__xludf.DUMMYFUNCTION("GOOGLETRANSLATE(B3213,""en"",""pt-br"")"),"negativo")</f>
        <v>negativo</v>
      </c>
    </row>
    <row r="3214" ht="15.75" customHeight="1">
      <c r="A3214" s="2" t="s">
        <v>3213</v>
      </c>
      <c r="B3214" s="2" t="s">
        <v>3</v>
      </c>
      <c r="C3214" s="1" t="str">
        <f>IFERROR(__xludf.DUMMYFUNCTION("GOOGLETRANSLATE(A3214,""en"",""pt-br"")"),"inativo")</f>
        <v>inativo</v>
      </c>
      <c r="D3214" s="1" t="str">
        <f>IFERROR(__xludf.DUMMYFUNCTION("GOOGLETRANSLATE(B3214,""en"",""pt-br"")"),"negativo")</f>
        <v>negativo</v>
      </c>
    </row>
    <row r="3215" ht="15.75" customHeight="1">
      <c r="A3215" s="2" t="s">
        <v>3214</v>
      </c>
      <c r="B3215" s="2" t="s">
        <v>3</v>
      </c>
      <c r="C3215" s="1" t="str">
        <f>IFERROR(__xludf.DUMMYFUNCTION("GOOGLETRANSLATE(A3215,""en"",""pt-br"")"),"inadequação")</f>
        <v>inadequação</v>
      </c>
      <c r="D3215" s="1" t="str">
        <f>IFERROR(__xludf.DUMMYFUNCTION("GOOGLETRANSLATE(B3215,""en"",""pt-br"")"),"negativo")</f>
        <v>negativo</v>
      </c>
    </row>
    <row r="3216" ht="15.75" customHeight="1">
      <c r="A3216" s="2" t="s">
        <v>3215</v>
      </c>
      <c r="B3216" s="2" t="s">
        <v>3</v>
      </c>
      <c r="C3216" s="1" t="str">
        <f>IFERROR(__xludf.DUMMYFUNCTION("GOOGLETRANSLATE(A3216,""en"",""pt-br"")"),"inadequado")</f>
        <v>inadequado</v>
      </c>
      <c r="D3216" s="1" t="str">
        <f>IFERROR(__xludf.DUMMYFUNCTION("GOOGLETRANSLATE(B3216,""en"",""pt-br"")"),"negativo")</f>
        <v>negativo</v>
      </c>
    </row>
    <row r="3217" ht="15.75" customHeight="1">
      <c r="A3217" s="2" t="s">
        <v>3216</v>
      </c>
      <c r="B3217" s="2" t="s">
        <v>3</v>
      </c>
      <c r="C3217" s="1" t="str">
        <f>IFERROR(__xludf.DUMMYFUNCTION("GOOGLETRANSLATE(A3217,""en"",""pt-br"")"),"inadequadamente")</f>
        <v>inadequadamente</v>
      </c>
      <c r="D3217" s="1" t="str">
        <f>IFERROR(__xludf.DUMMYFUNCTION("GOOGLETRANSLATE(B3217,""en"",""pt-br"")"),"negativo")</f>
        <v>negativo</v>
      </c>
    </row>
    <row r="3218" ht="15.75" customHeight="1">
      <c r="A3218" s="2" t="s">
        <v>3217</v>
      </c>
      <c r="B3218" s="2" t="s">
        <v>3</v>
      </c>
      <c r="C3218" s="1" t="str">
        <f>IFERROR(__xludf.DUMMYFUNCTION("GOOGLETRANSLATE(A3218,""en"",""pt-br"")"),"inadverent")</f>
        <v>inadverent</v>
      </c>
      <c r="D3218" s="1" t="str">
        <f>IFERROR(__xludf.DUMMYFUNCTION("GOOGLETRANSLATE(B3218,""en"",""pt-br"")"),"negativo")</f>
        <v>negativo</v>
      </c>
    </row>
    <row r="3219" ht="15.75" customHeight="1">
      <c r="A3219" s="2" t="s">
        <v>3218</v>
      </c>
      <c r="B3219" s="2" t="s">
        <v>3</v>
      </c>
      <c r="C3219" s="1" t="str">
        <f>IFERROR(__xludf.DUMMYFUNCTION("GOOGLETRANSLATE(A3219,""en"",""pt-br"")"),"inadverently")</f>
        <v>inadverently</v>
      </c>
      <c r="D3219" s="1" t="str">
        <f>IFERROR(__xludf.DUMMYFUNCTION("GOOGLETRANSLATE(B3219,""en"",""pt-br"")"),"negativo")</f>
        <v>negativo</v>
      </c>
    </row>
    <row r="3220" ht="15.75" customHeight="1">
      <c r="A3220" s="2" t="s">
        <v>3219</v>
      </c>
      <c r="B3220" s="2" t="s">
        <v>3</v>
      </c>
      <c r="C3220" s="1" t="str">
        <f>IFERROR(__xludf.DUMMYFUNCTION("GOOGLETRANSLATE(A3220,""en"",""pt-br"")"),"inoportuno")</f>
        <v>inoportuno</v>
      </c>
      <c r="D3220" s="1" t="str">
        <f>IFERROR(__xludf.DUMMYFUNCTION("GOOGLETRANSLATE(B3220,""en"",""pt-br"")"),"negativo")</f>
        <v>negativo</v>
      </c>
    </row>
    <row r="3221" ht="15.75" customHeight="1">
      <c r="A3221" s="2" t="s">
        <v>3220</v>
      </c>
      <c r="B3221" s="2" t="s">
        <v>3</v>
      </c>
      <c r="C3221" s="1" t="str">
        <f>IFERROR(__xludf.DUMMYFUNCTION("GOOGLETRANSLATE(A3221,""en"",""pt-br"")"),"inadvisably")</f>
        <v>inadvisably</v>
      </c>
      <c r="D3221" s="1" t="str">
        <f>IFERROR(__xludf.DUMMYFUNCTION("GOOGLETRANSLATE(B3221,""en"",""pt-br"")"),"negativo")</f>
        <v>negativo</v>
      </c>
    </row>
    <row r="3222" ht="15.75" customHeight="1">
      <c r="A3222" s="2" t="s">
        <v>3221</v>
      </c>
      <c r="B3222" s="2" t="s">
        <v>3</v>
      </c>
      <c r="C3222" s="1" t="str">
        <f>IFERROR(__xludf.DUMMYFUNCTION("GOOGLETRANSLATE(A3222,""en"",""pt-br"")"),"fútil")</f>
        <v>fútil</v>
      </c>
      <c r="D3222" s="1" t="str">
        <f>IFERROR(__xludf.DUMMYFUNCTION("GOOGLETRANSLATE(B3222,""en"",""pt-br"")"),"negativo")</f>
        <v>negativo</v>
      </c>
    </row>
    <row r="3223" ht="15.75" customHeight="1">
      <c r="A3223" s="2" t="s">
        <v>3222</v>
      </c>
      <c r="B3223" s="2" t="s">
        <v>3</v>
      </c>
      <c r="C3223" s="1" t="str">
        <f>IFERROR(__xludf.DUMMYFUNCTION("GOOGLETRANSLATE(A3223,""en"",""pt-br"")"),"inanely")</f>
        <v>inanely</v>
      </c>
      <c r="D3223" s="1" t="str">
        <f>IFERROR(__xludf.DUMMYFUNCTION("GOOGLETRANSLATE(B3223,""en"",""pt-br"")"),"negativo")</f>
        <v>negativo</v>
      </c>
    </row>
    <row r="3224" ht="15.75" customHeight="1">
      <c r="A3224" s="2" t="s">
        <v>3223</v>
      </c>
      <c r="B3224" s="2" t="s">
        <v>3</v>
      </c>
      <c r="C3224" s="1" t="str">
        <f>IFERROR(__xludf.DUMMYFUNCTION("GOOGLETRANSLATE(A3224,""en"",""pt-br"")"),"inapropriado")</f>
        <v>inapropriado</v>
      </c>
      <c r="D3224" s="1" t="str">
        <f>IFERROR(__xludf.DUMMYFUNCTION("GOOGLETRANSLATE(B3224,""en"",""pt-br"")"),"negativo")</f>
        <v>negativo</v>
      </c>
    </row>
    <row r="3225" ht="15.75" customHeight="1">
      <c r="A3225" s="2" t="s">
        <v>3224</v>
      </c>
      <c r="B3225" s="2" t="s">
        <v>3</v>
      </c>
      <c r="C3225" s="1" t="str">
        <f>IFERROR(__xludf.DUMMYFUNCTION("GOOGLETRANSLATE(A3225,""en"",""pt-br"")"),"inapropriadamente")</f>
        <v>inapropriadamente</v>
      </c>
      <c r="D3225" s="1" t="str">
        <f>IFERROR(__xludf.DUMMYFUNCTION("GOOGLETRANSLATE(B3225,""en"",""pt-br"")"),"negativo")</f>
        <v>negativo</v>
      </c>
    </row>
    <row r="3226" ht="15.75" customHeight="1">
      <c r="A3226" s="2" t="s">
        <v>3225</v>
      </c>
      <c r="B3226" s="2" t="s">
        <v>3</v>
      </c>
      <c r="C3226" s="1" t="str">
        <f>IFERROR(__xludf.DUMMYFUNCTION("GOOGLETRANSLATE(A3226,""en"",""pt-br"")"),"inapto")</f>
        <v>inapto</v>
      </c>
      <c r="D3226" s="1" t="str">
        <f>IFERROR(__xludf.DUMMYFUNCTION("GOOGLETRANSLATE(B3226,""en"",""pt-br"")"),"negativo")</f>
        <v>negativo</v>
      </c>
    </row>
    <row r="3227" ht="15.75" customHeight="1">
      <c r="A3227" s="2" t="s">
        <v>3226</v>
      </c>
      <c r="B3227" s="2" t="s">
        <v>3</v>
      </c>
      <c r="C3227" s="1" t="str">
        <f>IFERROR(__xludf.DUMMYFUNCTION("GOOGLETRANSLATE(A3227,""en"",""pt-br"")"),"inaptidão")</f>
        <v>inaptidão</v>
      </c>
      <c r="D3227" s="1" t="str">
        <f>IFERROR(__xludf.DUMMYFUNCTION("GOOGLETRANSLATE(B3227,""en"",""pt-br"")"),"negativo")</f>
        <v>negativo</v>
      </c>
    </row>
    <row r="3228" ht="15.75" customHeight="1">
      <c r="A3228" s="2" t="s">
        <v>3227</v>
      </c>
      <c r="B3228" s="2" t="s">
        <v>3</v>
      </c>
      <c r="C3228" s="1" t="str">
        <f>IFERROR(__xludf.DUMMYFUNCTION("GOOGLETRANSLATE(A3228,""en"",""pt-br"")"),"inarticulado")</f>
        <v>inarticulado</v>
      </c>
      <c r="D3228" s="1" t="str">
        <f>IFERROR(__xludf.DUMMYFUNCTION("GOOGLETRANSLATE(B3228,""en"",""pt-br"")"),"negativo")</f>
        <v>negativo</v>
      </c>
    </row>
    <row r="3229" ht="15.75" customHeight="1">
      <c r="A3229" s="2" t="s">
        <v>3228</v>
      </c>
      <c r="B3229" s="2" t="s">
        <v>3</v>
      </c>
      <c r="C3229" s="1" t="str">
        <f>IFERROR(__xludf.DUMMYFUNCTION("GOOGLETRANSLATE(A3229,""en"",""pt-br"")"),"desatento")</f>
        <v>desatento</v>
      </c>
      <c r="D3229" s="1" t="str">
        <f>IFERROR(__xludf.DUMMYFUNCTION("GOOGLETRANSLATE(B3229,""en"",""pt-br"")"),"negativo")</f>
        <v>negativo</v>
      </c>
    </row>
    <row r="3230" ht="15.75" customHeight="1">
      <c r="A3230" s="2" t="s">
        <v>3229</v>
      </c>
      <c r="B3230" s="2" t="s">
        <v>3</v>
      </c>
      <c r="C3230" s="1" t="str">
        <f>IFERROR(__xludf.DUMMYFUNCTION("GOOGLETRANSLATE(A3230,""en"",""pt-br"")"),"inaudível")</f>
        <v>inaudível</v>
      </c>
      <c r="D3230" s="1" t="str">
        <f>IFERROR(__xludf.DUMMYFUNCTION("GOOGLETRANSLATE(B3230,""en"",""pt-br"")"),"negativo")</f>
        <v>negativo</v>
      </c>
    </row>
    <row r="3231" ht="15.75" customHeight="1">
      <c r="A3231" s="2" t="s">
        <v>3230</v>
      </c>
      <c r="B3231" s="2" t="s">
        <v>3</v>
      </c>
      <c r="C3231" s="1" t="str">
        <f>IFERROR(__xludf.DUMMYFUNCTION("GOOGLETRANSLATE(A3231,""en"",""pt-br"")"),"incapaz")</f>
        <v>incapaz</v>
      </c>
      <c r="D3231" s="1" t="str">
        <f>IFERROR(__xludf.DUMMYFUNCTION("GOOGLETRANSLATE(B3231,""en"",""pt-br"")"),"negativo")</f>
        <v>negativo</v>
      </c>
    </row>
    <row r="3232" ht="15.75" customHeight="1">
      <c r="A3232" s="2" t="s">
        <v>3231</v>
      </c>
      <c r="B3232" s="2" t="s">
        <v>3</v>
      </c>
      <c r="C3232" s="1" t="str">
        <f>IFERROR(__xludf.DUMMYFUNCTION("GOOGLETRANSLATE(A3232,""en"",""pt-br"")"),"incapably")</f>
        <v>incapably</v>
      </c>
      <c r="D3232" s="1" t="str">
        <f>IFERROR(__xludf.DUMMYFUNCTION("GOOGLETRANSLATE(B3232,""en"",""pt-br"")"),"negativo")</f>
        <v>negativo</v>
      </c>
    </row>
    <row r="3233" ht="15.75" customHeight="1">
      <c r="A3233" s="2" t="s">
        <v>3232</v>
      </c>
      <c r="B3233" s="2" t="s">
        <v>3</v>
      </c>
      <c r="C3233" s="1" t="str">
        <f>IFERROR(__xludf.DUMMYFUNCTION("GOOGLETRANSLATE(A3233,""en"",""pt-br"")"),"descuidado")</f>
        <v>descuidado</v>
      </c>
      <c r="D3233" s="1" t="str">
        <f>IFERROR(__xludf.DUMMYFUNCTION("GOOGLETRANSLATE(B3233,""en"",""pt-br"")"),"negativo")</f>
        <v>negativo</v>
      </c>
    </row>
    <row r="3234" ht="15.75" customHeight="1">
      <c r="A3234" s="2" t="s">
        <v>3233</v>
      </c>
      <c r="B3234" s="2" t="s">
        <v>3</v>
      </c>
      <c r="C3234" s="1" t="str">
        <f>IFERROR(__xludf.DUMMYFUNCTION("GOOGLETRANSLATE(A3234,""en"",""pt-br"")"),"incendiário")</f>
        <v>incendiário</v>
      </c>
      <c r="D3234" s="1" t="str">
        <f>IFERROR(__xludf.DUMMYFUNCTION("GOOGLETRANSLATE(B3234,""en"",""pt-br"")"),"negativo")</f>
        <v>negativo</v>
      </c>
    </row>
    <row r="3235" ht="15.75" customHeight="1">
      <c r="A3235" s="2" t="s">
        <v>3234</v>
      </c>
      <c r="B3235" s="2" t="s">
        <v>3</v>
      </c>
      <c r="C3235" s="1" t="str">
        <f>IFERROR(__xludf.DUMMYFUNCTION("GOOGLETRANSLATE(A3235,""en"",""pt-br"")"),"incenso")</f>
        <v>incenso</v>
      </c>
      <c r="D3235" s="1" t="str">
        <f>IFERROR(__xludf.DUMMYFUNCTION("GOOGLETRANSLATE(B3235,""en"",""pt-br"")"),"negativo")</f>
        <v>negativo</v>
      </c>
    </row>
    <row r="3236" ht="15.75" customHeight="1">
      <c r="A3236" s="2" t="s">
        <v>3235</v>
      </c>
      <c r="B3236" s="2" t="s">
        <v>3</v>
      </c>
      <c r="C3236" s="1" t="str">
        <f>IFERROR(__xludf.DUMMYFUNCTION("GOOGLETRANSLATE(A3236,""en"",""pt-br"")"),"incessante")</f>
        <v>incessante</v>
      </c>
      <c r="D3236" s="1" t="str">
        <f>IFERROR(__xludf.DUMMYFUNCTION("GOOGLETRANSLATE(B3236,""en"",""pt-br"")"),"negativo")</f>
        <v>negativo</v>
      </c>
    </row>
    <row r="3237" ht="15.75" customHeight="1">
      <c r="A3237" s="2" t="s">
        <v>3236</v>
      </c>
      <c r="B3237" s="2" t="s">
        <v>3</v>
      </c>
      <c r="C3237" s="1" t="str">
        <f>IFERROR(__xludf.DUMMYFUNCTION("GOOGLETRANSLATE(A3237,""en"",""pt-br"")"),"incessantemente")</f>
        <v>incessantemente</v>
      </c>
      <c r="D3237" s="1" t="str">
        <f>IFERROR(__xludf.DUMMYFUNCTION("GOOGLETRANSLATE(B3237,""en"",""pt-br"")"),"negativo")</f>
        <v>negativo</v>
      </c>
    </row>
    <row r="3238" ht="15.75" customHeight="1">
      <c r="A3238" s="2" t="s">
        <v>3237</v>
      </c>
      <c r="B3238" s="2" t="s">
        <v>3</v>
      </c>
      <c r="C3238" s="1" t="str">
        <f>IFERROR(__xludf.DUMMYFUNCTION("GOOGLETRANSLATE(A3238,""en"",""pt-br"")"),"incitar")</f>
        <v>incitar</v>
      </c>
      <c r="D3238" s="1" t="str">
        <f>IFERROR(__xludf.DUMMYFUNCTION("GOOGLETRANSLATE(B3238,""en"",""pt-br"")"),"negativo")</f>
        <v>negativo</v>
      </c>
    </row>
    <row r="3239" ht="15.75" customHeight="1">
      <c r="A3239" s="2" t="s">
        <v>3238</v>
      </c>
      <c r="B3239" s="2" t="s">
        <v>3</v>
      </c>
      <c r="C3239" s="1" t="str">
        <f>IFERROR(__xludf.DUMMYFUNCTION("GOOGLETRANSLATE(A3239,""en"",""pt-br"")"),"incitamento")</f>
        <v>incitamento</v>
      </c>
      <c r="D3239" s="1" t="str">
        <f>IFERROR(__xludf.DUMMYFUNCTION("GOOGLETRANSLATE(B3239,""en"",""pt-br"")"),"negativo")</f>
        <v>negativo</v>
      </c>
    </row>
    <row r="3240" ht="15.75" customHeight="1">
      <c r="A3240" s="2" t="s">
        <v>3239</v>
      </c>
      <c r="B3240" s="2" t="s">
        <v>3</v>
      </c>
      <c r="C3240" s="1" t="str">
        <f>IFERROR(__xludf.DUMMYFUNCTION("GOOGLETRANSLATE(A3240,""en"",""pt-br"")"),"incivilidade")</f>
        <v>incivilidade</v>
      </c>
      <c r="D3240" s="1" t="str">
        <f>IFERROR(__xludf.DUMMYFUNCTION("GOOGLETRANSLATE(B3240,""en"",""pt-br"")"),"negativo")</f>
        <v>negativo</v>
      </c>
    </row>
    <row r="3241" ht="15.75" customHeight="1">
      <c r="A3241" s="2" t="s">
        <v>3240</v>
      </c>
      <c r="B3241" s="2" t="s">
        <v>3</v>
      </c>
      <c r="C3241" s="1" t="str">
        <f>IFERROR(__xludf.DUMMYFUNCTION("GOOGLETRANSLATE(A3241,""en"",""pt-br"")"),"inclemente")</f>
        <v>inclemente</v>
      </c>
      <c r="D3241" s="1" t="str">
        <f>IFERROR(__xludf.DUMMYFUNCTION("GOOGLETRANSLATE(B3241,""en"",""pt-br"")"),"negativo")</f>
        <v>negativo</v>
      </c>
    </row>
    <row r="3242" ht="15.75" customHeight="1">
      <c r="A3242" s="2" t="s">
        <v>3241</v>
      </c>
      <c r="B3242" s="2" t="s">
        <v>3</v>
      </c>
      <c r="C3242" s="1" t="str">
        <f>IFERROR(__xludf.DUMMYFUNCTION("GOOGLETRANSLATE(A3242,""en"",""pt-br"")"),"desconhecedor")</f>
        <v>desconhecedor</v>
      </c>
      <c r="D3242" s="1" t="str">
        <f>IFERROR(__xludf.DUMMYFUNCTION("GOOGLETRANSLATE(B3242,""en"",""pt-br"")"),"negativo")</f>
        <v>negativo</v>
      </c>
    </row>
    <row r="3243" ht="15.75" customHeight="1">
      <c r="A3243" s="2" t="s">
        <v>3242</v>
      </c>
      <c r="B3243" s="2" t="s">
        <v>3</v>
      </c>
      <c r="C3243" s="1" t="str">
        <f>IFERROR(__xludf.DUMMYFUNCTION("GOOGLETRANSLATE(A3243,""en"",""pt-br"")"),"incoerência")</f>
        <v>incoerência</v>
      </c>
      <c r="D3243" s="1" t="str">
        <f>IFERROR(__xludf.DUMMYFUNCTION("GOOGLETRANSLATE(B3243,""en"",""pt-br"")"),"negativo")</f>
        <v>negativo</v>
      </c>
    </row>
    <row r="3244" ht="15.75" customHeight="1">
      <c r="A3244" s="2" t="s">
        <v>3243</v>
      </c>
      <c r="B3244" s="2" t="s">
        <v>3</v>
      </c>
      <c r="C3244" s="1" t="str">
        <f>IFERROR(__xludf.DUMMYFUNCTION("GOOGLETRANSLATE(A3244,""en"",""pt-br"")"),"incoerente")</f>
        <v>incoerente</v>
      </c>
      <c r="D3244" s="1" t="str">
        <f>IFERROR(__xludf.DUMMYFUNCTION("GOOGLETRANSLATE(B3244,""en"",""pt-br"")"),"negativo")</f>
        <v>negativo</v>
      </c>
    </row>
    <row r="3245" ht="15.75" customHeight="1">
      <c r="A3245" s="2" t="s">
        <v>3244</v>
      </c>
      <c r="B3245" s="2" t="s">
        <v>3</v>
      </c>
      <c r="C3245" s="1" t="str">
        <f>IFERROR(__xludf.DUMMYFUNCTION("GOOGLETRANSLATE(A3245,""en"",""pt-br"")"),"incoerentemente")</f>
        <v>incoerentemente</v>
      </c>
      <c r="D3245" s="1" t="str">
        <f>IFERROR(__xludf.DUMMYFUNCTION("GOOGLETRANSLATE(B3245,""en"",""pt-br"")"),"negativo")</f>
        <v>negativo</v>
      </c>
    </row>
    <row r="3246" ht="15.75" customHeight="1">
      <c r="A3246" s="2" t="s">
        <v>3245</v>
      </c>
      <c r="B3246" s="2" t="s">
        <v>3</v>
      </c>
      <c r="C3246" s="1" t="str">
        <f>IFERROR(__xludf.DUMMYFUNCTION("GOOGLETRANSLATE(A3246,""en"",""pt-br"")"),"incomensurável")</f>
        <v>incomensurável</v>
      </c>
      <c r="D3246" s="1" t="str">
        <f>IFERROR(__xludf.DUMMYFUNCTION("GOOGLETRANSLATE(B3246,""en"",""pt-br"")"),"negativo")</f>
        <v>negativo</v>
      </c>
    </row>
    <row r="3247" ht="15.75" customHeight="1">
      <c r="A3247" s="2" t="s">
        <v>3246</v>
      </c>
      <c r="B3247" s="2" t="s">
        <v>3</v>
      </c>
      <c r="C3247" s="1" t="str">
        <f>IFERROR(__xludf.DUMMYFUNCTION("GOOGLETRANSLATE(A3247,""en"",""pt-br"")"),"incomparável")</f>
        <v>incomparável</v>
      </c>
      <c r="D3247" s="1" t="str">
        <f>IFERROR(__xludf.DUMMYFUNCTION("GOOGLETRANSLATE(B3247,""en"",""pt-br"")"),"negativo")</f>
        <v>negativo</v>
      </c>
    </row>
    <row r="3248" ht="15.75" customHeight="1">
      <c r="A3248" s="2" t="s">
        <v>3247</v>
      </c>
      <c r="B3248" s="2" t="s">
        <v>3</v>
      </c>
      <c r="C3248" s="1" t="str">
        <f>IFERROR(__xludf.DUMMYFUNCTION("GOOGLETRANSLATE(A3248,""en"",""pt-br"")"),"incomparavelmente")</f>
        <v>incomparavelmente</v>
      </c>
      <c r="D3248" s="1" t="str">
        <f>IFERROR(__xludf.DUMMYFUNCTION("GOOGLETRANSLATE(B3248,""en"",""pt-br"")"),"negativo")</f>
        <v>negativo</v>
      </c>
    </row>
    <row r="3249" ht="15.75" customHeight="1">
      <c r="A3249" s="2" t="s">
        <v>3248</v>
      </c>
      <c r="B3249" s="2" t="s">
        <v>3</v>
      </c>
      <c r="C3249" s="1" t="str">
        <f>IFERROR(__xludf.DUMMYFUNCTION("GOOGLETRANSLATE(A3249,""en"",""pt-br"")"),"incompatability")</f>
        <v>incompatability</v>
      </c>
      <c r="D3249" s="1" t="str">
        <f>IFERROR(__xludf.DUMMYFUNCTION("GOOGLETRANSLATE(B3249,""en"",""pt-br"")"),"negativo")</f>
        <v>negativo</v>
      </c>
    </row>
    <row r="3250" ht="15.75" customHeight="1">
      <c r="A3250" s="2" t="s">
        <v>3249</v>
      </c>
      <c r="B3250" s="2" t="s">
        <v>3</v>
      </c>
      <c r="C3250" s="1" t="str">
        <f>IFERROR(__xludf.DUMMYFUNCTION("GOOGLETRANSLATE(A3250,""en"",""pt-br"")"),"incompatibilidade")</f>
        <v>incompatibilidade</v>
      </c>
      <c r="D3250" s="1" t="str">
        <f>IFERROR(__xludf.DUMMYFUNCTION("GOOGLETRANSLATE(B3250,""en"",""pt-br"")"),"negativo")</f>
        <v>negativo</v>
      </c>
    </row>
    <row r="3251" ht="15.75" customHeight="1">
      <c r="A3251" s="2" t="s">
        <v>3250</v>
      </c>
      <c r="B3251" s="2" t="s">
        <v>3</v>
      </c>
      <c r="C3251" s="1" t="str">
        <f>IFERROR(__xludf.DUMMYFUNCTION("GOOGLETRANSLATE(A3251,""en"",""pt-br"")"),"incompatível")</f>
        <v>incompatível</v>
      </c>
      <c r="D3251" s="1" t="str">
        <f>IFERROR(__xludf.DUMMYFUNCTION("GOOGLETRANSLATE(B3251,""en"",""pt-br"")"),"negativo")</f>
        <v>negativo</v>
      </c>
    </row>
    <row r="3252" ht="15.75" customHeight="1">
      <c r="A3252" s="2" t="s">
        <v>3251</v>
      </c>
      <c r="B3252" s="2" t="s">
        <v>3</v>
      </c>
      <c r="C3252" s="1" t="str">
        <f>IFERROR(__xludf.DUMMYFUNCTION("GOOGLETRANSLATE(A3252,""en"",""pt-br"")"),"incompetência")</f>
        <v>incompetência</v>
      </c>
      <c r="D3252" s="1" t="str">
        <f>IFERROR(__xludf.DUMMYFUNCTION("GOOGLETRANSLATE(B3252,""en"",""pt-br"")"),"negativo")</f>
        <v>negativo</v>
      </c>
    </row>
    <row r="3253" ht="15.75" customHeight="1">
      <c r="A3253" s="2" t="s">
        <v>3252</v>
      </c>
      <c r="B3253" s="2" t="s">
        <v>3</v>
      </c>
      <c r="C3253" s="1" t="str">
        <f>IFERROR(__xludf.DUMMYFUNCTION("GOOGLETRANSLATE(A3253,""en"",""pt-br"")"),"incompetente")</f>
        <v>incompetente</v>
      </c>
      <c r="D3253" s="1" t="str">
        <f>IFERROR(__xludf.DUMMYFUNCTION("GOOGLETRANSLATE(B3253,""en"",""pt-br"")"),"negativo")</f>
        <v>negativo</v>
      </c>
    </row>
    <row r="3254" ht="15.75" customHeight="1">
      <c r="A3254" s="2" t="s">
        <v>3253</v>
      </c>
      <c r="B3254" s="2" t="s">
        <v>3</v>
      </c>
      <c r="C3254" s="1" t="str">
        <f>IFERROR(__xludf.DUMMYFUNCTION("GOOGLETRANSLATE(A3254,""en"",""pt-br"")"),"incompetently")</f>
        <v>incompetently</v>
      </c>
      <c r="D3254" s="1" t="str">
        <f>IFERROR(__xludf.DUMMYFUNCTION("GOOGLETRANSLATE(B3254,""en"",""pt-br"")"),"negativo")</f>
        <v>negativo</v>
      </c>
    </row>
    <row r="3255" ht="15.75" customHeight="1">
      <c r="A3255" s="2" t="s">
        <v>3254</v>
      </c>
      <c r="B3255" s="2" t="s">
        <v>3</v>
      </c>
      <c r="C3255" s="1" t="str">
        <f>IFERROR(__xludf.DUMMYFUNCTION("GOOGLETRANSLATE(A3255,""en"",""pt-br"")"),"incompleto")</f>
        <v>incompleto</v>
      </c>
      <c r="D3255" s="1" t="str">
        <f>IFERROR(__xludf.DUMMYFUNCTION("GOOGLETRANSLATE(B3255,""en"",""pt-br"")"),"negativo")</f>
        <v>negativo</v>
      </c>
    </row>
    <row r="3256" ht="15.75" customHeight="1">
      <c r="A3256" s="2" t="s">
        <v>3255</v>
      </c>
      <c r="B3256" s="2" t="s">
        <v>3</v>
      </c>
      <c r="C3256" s="1" t="str">
        <f>IFERROR(__xludf.DUMMYFUNCTION("GOOGLETRANSLATE(A3256,""en"",""pt-br"")"),"incompliant")</f>
        <v>incompliant</v>
      </c>
      <c r="D3256" s="1" t="str">
        <f>IFERROR(__xludf.DUMMYFUNCTION("GOOGLETRANSLATE(B3256,""en"",""pt-br"")"),"negativo")</f>
        <v>negativo</v>
      </c>
    </row>
    <row r="3257" ht="15.75" customHeight="1">
      <c r="A3257" s="2" t="s">
        <v>3256</v>
      </c>
      <c r="B3257" s="2" t="s">
        <v>3</v>
      </c>
      <c r="C3257" s="1" t="str">
        <f>IFERROR(__xludf.DUMMYFUNCTION("GOOGLETRANSLATE(A3257,""en"",""pt-br"")"),"incompreensível")</f>
        <v>incompreensível</v>
      </c>
      <c r="D3257" s="1" t="str">
        <f>IFERROR(__xludf.DUMMYFUNCTION("GOOGLETRANSLATE(B3257,""en"",""pt-br"")"),"negativo")</f>
        <v>negativo</v>
      </c>
    </row>
    <row r="3258" ht="15.75" customHeight="1">
      <c r="A3258" s="2" t="s">
        <v>3257</v>
      </c>
      <c r="B3258" s="2" t="s">
        <v>3</v>
      </c>
      <c r="C3258" s="1" t="str">
        <f>IFERROR(__xludf.DUMMYFUNCTION("GOOGLETRANSLATE(A3258,""en"",""pt-br"")"),"incompreensão")</f>
        <v>incompreensão</v>
      </c>
      <c r="D3258" s="1" t="str">
        <f>IFERROR(__xludf.DUMMYFUNCTION("GOOGLETRANSLATE(B3258,""en"",""pt-br"")"),"negativo")</f>
        <v>negativo</v>
      </c>
    </row>
    <row r="3259" ht="15.75" customHeight="1">
      <c r="A3259" s="2" t="s">
        <v>3258</v>
      </c>
      <c r="B3259" s="2" t="s">
        <v>3</v>
      </c>
      <c r="C3259" s="1" t="str">
        <f>IFERROR(__xludf.DUMMYFUNCTION("GOOGLETRANSLATE(A3259,""en"",""pt-br"")"),"inconcebível")</f>
        <v>inconcebível</v>
      </c>
      <c r="D3259" s="1" t="str">
        <f>IFERROR(__xludf.DUMMYFUNCTION("GOOGLETRANSLATE(B3259,""en"",""pt-br"")"),"negativo")</f>
        <v>negativo</v>
      </c>
    </row>
    <row r="3260" ht="15.75" customHeight="1">
      <c r="A3260" s="2" t="s">
        <v>3259</v>
      </c>
      <c r="B3260" s="2" t="s">
        <v>3</v>
      </c>
      <c r="C3260" s="1" t="str">
        <f>IFERROR(__xludf.DUMMYFUNCTION("GOOGLETRANSLATE(A3260,""en"",""pt-br"")"),"inconcebivelmente")</f>
        <v>inconcebivelmente</v>
      </c>
      <c r="D3260" s="1" t="str">
        <f>IFERROR(__xludf.DUMMYFUNCTION("GOOGLETRANSLATE(B3260,""en"",""pt-br"")"),"negativo")</f>
        <v>negativo</v>
      </c>
    </row>
    <row r="3261" ht="15.75" customHeight="1">
      <c r="A3261" s="2" t="s">
        <v>3260</v>
      </c>
      <c r="B3261" s="2" t="s">
        <v>3</v>
      </c>
      <c r="C3261" s="1" t="str">
        <f>IFERROR(__xludf.DUMMYFUNCTION("GOOGLETRANSLATE(A3261,""en"",""pt-br"")"),"incongruente")</f>
        <v>incongruente</v>
      </c>
      <c r="D3261" s="1" t="str">
        <f>IFERROR(__xludf.DUMMYFUNCTION("GOOGLETRANSLATE(B3261,""en"",""pt-br"")"),"negativo")</f>
        <v>negativo</v>
      </c>
    </row>
    <row r="3262" ht="15.75" customHeight="1">
      <c r="A3262" s="2" t="s">
        <v>3261</v>
      </c>
      <c r="B3262" s="2" t="s">
        <v>3</v>
      </c>
      <c r="C3262" s="1" t="str">
        <f>IFERROR(__xludf.DUMMYFUNCTION("GOOGLETRANSLATE(A3262,""en"",""pt-br"")"),"incongruously")</f>
        <v>incongruously</v>
      </c>
      <c r="D3262" s="1" t="str">
        <f>IFERROR(__xludf.DUMMYFUNCTION("GOOGLETRANSLATE(B3262,""en"",""pt-br"")"),"negativo")</f>
        <v>negativo</v>
      </c>
    </row>
    <row r="3263" ht="15.75" customHeight="1">
      <c r="A3263" s="2" t="s">
        <v>3262</v>
      </c>
      <c r="B3263" s="2" t="s">
        <v>3</v>
      </c>
      <c r="C3263" s="1" t="str">
        <f>IFERROR(__xludf.DUMMYFUNCTION("GOOGLETRANSLATE(A3263,""en"",""pt-br"")"),"inconsequente")</f>
        <v>inconsequente</v>
      </c>
      <c r="D3263" s="1" t="str">
        <f>IFERROR(__xludf.DUMMYFUNCTION("GOOGLETRANSLATE(B3263,""en"",""pt-br"")"),"negativo")</f>
        <v>negativo</v>
      </c>
    </row>
    <row r="3264" ht="15.75" customHeight="1">
      <c r="A3264" s="2" t="s">
        <v>3263</v>
      </c>
      <c r="B3264" s="2" t="s">
        <v>3</v>
      </c>
      <c r="C3264" s="1" t="str">
        <f>IFERROR(__xludf.DUMMYFUNCTION("GOOGLETRANSLATE(A3264,""en"",""pt-br"")"),"sem importância")</f>
        <v>sem importância</v>
      </c>
      <c r="D3264" s="1" t="str">
        <f>IFERROR(__xludf.DUMMYFUNCTION("GOOGLETRANSLATE(B3264,""en"",""pt-br"")"),"negativo")</f>
        <v>negativo</v>
      </c>
    </row>
    <row r="3265" ht="15.75" customHeight="1">
      <c r="A3265" s="2" t="s">
        <v>3264</v>
      </c>
      <c r="B3265" s="2" t="s">
        <v>3</v>
      </c>
      <c r="C3265" s="1" t="str">
        <f>IFERROR(__xludf.DUMMYFUNCTION("GOOGLETRANSLATE(A3265,""en"",""pt-br"")"),"inconseqüentemente")</f>
        <v>inconseqüentemente</v>
      </c>
      <c r="D3265" s="1" t="str">
        <f>IFERROR(__xludf.DUMMYFUNCTION("GOOGLETRANSLATE(B3265,""en"",""pt-br"")"),"negativo")</f>
        <v>negativo</v>
      </c>
    </row>
    <row r="3266" ht="15.75" customHeight="1">
      <c r="A3266" s="2" t="s">
        <v>3265</v>
      </c>
      <c r="B3266" s="2" t="s">
        <v>3</v>
      </c>
      <c r="C3266" s="1" t="str">
        <f>IFERROR(__xludf.DUMMYFUNCTION("GOOGLETRANSLATE(A3266,""en"",""pt-br"")"),"inconseqüente")</f>
        <v>inconseqüente</v>
      </c>
      <c r="D3266" s="1" t="str">
        <f>IFERROR(__xludf.DUMMYFUNCTION("GOOGLETRANSLATE(B3266,""en"",""pt-br"")"),"negativo")</f>
        <v>negativo</v>
      </c>
    </row>
    <row r="3267" ht="15.75" customHeight="1">
      <c r="A3267" s="2" t="s">
        <v>3266</v>
      </c>
      <c r="B3267" s="2" t="s">
        <v>3</v>
      </c>
      <c r="C3267" s="1" t="str">
        <f>IFERROR(__xludf.DUMMYFUNCTION("GOOGLETRANSLATE(A3267,""en"",""pt-br"")"),"inconsiderado")</f>
        <v>inconsiderado</v>
      </c>
      <c r="D3267" s="1" t="str">
        <f>IFERROR(__xludf.DUMMYFUNCTION("GOOGLETRANSLATE(B3267,""en"",""pt-br"")"),"negativo")</f>
        <v>negativo</v>
      </c>
    </row>
    <row r="3268" ht="15.75" customHeight="1">
      <c r="A3268" s="2" t="s">
        <v>3267</v>
      </c>
      <c r="B3268" s="2" t="s">
        <v>3</v>
      </c>
      <c r="C3268" s="1" t="str">
        <f>IFERROR(__xludf.DUMMYFUNCTION("GOOGLETRANSLATE(A3268,""en"",""pt-br"")"),"inconsiderately")</f>
        <v>inconsiderately</v>
      </c>
      <c r="D3268" s="1" t="str">
        <f>IFERROR(__xludf.DUMMYFUNCTION("GOOGLETRANSLATE(B3268,""en"",""pt-br"")"),"negativo")</f>
        <v>negativo</v>
      </c>
    </row>
    <row r="3269" ht="15.75" customHeight="1">
      <c r="A3269" s="2" t="s">
        <v>3268</v>
      </c>
      <c r="B3269" s="2" t="s">
        <v>3</v>
      </c>
      <c r="C3269" s="1" t="str">
        <f>IFERROR(__xludf.DUMMYFUNCTION("GOOGLETRANSLATE(A3269,""en"",""pt-br"")"),"inconsistence")</f>
        <v>inconsistence</v>
      </c>
      <c r="D3269" s="1" t="str">
        <f>IFERROR(__xludf.DUMMYFUNCTION("GOOGLETRANSLATE(B3269,""en"",""pt-br"")"),"negativo")</f>
        <v>negativo</v>
      </c>
    </row>
    <row r="3270" ht="15.75" customHeight="1">
      <c r="A3270" s="2" t="s">
        <v>3269</v>
      </c>
      <c r="B3270" s="2" t="s">
        <v>3</v>
      </c>
      <c r="C3270" s="1" t="str">
        <f>IFERROR(__xludf.DUMMYFUNCTION("GOOGLETRANSLATE(A3270,""en"",""pt-br"")"),"inconsistências")</f>
        <v>inconsistências</v>
      </c>
      <c r="D3270" s="1" t="str">
        <f>IFERROR(__xludf.DUMMYFUNCTION("GOOGLETRANSLATE(B3270,""en"",""pt-br"")"),"negativo")</f>
        <v>negativo</v>
      </c>
    </row>
    <row r="3271" ht="15.75" customHeight="1">
      <c r="A3271" s="2" t="s">
        <v>3270</v>
      </c>
      <c r="B3271" s="2" t="s">
        <v>3</v>
      </c>
      <c r="C3271" s="1" t="str">
        <f>IFERROR(__xludf.DUMMYFUNCTION("GOOGLETRANSLATE(A3271,""en"",""pt-br"")"),"inconsistência")</f>
        <v>inconsistência</v>
      </c>
      <c r="D3271" s="1" t="str">
        <f>IFERROR(__xludf.DUMMYFUNCTION("GOOGLETRANSLATE(B3271,""en"",""pt-br"")"),"negativo")</f>
        <v>negativo</v>
      </c>
    </row>
    <row r="3272" ht="15.75" customHeight="1">
      <c r="A3272" s="2" t="s">
        <v>3271</v>
      </c>
      <c r="B3272" s="2" t="s">
        <v>3</v>
      </c>
      <c r="C3272" s="1" t="str">
        <f>IFERROR(__xludf.DUMMYFUNCTION("GOOGLETRANSLATE(A3272,""en"",""pt-br"")"),"inconsistente")</f>
        <v>inconsistente</v>
      </c>
      <c r="D3272" s="1" t="str">
        <f>IFERROR(__xludf.DUMMYFUNCTION("GOOGLETRANSLATE(B3272,""en"",""pt-br"")"),"negativo")</f>
        <v>negativo</v>
      </c>
    </row>
    <row r="3273" ht="15.75" customHeight="1">
      <c r="A3273" s="2" t="s">
        <v>3272</v>
      </c>
      <c r="B3273" s="2" t="s">
        <v>3</v>
      </c>
      <c r="C3273" s="1" t="str">
        <f>IFERROR(__xludf.DUMMYFUNCTION("GOOGLETRANSLATE(A3273,""en"",""pt-br"")"),"inconsolável")</f>
        <v>inconsolável</v>
      </c>
      <c r="D3273" s="1" t="str">
        <f>IFERROR(__xludf.DUMMYFUNCTION("GOOGLETRANSLATE(B3273,""en"",""pt-br"")"),"negativo")</f>
        <v>negativo</v>
      </c>
    </row>
    <row r="3274" ht="15.75" customHeight="1">
      <c r="A3274" s="2" t="s">
        <v>3273</v>
      </c>
      <c r="B3274" s="2" t="s">
        <v>3</v>
      </c>
      <c r="C3274" s="1" t="str">
        <f>IFERROR(__xludf.DUMMYFUNCTION("GOOGLETRANSLATE(A3274,""en"",""pt-br"")"),"inconsolavelmente")</f>
        <v>inconsolavelmente</v>
      </c>
      <c r="D3274" s="1" t="str">
        <f>IFERROR(__xludf.DUMMYFUNCTION("GOOGLETRANSLATE(B3274,""en"",""pt-br"")"),"negativo")</f>
        <v>negativo</v>
      </c>
    </row>
    <row r="3275" ht="15.75" customHeight="1">
      <c r="A3275" s="2" t="s">
        <v>3274</v>
      </c>
      <c r="B3275" s="2" t="s">
        <v>3</v>
      </c>
      <c r="C3275" s="1" t="str">
        <f>IFERROR(__xludf.DUMMYFUNCTION("GOOGLETRANSLATE(A3275,""en"",""pt-br"")"),"inconstante")</f>
        <v>inconstante</v>
      </c>
      <c r="D3275" s="1" t="str">
        <f>IFERROR(__xludf.DUMMYFUNCTION("GOOGLETRANSLATE(B3275,""en"",""pt-br"")"),"negativo")</f>
        <v>negativo</v>
      </c>
    </row>
    <row r="3276" ht="15.75" customHeight="1">
      <c r="A3276" s="2" t="s">
        <v>3275</v>
      </c>
      <c r="B3276" s="2" t="s">
        <v>3</v>
      </c>
      <c r="C3276" s="1" t="str">
        <f>IFERROR(__xludf.DUMMYFUNCTION("GOOGLETRANSLATE(A3276,""en"",""pt-br"")"),"inconveniência")</f>
        <v>inconveniência</v>
      </c>
      <c r="D3276" s="1" t="str">
        <f>IFERROR(__xludf.DUMMYFUNCTION("GOOGLETRANSLATE(B3276,""en"",""pt-br"")"),"negativo")</f>
        <v>negativo</v>
      </c>
    </row>
    <row r="3277" ht="15.75" customHeight="1">
      <c r="A3277" s="2" t="s">
        <v>3276</v>
      </c>
      <c r="B3277" s="2" t="s">
        <v>3</v>
      </c>
      <c r="C3277" s="1" t="str">
        <f>IFERROR(__xludf.DUMMYFUNCTION("GOOGLETRANSLATE(A3277,""en"",""pt-br"")"),"inconvenientemente")</f>
        <v>inconvenientemente</v>
      </c>
      <c r="D3277" s="1" t="str">
        <f>IFERROR(__xludf.DUMMYFUNCTION("GOOGLETRANSLATE(B3277,""en"",""pt-br"")"),"negativo")</f>
        <v>negativo</v>
      </c>
    </row>
    <row r="3278" ht="15.75" customHeight="1">
      <c r="A3278" s="2" t="s">
        <v>3277</v>
      </c>
      <c r="B3278" s="2" t="s">
        <v>3</v>
      </c>
      <c r="C3278" s="1" t="str">
        <f>IFERROR(__xludf.DUMMYFUNCTION("GOOGLETRANSLATE(A3278,""en"",""pt-br"")"),"incorreta")</f>
        <v>incorreta</v>
      </c>
      <c r="D3278" s="1" t="str">
        <f>IFERROR(__xludf.DUMMYFUNCTION("GOOGLETRANSLATE(B3278,""en"",""pt-br"")"),"negativo")</f>
        <v>negativo</v>
      </c>
    </row>
    <row r="3279" ht="15.75" customHeight="1">
      <c r="A3279" s="2" t="s">
        <v>3278</v>
      </c>
      <c r="B3279" s="2" t="s">
        <v>3</v>
      </c>
      <c r="C3279" s="1" t="str">
        <f>IFERROR(__xludf.DUMMYFUNCTION("GOOGLETRANSLATE(A3279,""en"",""pt-br"")"),"incorretamente")</f>
        <v>incorretamente</v>
      </c>
      <c r="D3279" s="1" t="str">
        <f>IFERROR(__xludf.DUMMYFUNCTION("GOOGLETRANSLATE(B3279,""en"",""pt-br"")"),"negativo")</f>
        <v>negativo</v>
      </c>
    </row>
    <row r="3280" ht="15.75" customHeight="1">
      <c r="A3280" s="2" t="s">
        <v>3279</v>
      </c>
      <c r="B3280" s="2" t="s">
        <v>3</v>
      </c>
      <c r="C3280" s="1" t="str">
        <f>IFERROR(__xludf.DUMMYFUNCTION("GOOGLETRANSLATE(A3280,""en"",""pt-br"")"),"incorrigível")</f>
        <v>incorrigível</v>
      </c>
      <c r="D3280" s="1" t="str">
        <f>IFERROR(__xludf.DUMMYFUNCTION("GOOGLETRANSLATE(B3280,""en"",""pt-br"")"),"negativo")</f>
        <v>negativo</v>
      </c>
    </row>
    <row r="3281" ht="15.75" customHeight="1">
      <c r="A3281" s="2" t="s">
        <v>3280</v>
      </c>
      <c r="B3281" s="2" t="s">
        <v>3</v>
      </c>
      <c r="C3281" s="1" t="str">
        <f>IFERROR(__xludf.DUMMYFUNCTION("GOOGLETRANSLATE(A3281,""en"",""pt-br"")"),"incorrigivelmente")</f>
        <v>incorrigivelmente</v>
      </c>
      <c r="D3281" s="1" t="str">
        <f>IFERROR(__xludf.DUMMYFUNCTION("GOOGLETRANSLATE(B3281,""en"",""pt-br"")"),"negativo")</f>
        <v>negativo</v>
      </c>
    </row>
    <row r="3282" ht="15.75" customHeight="1">
      <c r="A3282" s="2" t="s">
        <v>3281</v>
      </c>
      <c r="B3282" s="2" t="s">
        <v>14</v>
      </c>
      <c r="C3282" s="1" t="str">
        <f>IFERROR(__xludf.DUMMYFUNCTION("GOOGLETRANSLATE(A3282,""en"",""pt-br"")"),"incrível")</f>
        <v>incrível</v>
      </c>
      <c r="D3282" s="1" t="str">
        <f>IFERROR(__xludf.DUMMYFUNCTION("GOOGLETRANSLATE(B3282,""en"",""pt-br"")"),"positivo")</f>
        <v>positivo</v>
      </c>
    </row>
    <row r="3283" ht="15.75" customHeight="1">
      <c r="A3283" s="2" t="s">
        <v>3282</v>
      </c>
      <c r="B3283" s="2" t="s">
        <v>14</v>
      </c>
      <c r="C3283" s="1" t="str">
        <f>IFERROR(__xludf.DUMMYFUNCTION("GOOGLETRANSLATE(A3283,""en"",""pt-br"")"),"incrivelmente")</f>
        <v>incrivelmente</v>
      </c>
      <c r="D3283" s="1" t="str">
        <f>IFERROR(__xludf.DUMMYFUNCTION("GOOGLETRANSLATE(B3283,""en"",""pt-br"")"),"positivo")</f>
        <v>positivo</v>
      </c>
    </row>
    <row r="3284" ht="15.75" customHeight="1">
      <c r="A3284" s="2" t="s">
        <v>3283</v>
      </c>
      <c r="B3284" s="2" t="s">
        <v>3</v>
      </c>
      <c r="C3284" s="1" t="str">
        <f>IFERROR(__xludf.DUMMYFUNCTION("GOOGLETRANSLATE(A3284,""en"",""pt-br"")"),"incrédulo")</f>
        <v>incrédulo</v>
      </c>
      <c r="D3284" s="1" t="str">
        <f>IFERROR(__xludf.DUMMYFUNCTION("GOOGLETRANSLATE(B3284,""en"",""pt-br"")"),"negativo")</f>
        <v>negativo</v>
      </c>
    </row>
    <row r="3285" ht="15.75" customHeight="1">
      <c r="A3285" s="2" t="s">
        <v>3284</v>
      </c>
      <c r="B3285" s="2" t="s">
        <v>3</v>
      </c>
      <c r="C3285" s="1" t="str">
        <f>IFERROR(__xludf.DUMMYFUNCTION("GOOGLETRANSLATE(A3285,""en"",""pt-br"")"),"incrédulamente")</f>
        <v>incrédulamente</v>
      </c>
      <c r="D3285" s="1" t="str">
        <f>IFERROR(__xludf.DUMMYFUNCTION("GOOGLETRANSLATE(B3285,""en"",""pt-br"")"),"negativo")</f>
        <v>negativo</v>
      </c>
    </row>
    <row r="3286" ht="15.75" customHeight="1">
      <c r="A3286" s="2" t="s">
        <v>3285</v>
      </c>
      <c r="B3286" s="2" t="s">
        <v>3</v>
      </c>
      <c r="C3286" s="1" t="str">
        <f>IFERROR(__xludf.DUMMYFUNCTION("GOOGLETRANSLATE(A3286,""en"",""pt-br"")"),"inculcar")</f>
        <v>inculcar</v>
      </c>
      <c r="D3286" s="1" t="str">
        <f>IFERROR(__xludf.DUMMYFUNCTION("GOOGLETRANSLATE(B3286,""en"",""pt-br"")"),"negativo")</f>
        <v>negativo</v>
      </c>
    </row>
    <row r="3287" ht="15.75" customHeight="1">
      <c r="A3287" s="2" t="s">
        <v>3286</v>
      </c>
      <c r="B3287" s="2" t="s">
        <v>14</v>
      </c>
      <c r="C3287" s="1" t="str">
        <f>IFERROR(__xludf.DUMMYFUNCTION("GOOGLETRANSLATE(A3287,""en"",""pt-br"")"),"endividado")</f>
        <v>endividado</v>
      </c>
      <c r="D3287" s="1" t="str">
        <f>IFERROR(__xludf.DUMMYFUNCTION("GOOGLETRANSLATE(B3287,""en"",""pt-br"")"),"positivo")</f>
        <v>positivo</v>
      </c>
    </row>
    <row r="3288" ht="15.75" customHeight="1">
      <c r="A3288" s="2" t="s">
        <v>3287</v>
      </c>
      <c r="B3288" s="2" t="s">
        <v>3</v>
      </c>
      <c r="C3288" s="1" t="str">
        <f>IFERROR(__xludf.DUMMYFUNCTION("GOOGLETRANSLATE(A3288,""en"",""pt-br"")"),"indecência")</f>
        <v>indecência</v>
      </c>
      <c r="D3288" s="1" t="str">
        <f>IFERROR(__xludf.DUMMYFUNCTION("GOOGLETRANSLATE(B3288,""en"",""pt-br"")"),"negativo")</f>
        <v>negativo</v>
      </c>
    </row>
    <row r="3289" ht="15.75" customHeight="1">
      <c r="A3289" s="2" t="s">
        <v>3288</v>
      </c>
      <c r="B3289" s="2" t="s">
        <v>3</v>
      </c>
      <c r="C3289" s="1" t="str">
        <f>IFERROR(__xludf.DUMMYFUNCTION("GOOGLETRANSLATE(A3289,""en"",""pt-br"")"),"indecente")</f>
        <v>indecente</v>
      </c>
      <c r="D3289" s="1" t="str">
        <f>IFERROR(__xludf.DUMMYFUNCTION("GOOGLETRANSLATE(B3289,""en"",""pt-br"")"),"negativo")</f>
        <v>negativo</v>
      </c>
    </row>
    <row r="3290" ht="15.75" customHeight="1">
      <c r="A3290" s="2" t="s">
        <v>3289</v>
      </c>
      <c r="B3290" s="2" t="s">
        <v>3</v>
      </c>
      <c r="C3290" s="1" t="str">
        <f>IFERROR(__xludf.DUMMYFUNCTION("GOOGLETRANSLATE(A3290,""en"",""pt-br"")"),"indecente")</f>
        <v>indecente</v>
      </c>
      <c r="D3290" s="1" t="str">
        <f>IFERROR(__xludf.DUMMYFUNCTION("GOOGLETRANSLATE(B3290,""en"",""pt-br"")"),"negativo")</f>
        <v>negativo</v>
      </c>
    </row>
    <row r="3291" ht="15.75" customHeight="1">
      <c r="A3291" s="2" t="s">
        <v>3290</v>
      </c>
      <c r="B3291" s="2" t="s">
        <v>3</v>
      </c>
      <c r="C3291" s="1" t="str">
        <f>IFERROR(__xludf.DUMMYFUNCTION("GOOGLETRANSLATE(A3291,""en"",""pt-br"")"),"indecisão")</f>
        <v>indecisão</v>
      </c>
      <c r="D3291" s="1" t="str">
        <f>IFERROR(__xludf.DUMMYFUNCTION("GOOGLETRANSLATE(B3291,""en"",""pt-br"")"),"negativo")</f>
        <v>negativo</v>
      </c>
    </row>
    <row r="3292" ht="15.75" customHeight="1">
      <c r="A3292" s="2" t="s">
        <v>3291</v>
      </c>
      <c r="B3292" s="2" t="s">
        <v>3</v>
      </c>
      <c r="C3292" s="1" t="str">
        <f>IFERROR(__xludf.DUMMYFUNCTION("GOOGLETRANSLATE(A3292,""en"",""pt-br"")"),"indeciso")</f>
        <v>indeciso</v>
      </c>
      <c r="D3292" s="1" t="str">
        <f>IFERROR(__xludf.DUMMYFUNCTION("GOOGLETRANSLATE(B3292,""en"",""pt-br"")"),"negativo")</f>
        <v>negativo</v>
      </c>
    </row>
    <row r="3293" ht="15.75" customHeight="1">
      <c r="A3293" s="2" t="s">
        <v>3292</v>
      </c>
      <c r="B3293" s="2" t="s">
        <v>3</v>
      </c>
      <c r="C3293" s="1" t="str">
        <f>IFERROR(__xludf.DUMMYFUNCTION("GOOGLETRANSLATE(A3293,""en"",""pt-br"")"),"indecisa")</f>
        <v>indecisa</v>
      </c>
      <c r="D3293" s="1" t="str">
        <f>IFERROR(__xludf.DUMMYFUNCTION("GOOGLETRANSLATE(B3293,""en"",""pt-br"")"),"negativo")</f>
        <v>negativo</v>
      </c>
    </row>
    <row r="3294" ht="15.75" customHeight="1">
      <c r="A3294" s="2" t="s">
        <v>3293</v>
      </c>
      <c r="B3294" s="2" t="s">
        <v>3</v>
      </c>
      <c r="C3294" s="1" t="str">
        <f>IFERROR(__xludf.DUMMYFUNCTION("GOOGLETRANSLATE(A3294,""en"",""pt-br"")"),"indecência")</f>
        <v>indecência</v>
      </c>
      <c r="D3294" s="1" t="str">
        <f>IFERROR(__xludf.DUMMYFUNCTION("GOOGLETRANSLATE(B3294,""en"",""pt-br"")"),"negativo")</f>
        <v>negativo</v>
      </c>
    </row>
    <row r="3295" ht="15.75" customHeight="1">
      <c r="A3295" s="2" t="s">
        <v>3294</v>
      </c>
      <c r="B3295" s="2" t="s">
        <v>3</v>
      </c>
      <c r="C3295" s="1" t="str">
        <f>IFERROR(__xludf.DUMMYFUNCTION("GOOGLETRANSLATE(A3295,""en"",""pt-br"")"),"indefensável")</f>
        <v>indefensável</v>
      </c>
      <c r="D3295" s="1" t="str">
        <f>IFERROR(__xludf.DUMMYFUNCTION("GOOGLETRANSLATE(B3295,""en"",""pt-br"")"),"negativo")</f>
        <v>negativo</v>
      </c>
    </row>
    <row r="3296" ht="15.75" customHeight="1">
      <c r="A3296" s="2" t="s">
        <v>3295</v>
      </c>
      <c r="B3296" s="2" t="s">
        <v>3</v>
      </c>
      <c r="C3296" s="1" t="str">
        <f>IFERROR(__xludf.DUMMYFUNCTION("GOOGLETRANSLATE(A3296,""en"",""pt-br"")"),"indelicado")</f>
        <v>indelicado</v>
      </c>
      <c r="D3296" s="1" t="str">
        <f>IFERROR(__xludf.DUMMYFUNCTION("GOOGLETRANSLATE(B3296,""en"",""pt-br"")"),"negativo")</f>
        <v>negativo</v>
      </c>
    </row>
    <row r="3297" ht="15.75" customHeight="1">
      <c r="A3297" s="2" t="s">
        <v>3296</v>
      </c>
      <c r="B3297" s="2" t="s">
        <v>3</v>
      </c>
      <c r="C3297" s="1" t="str">
        <f>IFERROR(__xludf.DUMMYFUNCTION("GOOGLETRANSLATE(A3297,""en"",""pt-br"")"),"indeterminável")</f>
        <v>indeterminável</v>
      </c>
      <c r="D3297" s="1" t="str">
        <f>IFERROR(__xludf.DUMMYFUNCTION("GOOGLETRANSLATE(B3297,""en"",""pt-br"")"),"negativo")</f>
        <v>negativo</v>
      </c>
    </row>
    <row r="3298" ht="15.75" customHeight="1">
      <c r="A3298" s="2" t="s">
        <v>3297</v>
      </c>
      <c r="B3298" s="2" t="s">
        <v>3</v>
      </c>
      <c r="C3298" s="1" t="str">
        <f>IFERROR(__xludf.DUMMYFUNCTION("GOOGLETRANSLATE(A3298,""en"",""pt-br"")"),"indeterminably")</f>
        <v>indeterminably</v>
      </c>
      <c r="D3298" s="1" t="str">
        <f>IFERROR(__xludf.DUMMYFUNCTION("GOOGLETRANSLATE(B3298,""en"",""pt-br"")"),"negativo")</f>
        <v>negativo</v>
      </c>
    </row>
    <row r="3299" ht="15.75" customHeight="1">
      <c r="A3299" s="2" t="s">
        <v>3298</v>
      </c>
      <c r="B3299" s="2" t="s">
        <v>3</v>
      </c>
      <c r="C3299" s="1" t="str">
        <f>IFERROR(__xludf.DUMMYFUNCTION("GOOGLETRANSLATE(A3299,""en"",""pt-br"")"),"indeterminado")</f>
        <v>indeterminado</v>
      </c>
      <c r="D3299" s="1" t="str">
        <f>IFERROR(__xludf.DUMMYFUNCTION("GOOGLETRANSLATE(B3299,""en"",""pt-br"")"),"negativo")</f>
        <v>negativo</v>
      </c>
    </row>
    <row r="3300" ht="15.75" customHeight="1">
      <c r="A3300" s="2" t="s">
        <v>3299</v>
      </c>
      <c r="B3300" s="2" t="s">
        <v>3</v>
      </c>
      <c r="C3300" s="1" t="str">
        <f>IFERROR(__xludf.DUMMYFUNCTION("GOOGLETRANSLATE(A3300,""en"",""pt-br"")"),"indiferença")</f>
        <v>indiferença</v>
      </c>
      <c r="D3300" s="1" t="str">
        <f>IFERROR(__xludf.DUMMYFUNCTION("GOOGLETRANSLATE(B3300,""en"",""pt-br"")"),"negativo")</f>
        <v>negativo</v>
      </c>
    </row>
    <row r="3301" ht="15.75" customHeight="1">
      <c r="A3301" s="2" t="s">
        <v>3300</v>
      </c>
      <c r="B3301" s="2" t="s">
        <v>3</v>
      </c>
      <c r="C3301" s="1" t="str">
        <f>IFERROR(__xludf.DUMMYFUNCTION("GOOGLETRANSLATE(A3301,""en"",""pt-br"")"),"indiferente")</f>
        <v>indiferente</v>
      </c>
      <c r="D3301" s="1" t="str">
        <f>IFERROR(__xludf.DUMMYFUNCTION("GOOGLETRANSLATE(B3301,""en"",""pt-br"")"),"negativo")</f>
        <v>negativo</v>
      </c>
    </row>
    <row r="3302" ht="15.75" customHeight="1">
      <c r="A3302" s="2" t="s">
        <v>3301</v>
      </c>
      <c r="B3302" s="2" t="s">
        <v>3</v>
      </c>
      <c r="C3302" s="1" t="str">
        <f>IFERROR(__xludf.DUMMYFUNCTION("GOOGLETRANSLATE(A3302,""en"",""pt-br"")"),"indigente")</f>
        <v>indigente</v>
      </c>
      <c r="D3302" s="1" t="str">
        <f>IFERROR(__xludf.DUMMYFUNCTION("GOOGLETRANSLATE(B3302,""en"",""pt-br"")"),"negativo")</f>
        <v>negativo</v>
      </c>
    </row>
    <row r="3303" ht="15.75" customHeight="1">
      <c r="A3303" s="2" t="s">
        <v>3302</v>
      </c>
      <c r="B3303" s="2" t="s">
        <v>3</v>
      </c>
      <c r="C3303" s="1" t="str">
        <f>IFERROR(__xludf.DUMMYFUNCTION("GOOGLETRANSLATE(A3303,""en"",""pt-br"")"),"indignado")</f>
        <v>indignado</v>
      </c>
      <c r="D3303" s="1" t="str">
        <f>IFERROR(__xludf.DUMMYFUNCTION("GOOGLETRANSLATE(B3303,""en"",""pt-br"")"),"negativo")</f>
        <v>negativo</v>
      </c>
    </row>
    <row r="3304" ht="15.75" customHeight="1">
      <c r="A3304" s="2" t="s">
        <v>3303</v>
      </c>
      <c r="B3304" s="2" t="s">
        <v>3</v>
      </c>
      <c r="C3304" s="1" t="str">
        <f>IFERROR(__xludf.DUMMYFUNCTION("GOOGLETRANSLATE(A3304,""en"",""pt-br"")"),"indignadamente")</f>
        <v>indignadamente</v>
      </c>
      <c r="D3304" s="1" t="str">
        <f>IFERROR(__xludf.DUMMYFUNCTION("GOOGLETRANSLATE(B3304,""en"",""pt-br"")"),"negativo")</f>
        <v>negativo</v>
      </c>
    </row>
    <row r="3305" ht="15.75" customHeight="1">
      <c r="A3305" s="2" t="s">
        <v>3304</v>
      </c>
      <c r="B3305" s="2" t="s">
        <v>3</v>
      </c>
      <c r="C3305" s="1" t="str">
        <f>IFERROR(__xludf.DUMMYFUNCTION("GOOGLETRANSLATE(A3305,""en"",""pt-br"")"),"indignação")</f>
        <v>indignação</v>
      </c>
      <c r="D3305" s="1" t="str">
        <f>IFERROR(__xludf.DUMMYFUNCTION("GOOGLETRANSLATE(B3305,""en"",""pt-br"")"),"negativo")</f>
        <v>negativo</v>
      </c>
    </row>
    <row r="3306" ht="15.75" customHeight="1">
      <c r="A3306" s="2" t="s">
        <v>3305</v>
      </c>
      <c r="B3306" s="2" t="s">
        <v>3</v>
      </c>
      <c r="C3306" s="1" t="str">
        <f>IFERROR(__xludf.DUMMYFUNCTION("GOOGLETRANSLATE(A3306,""en"",""pt-br"")"),"indignidade")</f>
        <v>indignidade</v>
      </c>
      <c r="D3306" s="1" t="str">
        <f>IFERROR(__xludf.DUMMYFUNCTION("GOOGLETRANSLATE(B3306,""en"",""pt-br"")"),"negativo")</f>
        <v>negativo</v>
      </c>
    </row>
    <row r="3307" ht="15.75" customHeight="1">
      <c r="A3307" s="2" t="s">
        <v>3306</v>
      </c>
      <c r="B3307" s="2" t="s">
        <v>3</v>
      </c>
      <c r="C3307" s="1" t="str">
        <f>IFERROR(__xludf.DUMMYFUNCTION("GOOGLETRANSLATE(A3307,""en"",""pt-br"")"),"indiscernível")</f>
        <v>indiscernível</v>
      </c>
      <c r="D3307" s="1" t="str">
        <f>IFERROR(__xludf.DUMMYFUNCTION("GOOGLETRANSLATE(B3307,""en"",""pt-br"")"),"negativo")</f>
        <v>negativo</v>
      </c>
    </row>
    <row r="3308" ht="15.75" customHeight="1">
      <c r="A3308" s="2" t="s">
        <v>3307</v>
      </c>
      <c r="B3308" s="2" t="s">
        <v>3</v>
      </c>
      <c r="C3308" s="1" t="str">
        <f>IFERROR(__xludf.DUMMYFUNCTION("GOOGLETRANSLATE(A3308,""en"",""pt-br"")"),"indiscreto")</f>
        <v>indiscreto</v>
      </c>
      <c r="D3308" s="1" t="str">
        <f>IFERROR(__xludf.DUMMYFUNCTION("GOOGLETRANSLATE(B3308,""en"",""pt-br"")"),"negativo")</f>
        <v>negativo</v>
      </c>
    </row>
    <row r="3309" ht="15.75" customHeight="1">
      <c r="A3309" s="2" t="s">
        <v>3308</v>
      </c>
      <c r="B3309" s="2" t="s">
        <v>3</v>
      </c>
      <c r="C3309" s="1" t="str">
        <f>IFERROR(__xludf.DUMMYFUNCTION("GOOGLETRANSLATE(A3309,""en"",""pt-br"")"),"indiscreetly")</f>
        <v>indiscreetly</v>
      </c>
      <c r="D3309" s="1" t="str">
        <f>IFERROR(__xludf.DUMMYFUNCTION("GOOGLETRANSLATE(B3309,""en"",""pt-br"")"),"negativo")</f>
        <v>negativo</v>
      </c>
    </row>
    <row r="3310" ht="15.75" customHeight="1">
      <c r="A3310" s="2" t="s">
        <v>3309</v>
      </c>
      <c r="B3310" s="2" t="s">
        <v>3</v>
      </c>
      <c r="C3310" s="1" t="str">
        <f>IFERROR(__xludf.DUMMYFUNCTION("GOOGLETRANSLATE(A3310,""en"",""pt-br"")"),"indiscrição")</f>
        <v>indiscrição</v>
      </c>
      <c r="D3310" s="1" t="str">
        <f>IFERROR(__xludf.DUMMYFUNCTION("GOOGLETRANSLATE(B3310,""en"",""pt-br"")"),"negativo")</f>
        <v>negativo</v>
      </c>
    </row>
    <row r="3311" ht="15.75" customHeight="1">
      <c r="A3311" s="2" t="s">
        <v>3310</v>
      </c>
      <c r="B3311" s="2" t="s">
        <v>3</v>
      </c>
      <c r="C3311" s="1" t="str">
        <f>IFERROR(__xludf.DUMMYFUNCTION("GOOGLETRANSLATE(A3311,""en"",""pt-br"")"),"indiscriminado")</f>
        <v>indiscriminado</v>
      </c>
      <c r="D3311" s="1" t="str">
        <f>IFERROR(__xludf.DUMMYFUNCTION("GOOGLETRANSLATE(B3311,""en"",""pt-br"")"),"negativo")</f>
        <v>negativo</v>
      </c>
    </row>
    <row r="3312" ht="15.75" customHeight="1">
      <c r="A3312" s="2" t="s">
        <v>3311</v>
      </c>
      <c r="B3312" s="2" t="s">
        <v>3</v>
      </c>
      <c r="C3312" s="1" t="str">
        <f>IFERROR(__xludf.DUMMYFUNCTION("GOOGLETRANSLATE(A3312,""en"",""pt-br"")"),"indiscriminadamente")</f>
        <v>indiscriminadamente</v>
      </c>
      <c r="D3312" s="1" t="str">
        <f>IFERROR(__xludf.DUMMYFUNCTION("GOOGLETRANSLATE(B3312,""en"",""pt-br"")"),"negativo")</f>
        <v>negativo</v>
      </c>
    </row>
    <row r="3313" ht="15.75" customHeight="1">
      <c r="A3313" s="2" t="s">
        <v>3312</v>
      </c>
      <c r="B3313" s="2" t="s">
        <v>3</v>
      </c>
      <c r="C3313" s="1" t="str">
        <f>IFERROR(__xludf.DUMMYFUNCTION("GOOGLETRANSLATE(A3313,""en"",""pt-br"")"),"indiscriminating")</f>
        <v>indiscriminating</v>
      </c>
      <c r="D3313" s="1" t="str">
        <f>IFERROR(__xludf.DUMMYFUNCTION("GOOGLETRANSLATE(B3313,""en"",""pt-br"")"),"negativo")</f>
        <v>negativo</v>
      </c>
    </row>
    <row r="3314" ht="15.75" customHeight="1">
      <c r="A3314" s="2" t="s">
        <v>3313</v>
      </c>
      <c r="B3314" s="2" t="s">
        <v>3</v>
      </c>
      <c r="C3314" s="1" t="str">
        <f>IFERROR(__xludf.DUMMYFUNCTION("GOOGLETRANSLATE(A3314,""en"",""pt-br"")"),"indistinguível")</f>
        <v>indistinguível</v>
      </c>
      <c r="D3314" s="1" t="str">
        <f>IFERROR(__xludf.DUMMYFUNCTION("GOOGLETRANSLATE(B3314,""en"",""pt-br"")"),"negativo")</f>
        <v>negativo</v>
      </c>
    </row>
    <row r="3315" ht="15.75" customHeight="1">
      <c r="A3315" s="2" t="s">
        <v>3314</v>
      </c>
      <c r="B3315" s="2" t="s">
        <v>14</v>
      </c>
      <c r="C3315" s="1" t="str">
        <f>IFERROR(__xludf.DUMMYFUNCTION("GOOGLETRANSLATE(A3315,""en"",""pt-br"")"),"individualizado")</f>
        <v>individualizado</v>
      </c>
      <c r="D3315" s="1" t="str">
        <f>IFERROR(__xludf.DUMMYFUNCTION("GOOGLETRANSLATE(B3315,""en"",""pt-br"")"),"positivo")</f>
        <v>positivo</v>
      </c>
    </row>
    <row r="3316" ht="15.75" customHeight="1">
      <c r="A3316" s="2" t="s">
        <v>3315</v>
      </c>
      <c r="B3316" s="2" t="s">
        <v>3</v>
      </c>
      <c r="C3316" s="1" t="str">
        <f>IFERROR(__xludf.DUMMYFUNCTION("GOOGLETRANSLATE(A3316,""en"",""pt-br"")"),"doutrinar")</f>
        <v>doutrinar</v>
      </c>
      <c r="D3316" s="1" t="str">
        <f>IFERROR(__xludf.DUMMYFUNCTION("GOOGLETRANSLATE(B3316,""en"",""pt-br"")"),"negativo")</f>
        <v>negativo</v>
      </c>
    </row>
    <row r="3317" ht="15.75" customHeight="1">
      <c r="A3317" s="2" t="s">
        <v>3316</v>
      </c>
      <c r="B3317" s="2" t="s">
        <v>3</v>
      </c>
      <c r="C3317" s="1" t="str">
        <f>IFERROR(__xludf.DUMMYFUNCTION("GOOGLETRANSLATE(A3317,""en"",""pt-br"")"),"doutrinação")</f>
        <v>doutrinação</v>
      </c>
      <c r="D3317" s="1" t="str">
        <f>IFERROR(__xludf.DUMMYFUNCTION("GOOGLETRANSLATE(B3317,""en"",""pt-br"")"),"negativo")</f>
        <v>negativo</v>
      </c>
    </row>
    <row r="3318" ht="15.75" customHeight="1">
      <c r="A3318" s="2" t="s">
        <v>3317</v>
      </c>
      <c r="B3318" s="2" t="s">
        <v>3</v>
      </c>
      <c r="C3318" s="1" t="str">
        <f>IFERROR(__xludf.DUMMYFUNCTION("GOOGLETRANSLATE(A3318,""en"",""pt-br"")"),"indolente")</f>
        <v>indolente</v>
      </c>
      <c r="D3318" s="1" t="str">
        <f>IFERROR(__xludf.DUMMYFUNCTION("GOOGLETRANSLATE(B3318,""en"",""pt-br"")"),"negativo")</f>
        <v>negativo</v>
      </c>
    </row>
    <row r="3319" ht="15.75" customHeight="1">
      <c r="A3319" s="2" t="s">
        <v>3318</v>
      </c>
      <c r="B3319" s="2" t="s">
        <v>3</v>
      </c>
      <c r="C3319" s="1" t="str">
        <f>IFERROR(__xludf.DUMMYFUNCTION("GOOGLETRANSLATE(A3319,""en"",""pt-br"")"),"saciar")</f>
        <v>saciar</v>
      </c>
      <c r="D3319" s="1" t="str">
        <f>IFERROR(__xludf.DUMMYFUNCTION("GOOGLETRANSLATE(B3319,""en"",""pt-br"")"),"negativo")</f>
        <v>negativo</v>
      </c>
    </row>
    <row r="3320" ht="15.75" customHeight="1">
      <c r="A3320" s="2" t="s">
        <v>3319</v>
      </c>
      <c r="B3320" s="2" t="s">
        <v>14</v>
      </c>
      <c r="C3320" s="1" t="str">
        <f>IFERROR(__xludf.DUMMYFUNCTION("GOOGLETRANSLATE(A3320,""en"",""pt-br"")"),"indulgência")</f>
        <v>indulgência</v>
      </c>
      <c r="D3320" s="1" t="str">
        <f>IFERROR(__xludf.DUMMYFUNCTION("GOOGLETRANSLATE(B3320,""en"",""pt-br"")"),"positivo")</f>
        <v>positivo</v>
      </c>
    </row>
    <row r="3321" ht="15.75" customHeight="1">
      <c r="A3321" s="2" t="s">
        <v>3320</v>
      </c>
      <c r="B3321" s="2" t="s">
        <v>14</v>
      </c>
      <c r="C3321" s="1" t="str">
        <f>IFERROR(__xludf.DUMMYFUNCTION("GOOGLETRANSLATE(A3321,""en"",""pt-br"")"),"indulgente")</f>
        <v>indulgente</v>
      </c>
      <c r="D3321" s="1" t="str">
        <f>IFERROR(__xludf.DUMMYFUNCTION("GOOGLETRANSLATE(B3321,""en"",""pt-br"")"),"positivo")</f>
        <v>positivo</v>
      </c>
    </row>
    <row r="3322" ht="15.75" customHeight="1">
      <c r="A3322" s="2" t="s">
        <v>3321</v>
      </c>
      <c r="B3322" s="2" t="s">
        <v>14</v>
      </c>
      <c r="C3322" s="1" t="str">
        <f>IFERROR(__xludf.DUMMYFUNCTION("GOOGLETRANSLATE(A3322,""en"",""pt-br"")"),"industrioso")</f>
        <v>industrioso</v>
      </c>
      <c r="D3322" s="1" t="str">
        <f>IFERROR(__xludf.DUMMYFUNCTION("GOOGLETRANSLATE(B3322,""en"",""pt-br"")"),"positivo")</f>
        <v>positivo</v>
      </c>
    </row>
    <row r="3323" ht="15.75" customHeight="1">
      <c r="A3323" s="2" t="s">
        <v>3322</v>
      </c>
      <c r="B3323" s="2" t="s">
        <v>3</v>
      </c>
      <c r="C3323" s="1" t="str">
        <f>IFERROR(__xludf.DUMMYFUNCTION("GOOGLETRANSLATE(A3323,""en"",""pt-br"")"),"ineficaz")</f>
        <v>ineficaz</v>
      </c>
      <c r="D3323" s="1" t="str">
        <f>IFERROR(__xludf.DUMMYFUNCTION("GOOGLETRANSLATE(B3323,""en"",""pt-br"")"),"negativo")</f>
        <v>negativo</v>
      </c>
    </row>
    <row r="3324" ht="15.75" customHeight="1">
      <c r="A3324" s="2" t="s">
        <v>3323</v>
      </c>
      <c r="B3324" s="2" t="s">
        <v>3</v>
      </c>
      <c r="C3324" s="1" t="str">
        <f>IFERROR(__xludf.DUMMYFUNCTION("GOOGLETRANSLATE(A3324,""en"",""pt-br"")"),"ineficaz")</f>
        <v>ineficaz</v>
      </c>
      <c r="D3324" s="1" t="str">
        <f>IFERROR(__xludf.DUMMYFUNCTION("GOOGLETRANSLATE(B3324,""en"",""pt-br"")"),"negativo")</f>
        <v>negativo</v>
      </c>
    </row>
    <row r="3325" ht="15.75" customHeight="1">
      <c r="A3325" s="2" t="s">
        <v>3324</v>
      </c>
      <c r="B3325" s="2" t="s">
        <v>3</v>
      </c>
      <c r="C3325" s="1" t="str">
        <f>IFERROR(__xludf.DUMMYFUNCTION("GOOGLETRANSLATE(A3325,""en"",""pt-br"")"),"ineficácia")</f>
        <v>ineficácia</v>
      </c>
      <c r="D3325" s="1" t="str">
        <f>IFERROR(__xludf.DUMMYFUNCTION("GOOGLETRANSLATE(B3325,""en"",""pt-br"")"),"negativo")</f>
        <v>negativo</v>
      </c>
    </row>
    <row r="3326" ht="15.75" customHeight="1">
      <c r="A3326" s="2" t="s">
        <v>3325</v>
      </c>
      <c r="B3326" s="2" t="s">
        <v>3</v>
      </c>
      <c r="C3326" s="1" t="str">
        <f>IFERROR(__xludf.DUMMYFUNCTION("GOOGLETRANSLATE(A3326,""en"",""pt-br"")"),"ineficaz")</f>
        <v>ineficaz</v>
      </c>
      <c r="D3326" s="1" t="str">
        <f>IFERROR(__xludf.DUMMYFUNCTION("GOOGLETRANSLATE(B3326,""en"",""pt-br"")"),"negativo")</f>
        <v>negativo</v>
      </c>
    </row>
    <row r="3327" ht="15.75" customHeight="1">
      <c r="A3327" s="2" t="s">
        <v>3326</v>
      </c>
      <c r="B3327" s="2" t="s">
        <v>3</v>
      </c>
      <c r="C3327" s="1" t="str">
        <f>IFERROR(__xludf.DUMMYFUNCTION("GOOGLETRANSLATE(A3327,""en"",""pt-br"")"),"ineficazmente")</f>
        <v>ineficazmente</v>
      </c>
      <c r="D3327" s="1" t="str">
        <f>IFERROR(__xludf.DUMMYFUNCTION("GOOGLETRANSLATE(B3327,""en"",""pt-br"")"),"negativo")</f>
        <v>negativo</v>
      </c>
    </row>
    <row r="3328" ht="15.75" customHeight="1">
      <c r="A3328" s="2" t="s">
        <v>3327</v>
      </c>
      <c r="B3328" s="2" t="s">
        <v>3</v>
      </c>
      <c r="C3328" s="1" t="str">
        <f>IFERROR(__xludf.DUMMYFUNCTION("GOOGLETRANSLATE(A3328,""en"",""pt-br"")"),"ineficácia")</f>
        <v>ineficácia</v>
      </c>
      <c r="D3328" s="1" t="str">
        <f>IFERROR(__xludf.DUMMYFUNCTION("GOOGLETRANSLATE(B3328,""en"",""pt-br"")"),"negativo")</f>
        <v>negativo</v>
      </c>
    </row>
    <row r="3329" ht="15.75" customHeight="1">
      <c r="A3329" s="2" t="s">
        <v>3328</v>
      </c>
      <c r="B3329" s="2" t="s">
        <v>3</v>
      </c>
      <c r="C3329" s="1" t="str">
        <f>IFERROR(__xludf.DUMMYFUNCTION("GOOGLETRANSLATE(A3329,""en"",""pt-br"")"),"ineficaz")</f>
        <v>ineficaz</v>
      </c>
      <c r="D3329" s="1" t="str">
        <f>IFERROR(__xludf.DUMMYFUNCTION("GOOGLETRANSLATE(B3329,""en"",""pt-br"")"),"negativo")</f>
        <v>negativo</v>
      </c>
    </row>
    <row r="3330" ht="15.75" customHeight="1">
      <c r="A3330" s="2" t="s">
        <v>3329</v>
      </c>
      <c r="B3330" s="2" t="s">
        <v>3</v>
      </c>
      <c r="C3330" s="1" t="str">
        <f>IFERROR(__xludf.DUMMYFUNCTION("GOOGLETRANSLATE(A3330,""en"",""pt-br"")"),"ineficácia")</f>
        <v>ineficácia</v>
      </c>
      <c r="D3330" s="1" t="str">
        <f>IFERROR(__xludf.DUMMYFUNCTION("GOOGLETRANSLATE(B3330,""en"",""pt-br"")"),"negativo")</f>
        <v>negativo</v>
      </c>
    </row>
    <row r="3331" ht="15.75" customHeight="1">
      <c r="A3331" s="2" t="s">
        <v>3330</v>
      </c>
      <c r="B3331" s="2" t="s">
        <v>3</v>
      </c>
      <c r="C3331" s="1" t="str">
        <f>IFERROR(__xludf.DUMMYFUNCTION("GOOGLETRANSLATE(A3331,""en"",""pt-br"")"),"ineficiência")</f>
        <v>ineficiência</v>
      </c>
      <c r="D3331" s="1" t="str">
        <f>IFERROR(__xludf.DUMMYFUNCTION("GOOGLETRANSLATE(B3331,""en"",""pt-br"")"),"negativo")</f>
        <v>negativo</v>
      </c>
    </row>
    <row r="3332" ht="15.75" customHeight="1">
      <c r="A3332" s="2" t="s">
        <v>3331</v>
      </c>
      <c r="B3332" s="2" t="s">
        <v>3</v>
      </c>
      <c r="C3332" s="1" t="str">
        <f>IFERROR(__xludf.DUMMYFUNCTION("GOOGLETRANSLATE(A3332,""en"",""pt-br"")"),"ineficiente")</f>
        <v>ineficiente</v>
      </c>
      <c r="D3332" s="1" t="str">
        <f>IFERROR(__xludf.DUMMYFUNCTION("GOOGLETRANSLATE(B3332,""en"",""pt-br"")"),"negativo")</f>
        <v>negativo</v>
      </c>
    </row>
    <row r="3333" ht="15.75" customHeight="1">
      <c r="A3333" s="2" t="s">
        <v>3332</v>
      </c>
      <c r="B3333" s="2" t="s">
        <v>3</v>
      </c>
      <c r="C3333" s="1" t="str">
        <f>IFERROR(__xludf.DUMMYFUNCTION("GOOGLETRANSLATE(A3333,""en"",""pt-br"")"),"ineficientemente")</f>
        <v>ineficientemente</v>
      </c>
      <c r="D3333" s="1" t="str">
        <f>IFERROR(__xludf.DUMMYFUNCTION("GOOGLETRANSLATE(B3333,""en"",""pt-br"")"),"negativo")</f>
        <v>negativo</v>
      </c>
    </row>
    <row r="3334" ht="15.75" customHeight="1">
      <c r="A3334" s="2" t="s">
        <v>3333</v>
      </c>
      <c r="B3334" s="2" t="s">
        <v>3</v>
      </c>
      <c r="C3334" s="1" t="str">
        <f>IFERROR(__xludf.DUMMYFUNCTION("GOOGLETRANSLATE(A3334,""en"",""pt-br"")"),"deselegância")</f>
        <v>deselegância</v>
      </c>
      <c r="D3334" s="1" t="str">
        <f>IFERROR(__xludf.DUMMYFUNCTION("GOOGLETRANSLATE(B3334,""en"",""pt-br"")"),"negativo")</f>
        <v>negativo</v>
      </c>
    </row>
    <row r="3335" ht="15.75" customHeight="1">
      <c r="A3335" s="2" t="s">
        <v>3334</v>
      </c>
      <c r="B3335" s="2" t="s">
        <v>3</v>
      </c>
      <c r="C3335" s="1" t="str">
        <f>IFERROR(__xludf.DUMMYFUNCTION("GOOGLETRANSLATE(A3335,""en"",""pt-br"")"),"deselegante")</f>
        <v>deselegante</v>
      </c>
      <c r="D3335" s="1" t="str">
        <f>IFERROR(__xludf.DUMMYFUNCTION("GOOGLETRANSLATE(B3335,""en"",""pt-br"")"),"negativo")</f>
        <v>negativo</v>
      </c>
    </row>
    <row r="3336" ht="15.75" customHeight="1">
      <c r="A3336" s="2" t="s">
        <v>3335</v>
      </c>
      <c r="B3336" s="2" t="s">
        <v>3</v>
      </c>
      <c r="C3336" s="1" t="str">
        <f>IFERROR(__xludf.DUMMYFUNCTION("GOOGLETRANSLATE(A3336,""en"",""pt-br"")"),"inelegível")</f>
        <v>inelegível</v>
      </c>
      <c r="D3336" s="1" t="str">
        <f>IFERROR(__xludf.DUMMYFUNCTION("GOOGLETRANSLATE(B3336,""en"",""pt-br"")"),"negativo")</f>
        <v>negativo</v>
      </c>
    </row>
    <row r="3337" ht="15.75" customHeight="1">
      <c r="A3337" s="2" t="s">
        <v>3336</v>
      </c>
      <c r="B3337" s="2" t="s">
        <v>3</v>
      </c>
      <c r="C3337" s="1" t="str">
        <f>IFERROR(__xludf.DUMMYFUNCTION("GOOGLETRANSLATE(A3337,""en"",""pt-br"")"),"ineloquent")</f>
        <v>ineloquent</v>
      </c>
      <c r="D3337" s="1" t="str">
        <f>IFERROR(__xludf.DUMMYFUNCTION("GOOGLETRANSLATE(B3337,""en"",""pt-br"")"),"negativo")</f>
        <v>negativo</v>
      </c>
    </row>
    <row r="3338" ht="15.75" customHeight="1">
      <c r="A3338" s="2" t="s">
        <v>3337</v>
      </c>
      <c r="B3338" s="2" t="s">
        <v>3</v>
      </c>
      <c r="C3338" s="1" t="str">
        <f>IFERROR(__xludf.DUMMYFUNCTION("GOOGLETRANSLATE(A3338,""en"",""pt-br"")"),"ineloquently")</f>
        <v>ineloquently</v>
      </c>
      <c r="D3338" s="1" t="str">
        <f>IFERROR(__xludf.DUMMYFUNCTION("GOOGLETRANSLATE(B3338,""en"",""pt-br"")"),"negativo")</f>
        <v>negativo</v>
      </c>
    </row>
    <row r="3339" ht="15.75" customHeight="1">
      <c r="A3339" s="2" t="s">
        <v>3338</v>
      </c>
      <c r="B3339" s="2" t="s">
        <v>3</v>
      </c>
      <c r="C3339" s="1" t="str">
        <f>IFERROR(__xludf.DUMMYFUNCTION("GOOGLETRANSLATE(A3339,""en"",""pt-br"")"),"inepto")</f>
        <v>inepto</v>
      </c>
      <c r="D3339" s="1" t="str">
        <f>IFERROR(__xludf.DUMMYFUNCTION("GOOGLETRANSLATE(B3339,""en"",""pt-br"")"),"negativo")</f>
        <v>negativo</v>
      </c>
    </row>
    <row r="3340" ht="15.75" customHeight="1">
      <c r="A3340" s="2" t="s">
        <v>3339</v>
      </c>
      <c r="B3340" s="2" t="s">
        <v>3</v>
      </c>
      <c r="C3340" s="1" t="str">
        <f>IFERROR(__xludf.DUMMYFUNCTION("GOOGLETRANSLATE(A3340,""en"",""pt-br"")"),"ineptidão")</f>
        <v>ineptidão</v>
      </c>
      <c r="D3340" s="1" t="str">
        <f>IFERROR(__xludf.DUMMYFUNCTION("GOOGLETRANSLATE(B3340,""en"",""pt-br"")"),"negativo")</f>
        <v>negativo</v>
      </c>
    </row>
    <row r="3341" ht="15.75" customHeight="1">
      <c r="A3341" s="2" t="s">
        <v>3340</v>
      </c>
      <c r="B3341" s="2" t="s">
        <v>3</v>
      </c>
      <c r="C3341" s="1" t="str">
        <f>IFERROR(__xludf.DUMMYFUNCTION("GOOGLETRANSLATE(A3341,""en"",""pt-br"")"),"ineptly")</f>
        <v>ineptly</v>
      </c>
      <c r="D3341" s="1" t="str">
        <f>IFERROR(__xludf.DUMMYFUNCTION("GOOGLETRANSLATE(B3341,""en"",""pt-br"")"),"negativo")</f>
        <v>negativo</v>
      </c>
    </row>
    <row r="3342" ht="15.75" customHeight="1">
      <c r="A3342" s="2" t="s">
        <v>3341</v>
      </c>
      <c r="B3342" s="2" t="s">
        <v>3</v>
      </c>
      <c r="C3342" s="1" t="str">
        <f>IFERROR(__xludf.DUMMYFUNCTION("GOOGLETRANSLATE(A3342,""en"",""pt-br"")"),"desigualdades")</f>
        <v>desigualdades</v>
      </c>
      <c r="D3342" s="1" t="str">
        <f>IFERROR(__xludf.DUMMYFUNCTION("GOOGLETRANSLATE(B3342,""en"",""pt-br"")"),"negativo")</f>
        <v>negativo</v>
      </c>
    </row>
    <row r="3343" ht="15.75" customHeight="1">
      <c r="A3343" s="2" t="s">
        <v>3342</v>
      </c>
      <c r="B3343" s="2" t="s">
        <v>3</v>
      </c>
      <c r="C3343" s="1" t="str">
        <f>IFERROR(__xludf.DUMMYFUNCTION("GOOGLETRANSLATE(A3343,""en"",""pt-br"")"),"desigualdade")</f>
        <v>desigualdade</v>
      </c>
      <c r="D3343" s="1" t="str">
        <f>IFERROR(__xludf.DUMMYFUNCTION("GOOGLETRANSLATE(B3343,""en"",""pt-br"")"),"negativo")</f>
        <v>negativo</v>
      </c>
    </row>
    <row r="3344" ht="15.75" customHeight="1">
      <c r="A3344" s="2" t="s">
        <v>3343</v>
      </c>
      <c r="B3344" s="2" t="s">
        <v>3</v>
      </c>
      <c r="C3344" s="1" t="str">
        <f>IFERROR(__xludf.DUMMYFUNCTION("GOOGLETRANSLATE(A3344,""en"",""pt-br"")"),"injusto")</f>
        <v>injusto</v>
      </c>
      <c r="D3344" s="1" t="str">
        <f>IFERROR(__xludf.DUMMYFUNCTION("GOOGLETRANSLATE(B3344,""en"",""pt-br"")"),"negativo")</f>
        <v>negativo</v>
      </c>
    </row>
    <row r="3345" ht="15.75" customHeight="1">
      <c r="A3345" s="2" t="s">
        <v>3344</v>
      </c>
      <c r="B3345" s="2" t="s">
        <v>3</v>
      </c>
      <c r="C3345" s="1" t="str">
        <f>IFERROR(__xludf.DUMMYFUNCTION("GOOGLETRANSLATE(A3345,""en"",""pt-br"")"),"desigualmente")</f>
        <v>desigualmente</v>
      </c>
      <c r="D3345" s="1" t="str">
        <f>IFERROR(__xludf.DUMMYFUNCTION("GOOGLETRANSLATE(B3345,""en"",""pt-br"")"),"negativo")</f>
        <v>negativo</v>
      </c>
    </row>
    <row r="3346" ht="15.75" customHeight="1">
      <c r="A3346" s="2" t="s">
        <v>3345</v>
      </c>
      <c r="B3346" s="2" t="s">
        <v>3</v>
      </c>
      <c r="C3346" s="1" t="str">
        <f>IFERROR(__xludf.DUMMYFUNCTION("GOOGLETRANSLATE(A3346,""en"",""pt-br"")"),"desigualdades")</f>
        <v>desigualdades</v>
      </c>
      <c r="D3346" s="1" t="str">
        <f>IFERROR(__xludf.DUMMYFUNCTION("GOOGLETRANSLATE(B3346,""en"",""pt-br"")"),"negativo")</f>
        <v>negativo</v>
      </c>
    </row>
    <row r="3347" ht="15.75" customHeight="1">
      <c r="A3347" s="2" t="s">
        <v>3346</v>
      </c>
      <c r="B3347" s="2" t="s">
        <v>3</v>
      </c>
      <c r="C3347" s="1" t="str">
        <f>IFERROR(__xludf.DUMMYFUNCTION("GOOGLETRANSLATE(A3347,""en"",""pt-br"")"),"inevitável")</f>
        <v>inevitável</v>
      </c>
      <c r="D3347" s="1" t="str">
        <f>IFERROR(__xludf.DUMMYFUNCTION("GOOGLETRANSLATE(B3347,""en"",""pt-br"")"),"negativo")</f>
        <v>negativo</v>
      </c>
    </row>
    <row r="3348" ht="15.75" customHeight="1">
      <c r="A3348" s="2" t="s">
        <v>3347</v>
      </c>
      <c r="B3348" s="2" t="s">
        <v>3</v>
      </c>
      <c r="C3348" s="1" t="str">
        <f>IFERROR(__xludf.DUMMYFUNCTION("GOOGLETRANSLATE(A3348,""en"",""pt-br"")"),"inescapavelmente")</f>
        <v>inescapavelmente</v>
      </c>
      <c r="D3348" s="1" t="str">
        <f>IFERROR(__xludf.DUMMYFUNCTION("GOOGLETRANSLATE(B3348,""en"",""pt-br"")"),"negativo")</f>
        <v>negativo</v>
      </c>
    </row>
    <row r="3349" ht="15.75" customHeight="1">
      <c r="A3349" s="2" t="s">
        <v>3348</v>
      </c>
      <c r="B3349" s="2" t="s">
        <v>3</v>
      </c>
      <c r="C3349" s="1" t="str">
        <f>IFERROR(__xludf.DUMMYFUNCTION("GOOGLETRANSLATE(A3349,""en"",""pt-br"")"),"não essencial")</f>
        <v>não essencial</v>
      </c>
      <c r="D3349" s="1" t="str">
        <f>IFERROR(__xludf.DUMMYFUNCTION("GOOGLETRANSLATE(B3349,""en"",""pt-br"")"),"negativo")</f>
        <v>negativo</v>
      </c>
    </row>
    <row r="3350" ht="15.75" customHeight="1">
      <c r="A3350" s="2" t="s">
        <v>3349</v>
      </c>
      <c r="B3350" s="2" t="s">
        <v>14</v>
      </c>
      <c r="C3350" s="1" t="str">
        <f>IFERROR(__xludf.DUMMYFUNCTION("GOOGLETRANSLATE(A3350,""en"",""pt-br"")"),"inestimável")</f>
        <v>inestimável</v>
      </c>
      <c r="D3350" s="1" t="str">
        <f>IFERROR(__xludf.DUMMYFUNCTION("GOOGLETRANSLATE(B3350,""en"",""pt-br"")"),"positivo")</f>
        <v>positivo</v>
      </c>
    </row>
    <row r="3351" ht="15.75" customHeight="1">
      <c r="A3351" s="2" t="s">
        <v>3350</v>
      </c>
      <c r="B3351" s="2" t="s">
        <v>14</v>
      </c>
      <c r="C3351" s="1" t="str">
        <f>IFERROR(__xludf.DUMMYFUNCTION("GOOGLETRANSLATE(A3351,""en"",""pt-br"")"),"inestimavelmente")</f>
        <v>inestimavelmente</v>
      </c>
      <c r="D3351" s="1" t="str">
        <f>IFERROR(__xludf.DUMMYFUNCTION("GOOGLETRANSLATE(B3351,""en"",""pt-br"")"),"positivo")</f>
        <v>positivo</v>
      </c>
    </row>
    <row r="3352" ht="15.75" customHeight="1">
      <c r="A3352" s="2" t="s">
        <v>3351</v>
      </c>
      <c r="B3352" s="2" t="s">
        <v>3</v>
      </c>
      <c r="C3352" s="1" t="str">
        <f>IFERROR(__xludf.DUMMYFUNCTION("GOOGLETRANSLATE(A3352,""en"",""pt-br"")"),"inevitável")</f>
        <v>inevitável</v>
      </c>
      <c r="D3352" s="1" t="str">
        <f>IFERROR(__xludf.DUMMYFUNCTION("GOOGLETRANSLATE(B3352,""en"",""pt-br"")"),"negativo")</f>
        <v>negativo</v>
      </c>
    </row>
    <row r="3353" ht="15.75" customHeight="1">
      <c r="A3353" s="2" t="s">
        <v>3352</v>
      </c>
      <c r="B3353" s="2" t="s">
        <v>3</v>
      </c>
      <c r="C3353" s="1" t="str">
        <f>IFERROR(__xludf.DUMMYFUNCTION("GOOGLETRANSLATE(A3353,""en"",""pt-br"")"),"inevitavelmente")</f>
        <v>inevitavelmente</v>
      </c>
      <c r="D3353" s="1" t="str">
        <f>IFERROR(__xludf.DUMMYFUNCTION("GOOGLETRANSLATE(B3353,""en"",""pt-br"")"),"negativo")</f>
        <v>negativo</v>
      </c>
    </row>
    <row r="3354" ht="15.75" customHeight="1">
      <c r="A3354" s="2" t="s">
        <v>3353</v>
      </c>
      <c r="B3354" s="2" t="s">
        <v>3</v>
      </c>
      <c r="C3354" s="1" t="str">
        <f>IFERROR(__xludf.DUMMYFUNCTION("GOOGLETRANSLATE(A3354,""en"",""pt-br"")"),"imperdoável")</f>
        <v>imperdoável</v>
      </c>
      <c r="D3354" s="1" t="str">
        <f>IFERROR(__xludf.DUMMYFUNCTION("GOOGLETRANSLATE(B3354,""en"",""pt-br"")"),"negativo")</f>
        <v>negativo</v>
      </c>
    </row>
    <row r="3355" ht="15.75" customHeight="1">
      <c r="A3355" s="2" t="s">
        <v>3354</v>
      </c>
      <c r="B3355" s="2" t="s">
        <v>3</v>
      </c>
      <c r="C3355" s="1" t="str">
        <f>IFERROR(__xludf.DUMMYFUNCTION("GOOGLETRANSLATE(A3355,""en"",""pt-br"")"),"inexcusably")</f>
        <v>inexcusably</v>
      </c>
      <c r="D3355" s="1" t="str">
        <f>IFERROR(__xludf.DUMMYFUNCTION("GOOGLETRANSLATE(B3355,""en"",""pt-br"")"),"negativo")</f>
        <v>negativo</v>
      </c>
    </row>
    <row r="3356" ht="15.75" customHeight="1">
      <c r="A3356" s="2" t="s">
        <v>3355</v>
      </c>
      <c r="B3356" s="2" t="s">
        <v>3</v>
      </c>
      <c r="C3356" s="1" t="str">
        <f>IFERROR(__xludf.DUMMYFUNCTION("GOOGLETRANSLATE(A3356,""en"",""pt-br"")"),"inexorável")</f>
        <v>inexorável</v>
      </c>
      <c r="D3356" s="1" t="str">
        <f>IFERROR(__xludf.DUMMYFUNCTION("GOOGLETRANSLATE(B3356,""en"",""pt-br"")"),"negativo")</f>
        <v>negativo</v>
      </c>
    </row>
    <row r="3357" ht="15.75" customHeight="1">
      <c r="A3357" s="2" t="s">
        <v>3356</v>
      </c>
      <c r="B3357" s="2" t="s">
        <v>3</v>
      </c>
      <c r="C3357" s="1" t="str">
        <f>IFERROR(__xludf.DUMMYFUNCTION("GOOGLETRANSLATE(A3357,""en"",""pt-br"")"),"inexoravelmente")</f>
        <v>inexoravelmente</v>
      </c>
      <c r="D3357" s="1" t="str">
        <f>IFERROR(__xludf.DUMMYFUNCTION("GOOGLETRANSLATE(B3357,""en"",""pt-br"")"),"negativo")</f>
        <v>negativo</v>
      </c>
    </row>
    <row r="3358" ht="15.75" customHeight="1">
      <c r="A3358" s="2" t="s">
        <v>3357</v>
      </c>
      <c r="B3358" s="2" t="s">
        <v>14</v>
      </c>
      <c r="C3358" s="1" t="str">
        <f>IFERROR(__xludf.DUMMYFUNCTION("GOOGLETRANSLATE(A3358,""en"",""pt-br"")"),"barato")</f>
        <v>barato</v>
      </c>
      <c r="D3358" s="1" t="str">
        <f>IFERROR(__xludf.DUMMYFUNCTION("GOOGLETRANSLATE(B3358,""en"",""pt-br"")"),"positivo")</f>
        <v>positivo</v>
      </c>
    </row>
    <row r="3359" ht="15.75" customHeight="1">
      <c r="A3359" s="2" t="s">
        <v>3358</v>
      </c>
      <c r="B3359" s="2" t="s">
        <v>3</v>
      </c>
      <c r="C3359" s="1" t="str">
        <f>IFERROR(__xludf.DUMMYFUNCTION("GOOGLETRANSLATE(A3359,""en"",""pt-br"")"),"inexperiência")</f>
        <v>inexperiência</v>
      </c>
      <c r="D3359" s="1" t="str">
        <f>IFERROR(__xludf.DUMMYFUNCTION("GOOGLETRANSLATE(B3359,""en"",""pt-br"")"),"negativo")</f>
        <v>negativo</v>
      </c>
    </row>
    <row r="3360" ht="15.75" customHeight="1">
      <c r="A3360" s="2" t="s">
        <v>3359</v>
      </c>
      <c r="B3360" s="2" t="s">
        <v>3</v>
      </c>
      <c r="C3360" s="1" t="str">
        <f>IFERROR(__xludf.DUMMYFUNCTION("GOOGLETRANSLATE(A3360,""en"",""pt-br"")"),"inexperiente")</f>
        <v>inexperiente</v>
      </c>
      <c r="D3360" s="1" t="str">
        <f>IFERROR(__xludf.DUMMYFUNCTION("GOOGLETRANSLATE(B3360,""en"",""pt-br"")"),"negativo")</f>
        <v>negativo</v>
      </c>
    </row>
    <row r="3361" ht="15.75" customHeight="1">
      <c r="A3361" s="2" t="s">
        <v>3360</v>
      </c>
      <c r="B3361" s="2" t="s">
        <v>3</v>
      </c>
      <c r="C3361" s="1" t="str">
        <f>IFERROR(__xludf.DUMMYFUNCTION("GOOGLETRANSLATE(A3361,""en"",""pt-br"")"),"desajeitado")</f>
        <v>desajeitado</v>
      </c>
      <c r="D3361" s="1" t="str">
        <f>IFERROR(__xludf.DUMMYFUNCTION("GOOGLETRANSLATE(B3361,""en"",""pt-br"")"),"negativo")</f>
        <v>negativo</v>
      </c>
    </row>
    <row r="3362" ht="15.75" customHeight="1">
      <c r="A3362" s="2" t="s">
        <v>3361</v>
      </c>
      <c r="B3362" s="2" t="s">
        <v>3</v>
      </c>
      <c r="C3362" s="1" t="str">
        <f>IFERROR(__xludf.DUMMYFUNCTION("GOOGLETRANSLATE(A3362,""en"",""pt-br"")"),"inexpertly")</f>
        <v>inexpertly</v>
      </c>
      <c r="D3362" s="1" t="str">
        <f>IFERROR(__xludf.DUMMYFUNCTION("GOOGLETRANSLATE(B3362,""en"",""pt-br"")"),"negativo")</f>
        <v>negativo</v>
      </c>
    </row>
    <row r="3363" ht="15.75" customHeight="1">
      <c r="A3363" s="2" t="s">
        <v>3362</v>
      </c>
      <c r="B3363" s="2" t="s">
        <v>3</v>
      </c>
      <c r="C3363" s="1" t="str">
        <f>IFERROR(__xludf.DUMMYFUNCTION("GOOGLETRANSLATE(A3363,""en"",""pt-br"")"),"inexpiável")</f>
        <v>inexpiável</v>
      </c>
      <c r="D3363" s="1" t="str">
        <f>IFERROR(__xludf.DUMMYFUNCTION("GOOGLETRANSLATE(B3363,""en"",""pt-br"")"),"negativo")</f>
        <v>negativo</v>
      </c>
    </row>
    <row r="3364" ht="15.75" customHeight="1">
      <c r="A3364" s="2" t="s">
        <v>3363</v>
      </c>
      <c r="B3364" s="2" t="s">
        <v>3</v>
      </c>
      <c r="C3364" s="1" t="str">
        <f>IFERROR(__xludf.DUMMYFUNCTION("GOOGLETRANSLATE(A3364,""en"",""pt-br"")"),"inexplainable")</f>
        <v>inexplainable</v>
      </c>
      <c r="D3364" s="1" t="str">
        <f>IFERROR(__xludf.DUMMYFUNCTION("GOOGLETRANSLATE(B3364,""en"",""pt-br"")"),"negativo")</f>
        <v>negativo</v>
      </c>
    </row>
    <row r="3365" ht="15.75" customHeight="1">
      <c r="A3365" s="2" t="s">
        <v>3364</v>
      </c>
      <c r="B3365" s="2" t="s">
        <v>3</v>
      </c>
      <c r="C3365" s="1" t="str">
        <f>IFERROR(__xludf.DUMMYFUNCTION("GOOGLETRANSLATE(A3365,""en"",""pt-br"")"),"inextricável")</f>
        <v>inextricável</v>
      </c>
      <c r="D3365" s="1" t="str">
        <f>IFERROR(__xludf.DUMMYFUNCTION("GOOGLETRANSLATE(B3365,""en"",""pt-br"")"),"negativo")</f>
        <v>negativo</v>
      </c>
    </row>
    <row r="3366" ht="15.75" customHeight="1">
      <c r="A3366" s="2" t="s">
        <v>3365</v>
      </c>
      <c r="B3366" s="2" t="s">
        <v>3</v>
      </c>
      <c r="C3366" s="1" t="str">
        <f>IFERROR(__xludf.DUMMYFUNCTION("GOOGLETRANSLATE(A3366,""en"",""pt-br"")"),"inextricavelmente")</f>
        <v>inextricavelmente</v>
      </c>
      <c r="D3366" s="1" t="str">
        <f>IFERROR(__xludf.DUMMYFUNCTION("GOOGLETRANSLATE(B3366,""en"",""pt-br"")"),"negativo")</f>
        <v>negativo</v>
      </c>
    </row>
    <row r="3367" ht="15.75" customHeight="1">
      <c r="A3367" s="2" t="s">
        <v>3366</v>
      </c>
      <c r="B3367" s="2" t="s">
        <v>14</v>
      </c>
      <c r="C3367" s="1" t="str">
        <f>IFERROR(__xludf.DUMMYFUNCTION("GOOGLETRANSLATE(A3367,""en"",""pt-br"")"),"infalibilidade")</f>
        <v>infalibilidade</v>
      </c>
      <c r="D3367" s="1" t="str">
        <f>IFERROR(__xludf.DUMMYFUNCTION("GOOGLETRANSLATE(B3367,""en"",""pt-br"")"),"positivo")</f>
        <v>positivo</v>
      </c>
    </row>
    <row r="3368" ht="15.75" customHeight="1">
      <c r="A3368" s="2" t="s">
        <v>3367</v>
      </c>
      <c r="B3368" s="2" t="s">
        <v>14</v>
      </c>
      <c r="C3368" s="1" t="str">
        <f>IFERROR(__xludf.DUMMYFUNCTION("GOOGLETRANSLATE(A3368,""en"",""pt-br"")"),"infalível")</f>
        <v>infalível</v>
      </c>
      <c r="D3368" s="1" t="str">
        <f>IFERROR(__xludf.DUMMYFUNCTION("GOOGLETRANSLATE(B3368,""en"",""pt-br"")"),"positivo")</f>
        <v>positivo</v>
      </c>
    </row>
    <row r="3369" ht="15.75" customHeight="1">
      <c r="A3369" s="2" t="s">
        <v>3368</v>
      </c>
      <c r="B3369" s="2" t="s">
        <v>14</v>
      </c>
      <c r="C3369" s="1" t="str">
        <f>IFERROR(__xludf.DUMMYFUNCTION("GOOGLETRANSLATE(A3369,""en"",""pt-br"")"),"infalivelmente")</f>
        <v>infalivelmente</v>
      </c>
      <c r="D3369" s="1" t="str">
        <f>IFERROR(__xludf.DUMMYFUNCTION("GOOGLETRANSLATE(B3369,""en"",""pt-br"")"),"positivo")</f>
        <v>positivo</v>
      </c>
    </row>
    <row r="3370" ht="15.75" customHeight="1">
      <c r="A3370" s="2" t="s">
        <v>3369</v>
      </c>
      <c r="B3370" s="2" t="s">
        <v>3</v>
      </c>
      <c r="C3370" s="1" t="str">
        <f>IFERROR(__xludf.DUMMYFUNCTION("GOOGLETRANSLATE(A3370,""en"",""pt-br"")"),"infame")</f>
        <v>infame</v>
      </c>
      <c r="D3370" s="1" t="str">
        <f>IFERROR(__xludf.DUMMYFUNCTION("GOOGLETRANSLATE(B3370,""en"",""pt-br"")"),"negativo")</f>
        <v>negativo</v>
      </c>
    </row>
    <row r="3371" ht="15.75" customHeight="1">
      <c r="A3371" s="2" t="s">
        <v>3370</v>
      </c>
      <c r="B3371" s="2" t="s">
        <v>3</v>
      </c>
      <c r="C3371" s="1" t="str">
        <f>IFERROR(__xludf.DUMMYFUNCTION("GOOGLETRANSLATE(A3371,""en"",""pt-br"")"),"infamously")</f>
        <v>infamously</v>
      </c>
      <c r="D3371" s="1" t="str">
        <f>IFERROR(__xludf.DUMMYFUNCTION("GOOGLETRANSLATE(B3371,""en"",""pt-br"")"),"negativo")</f>
        <v>negativo</v>
      </c>
    </row>
    <row r="3372" ht="15.75" customHeight="1">
      <c r="A3372" s="2" t="s">
        <v>3371</v>
      </c>
      <c r="B3372" s="2" t="s">
        <v>3</v>
      </c>
      <c r="C3372" s="1" t="str">
        <f>IFERROR(__xludf.DUMMYFUNCTION("GOOGLETRANSLATE(A3372,""en"",""pt-br"")"),"infâmia")</f>
        <v>infâmia</v>
      </c>
      <c r="D3372" s="1" t="str">
        <f>IFERROR(__xludf.DUMMYFUNCTION("GOOGLETRANSLATE(B3372,""en"",""pt-br"")"),"negativo")</f>
        <v>negativo</v>
      </c>
    </row>
    <row r="3373" ht="15.75" customHeight="1">
      <c r="A3373" s="2" t="s">
        <v>3372</v>
      </c>
      <c r="B3373" s="2" t="s">
        <v>3</v>
      </c>
      <c r="C3373" s="1" t="str">
        <f>IFERROR(__xludf.DUMMYFUNCTION("GOOGLETRANSLATE(A3373,""en"",""pt-br"")"),"infetado")</f>
        <v>infetado</v>
      </c>
      <c r="D3373" s="1" t="str">
        <f>IFERROR(__xludf.DUMMYFUNCTION("GOOGLETRANSLATE(B3373,""en"",""pt-br"")"),"negativo")</f>
        <v>negativo</v>
      </c>
    </row>
    <row r="3374" ht="15.75" customHeight="1">
      <c r="A3374" s="2" t="s">
        <v>3373</v>
      </c>
      <c r="B3374" s="2" t="s">
        <v>3</v>
      </c>
      <c r="C3374" s="1" t="str">
        <f>IFERROR(__xludf.DUMMYFUNCTION("GOOGLETRANSLATE(A3374,""en"",""pt-br"")"),"infecção")</f>
        <v>infecção</v>
      </c>
      <c r="D3374" s="1" t="str">
        <f>IFERROR(__xludf.DUMMYFUNCTION("GOOGLETRANSLATE(B3374,""en"",""pt-br"")"),"negativo")</f>
        <v>negativo</v>
      </c>
    </row>
    <row r="3375" ht="15.75" customHeight="1">
      <c r="A3375" s="2" t="s">
        <v>3374</v>
      </c>
      <c r="B3375" s="2" t="s">
        <v>3</v>
      </c>
      <c r="C3375" s="1" t="str">
        <f>IFERROR(__xludf.DUMMYFUNCTION("GOOGLETRANSLATE(A3375,""en"",""pt-br"")"),"infecções")</f>
        <v>infecções</v>
      </c>
      <c r="D3375" s="1" t="str">
        <f>IFERROR(__xludf.DUMMYFUNCTION("GOOGLETRANSLATE(B3375,""en"",""pt-br"")"),"negativo")</f>
        <v>negativo</v>
      </c>
    </row>
    <row r="3376" ht="15.75" customHeight="1">
      <c r="A3376" s="2" t="s">
        <v>3375</v>
      </c>
      <c r="B3376" s="2" t="s">
        <v>3</v>
      </c>
      <c r="C3376" s="1" t="str">
        <f>IFERROR(__xludf.DUMMYFUNCTION("GOOGLETRANSLATE(A3376,""en"",""pt-br"")"),"inferior")</f>
        <v>inferior</v>
      </c>
      <c r="D3376" s="1" t="str">
        <f>IFERROR(__xludf.DUMMYFUNCTION("GOOGLETRANSLATE(B3376,""en"",""pt-br"")"),"negativo")</f>
        <v>negativo</v>
      </c>
    </row>
    <row r="3377" ht="15.75" customHeight="1">
      <c r="A3377" s="2" t="s">
        <v>3376</v>
      </c>
      <c r="B3377" s="2" t="s">
        <v>3</v>
      </c>
      <c r="C3377" s="1" t="str">
        <f>IFERROR(__xludf.DUMMYFUNCTION("GOOGLETRANSLATE(A3377,""en"",""pt-br"")"),"inferioridade")</f>
        <v>inferioridade</v>
      </c>
      <c r="D3377" s="1" t="str">
        <f>IFERROR(__xludf.DUMMYFUNCTION("GOOGLETRANSLATE(B3377,""en"",""pt-br"")"),"negativo")</f>
        <v>negativo</v>
      </c>
    </row>
    <row r="3378" ht="15.75" customHeight="1">
      <c r="A3378" s="2" t="s">
        <v>3377</v>
      </c>
      <c r="B3378" s="2" t="s">
        <v>3</v>
      </c>
      <c r="C3378" s="1" t="str">
        <f>IFERROR(__xludf.DUMMYFUNCTION("GOOGLETRANSLATE(A3378,""en"",""pt-br"")"),"infernal")</f>
        <v>infernal</v>
      </c>
      <c r="D3378" s="1" t="str">
        <f>IFERROR(__xludf.DUMMYFUNCTION("GOOGLETRANSLATE(B3378,""en"",""pt-br"")"),"negativo")</f>
        <v>negativo</v>
      </c>
    </row>
    <row r="3379" ht="15.75" customHeight="1">
      <c r="A3379" s="2" t="s">
        <v>3378</v>
      </c>
      <c r="B3379" s="2" t="s">
        <v>3</v>
      </c>
      <c r="C3379" s="1" t="str">
        <f>IFERROR(__xludf.DUMMYFUNCTION("GOOGLETRANSLATE(A3379,""en"",""pt-br"")"),"infestar")</f>
        <v>infestar</v>
      </c>
      <c r="D3379" s="1" t="str">
        <f>IFERROR(__xludf.DUMMYFUNCTION("GOOGLETRANSLATE(B3379,""en"",""pt-br"")"),"negativo")</f>
        <v>negativo</v>
      </c>
    </row>
    <row r="3380" ht="15.75" customHeight="1">
      <c r="A3380" s="2" t="s">
        <v>3379</v>
      </c>
      <c r="B3380" s="2" t="s">
        <v>3</v>
      </c>
      <c r="C3380" s="1" t="str">
        <f>IFERROR(__xludf.DUMMYFUNCTION("GOOGLETRANSLATE(A3380,""en"",""pt-br"")"),"infestado")</f>
        <v>infestado</v>
      </c>
      <c r="D3380" s="1" t="str">
        <f>IFERROR(__xludf.DUMMYFUNCTION("GOOGLETRANSLATE(B3380,""en"",""pt-br"")"),"negativo")</f>
        <v>negativo</v>
      </c>
    </row>
    <row r="3381" ht="15.75" customHeight="1">
      <c r="A3381" s="2" t="s">
        <v>3380</v>
      </c>
      <c r="B3381" s="2" t="s">
        <v>3</v>
      </c>
      <c r="C3381" s="1" t="str">
        <f>IFERROR(__xludf.DUMMYFUNCTION("GOOGLETRANSLATE(A3381,""en"",""pt-br"")"),"infiel")</f>
        <v>infiel</v>
      </c>
      <c r="D3381" s="1" t="str">
        <f>IFERROR(__xludf.DUMMYFUNCTION("GOOGLETRANSLATE(B3381,""en"",""pt-br"")"),"negativo")</f>
        <v>negativo</v>
      </c>
    </row>
    <row r="3382" ht="15.75" customHeight="1">
      <c r="A3382" s="2" t="s">
        <v>3381</v>
      </c>
      <c r="B3382" s="2" t="s">
        <v>3</v>
      </c>
      <c r="C3382" s="1" t="str">
        <f>IFERROR(__xludf.DUMMYFUNCTION("GOOGLETRANSLATE(A3382,""en"",""pt-br"")"),"infiéis")</f>
        <v>infiéis</v>
      </c>
      <c r="D3382" s="1" t="str">
        <f>IFERROR(__xludf.DUMMYFUNCTION("GOOGLETRANSLATE(B3382,""en"",""pt-br"")"),"negativo")</f>
        <v>negativo</v>
      </c>
    </row>
    <row r="3383" ht="15.75" customHeight="1">
      <c r="A3383" s="2" t="s">
        <v>3382</v>
      </c>
      <c r="B3383" s="2" t="s">
        <v>3</v>
      </c>
      <c r="C3383" s="1" t="str">
        <f>IFERROR(__xludf.DUMMYFUNCTION("GOOGLETRANSLATE(A3383,""en"",""pt-br"")"),"infiltrator")</f>
        <v>infiltrator</v>
      </c>
      <c r="D3383" s="1" t="str">
        <f>IFERROR(__xludf.DUMMYFUNCTION("GOOGLETRANSLATE(B3383,""en"",""pt-br"")"),"negativo")</f>
        <v>negativo</v>
      </c>
    </row>
    <row r="3384" ht="15.75" customHeight="1">
      <c r="A3384" s="2" t="s">
        <v>3383</v>
      </c>
      <c r="B3384" s="2" t="s">
        <v>3</v>
      </c>
      <c r="C3384" s="1" t="str">
        <f>IFERROR(__xludf.DUMMYFUNCTION("GOOGLETRANSLATE(A3384,""en"",""pt-br"")"),"infiltrados")</f>
        <v>infiltrados</v>
      </c>
      <c r="D3384" s="1" t="str">
        <f>IFERROR(__xludf.DUMMYFUNCTION("GOOGLETRANSLATE(B3384,""en"",""pt-br"")"),"negativo")</f>
        <v>negativo</v>
      </c>
    </row>
    <row r="3385" ht="15.75" customHeight="1">
      <c r="A3385" s="2" t="s">
        <v>3384</v>
      </c>
      <c r="B3385" s="2" t="s">
        <v>3</v>
      </c>
      <c r="C3385" s="1" t="str">
        <f>IFERROR(__xludf.DUMMYFUNCTION("GOOGLETRANSLATE(A3385,""en"",""pt-br"")"),"enfermo")</f>
        <v>enfermo</v>
      </c>
      <c r="D3385" s="1" t="str">
        <f>IFERROR(__xludf.DUMMYFUNCTION("GOOGLETRANSLATE(B3385,""en"",""pt-br"")"),"negativo")</f>
        <v>negativo</v>
      </c>
    </row>
    <row r="3386" ht="15.75" customHeight="1">
      <c r="A3386" s="2" t="s">
        <v>3385</v>
      </c>
      <c r="B3386" s="2" t="s">
        <v>3</v>
      </c>
      <c r="C3386" s="1" t="str">
        <f>IFERROR(__xludf.DUMMYFUNCTION("GOOGLETRANSLATE(A3386,""en"",""pt-br"")"),"inflamar")</f>
        <v>inflamar</v>
      </c>
      <c r="D3386" s="1" t="str">
        <f>IFERROR(__xludf.DUMMYFUNCTION("GOOGLETRANSLATE(B3386,""en"",""pt-br"")"),"negativo")</f>
        <v>negativo</v>
      </c>
    </row>
    <row r="3387" ht="15.75" customHeight="1">
      <c r="A3387" s="2" t="s">
        <v>3386</v>
      </c>
      <c r="B3387" s="2" t="s">
        <v>3</v>
      </c>
      <c r="C3387" s="1" t="str">
        <f>IFERROR(__xludf.DUMMYFUNCTION("GOOGLETRANSLATE(A3387,""en"",""pt-br"")"),"inflamação")</f>
        <v>inflamação</v>
      </c>
      <c r="D3387" s="1" t="str">
        <f>IFERROR(__xludf.DUMMYFUNCTION("GOOGLETRANSLATE(B3387,""en"",""pt-br"")"),"negativo")</f>
        <v>negativo</v>
      </c>
    </row>
    <row r="3388" ht="15.75" customHeight="1">
      <c r="A3388" s="2" t="s">
        <v>3387</v>
      </c>
      <c r="B3388" s="2" t="s">
        <v>3</v>
      </c>
      <c r="C3388" s="1" t="str">
        <f>IFERROR(__xludf.DUMMYFUNCTION("GOOGLETRANSLATE(A3388,""en"",""pt-br"")"),"inflamatório")</f>
        <v>inflamatório</v>
      </c>
      <c r="D3388" s="1" t="str">
        <f>IFERROR(__xludf.DUMMYFUNCTION("GOOGLETRANSLATE(B3388,""en"",""pt-br"")"),"negativo")</f>
        <v>negativo</v>
      </c>
    </row>
    <row r="3389" ht="15.75" customHeight="1">
      <c r="A3389" s="2" t="s">
        <v>3388</v>
      </c>
      <c r="B3389" s="2" t="s">
        <v>3</v>
      </c>
      <c r="C3389" s="1" t="str">
        <f>IFERROR(__xludf.DUMMYFUNCTION("GOOGLETRANSLATE(A3389,""en"",""pt-br"")"),"inflammed")</f>
        <v>inflammed</v>
      </c>
      <c r="D3389" s="1" t="str">
        <f>IFERROR(__xludf.DUMMYFUNCTION("GOOGLETRANSLATE(B3389,""en"",""pt-br"")"),"negativo")</f>
        <v>negativo</v>
      </c>
    </row>
    <row r="3390" ht="15.75" customHeight="1">
      <c r="A3390" s="2" t="s">
        <v>3389</v>
      </c>
      <c r="B3390" s="2" t="s">
        <v>3</v>
      </c>
      <c r="C3390" s="1" t="str">
        <f>IFERROR(__xludf.DUMMYFUNCTION("GOOGLETRANSLATE(A3390,""en"",""pt-br"")"),"inflado")</f>
        <v>inflado</v>
      </c>
      <c r="D3390" s="1" t="str">
        <f>IFERROR(__xludf.DUMMYFUNCTION("GOOGLETRANSLATE(B3390,""en"",""pt-br"")"),"negativo")</f>
        <v>negativo</v>
      </c>
    </row>
    <row r="3391" ht="15.75" customHeight="1">
      <c r="A3391" s="2" t="s">
        <v>3390</v>
      </c>
      <c r="B3391" s="2" t="s">
        <v>3</v>
      </c>
      <c r="C3391" s="1" t="str">
        <f>IFERROR(__xludf.DUMMYFUNCTION("GOOGLETRANSLATE(A3391,""en"",""pt-br"")"),"inflacionária")</f>
        <v>inflacionária</v>
      </c>
      <c r="D3391" s="1" t="str">
        <f>IFERROR(__xludf.DUMMYFUNCTION("GOOGLETRANSLATE(B3391,""en"",""pt-br"")"),"negativo")</f>
        <v>negativo</v>
      </c>
    </row>
    <row r="3392" ht="15.75" customHeight="1">
      <c r="A3392" s="2" t="s">
        <v>3391</v>
      </c>
      <c r="B3392" s="2" t="s">
        <v>3</v>
      </c>
      <c r="C3392" s="1" t="str">
        <f>IFERROR(__xludf.DUMMYFUNCTION("GOOGLETRANSLATE(A3392,""en"",""pt-br"")"),"inflexível")</f>
        <v>inflexível</v>
      </c>
      <c r="D3392" s="1" t="str">
        <f>IFERROR(__xludf.DUMMYFUNCTION("GOOGLETRANSLATE(B3392,""en"",""pt-br"")"),"negativo")</f>
        <v>negativo</v>
      </c>
    </row>
    <row r="3393" ht="15.75" customHeight="1">
      <c r="A3393" s="2" t="s">
        <v>3392</v>
      </c>
      <c r="B3393" s="2" t="s">
        <v>3</v>
      </c>
      <c r="C3393" s="1" t="str">
        <f>IFERROR(__xludf.DUMMYFUNCTION("GOOGLETRANSLATE(A3393,""en"",""pt-br"")"),"infligir")</f>
        <v>infligir</v>
      </c>
      <c r="D3393" s="1" t="str">
        <f>IFERROR(__xludf.DUMMYFUNCTION("GOOGLETRANSLATE(B3393,""en"",""pt-br"")"),"negativo")</f>
        <v>negativo</v>
      </c>
    </row>
    <row r="3394" ht="15.75" customHeight="1">
      <c r="A3394" s="2" t="s">
        <v>3393</v>
      </c>
      <c r="B3394" s="2" t="s">
        <v>14</v>
      </c>
      <c r="C3394" s="1" t="str">
        <f>IFERROR(__xludf.DUMMYFUNCTION("GOOGLETRANSLATE(A3394,""en"",""pt-br"")"),"influente")</f>
        <v>influente</v>
      </c>
      <c r="D3394" s="1" t="str">
        <f>IFERROR(__xludf.DUMMYFUNCTION("GOOGLETRANSLATE(B3394,""en"",""pt-br"")"),"positivo")</f>
        <v>positivo</v>
      </c>
    </row>
    <row r="3395" ht="15.75" customHeight="1">
      <c r="A3395" s="2" t="s">
        <v>3394</v>
      </c>
      <c r="B3395" s="2" t="s">
        <v>3</v>
      </c>
      <c r="C3395" s="1" t="str">
        <f>IFERROR(__xludf.DUMMYFUNCTION("GOOGLETRANSLATE(A3395,""en"",""pt-br"")"),"infração")</f>
        <v>infração</v>
      </c>
      <c r="D3395" s="1" t="str">
        <f>IFERROR(__xludf.DUMMYFUNCTION("GOOGLETRANSLATE(B3395,""en"",""pt-br"")"),"negativo")</f>
        <v>negativo</v>
      </c>
    </row>
    <row r="3396" ht="15.75" customHeight="1">
      <c r="A3396" s="2" t="s">
        <v>3395</v>
      </c>
      <c r="B3396" s="2" t="s">
        <v>3</v>
      </c>
      <c r="C3396" s="1" t="str">
        <f>IFERROR(__xludf.DUMMYFUNCTION("GOOGLETRANSLATE(A3396,""en"",""pt-br"")"),"infringe")</f>
        <v>infringe</v>
      </c>
      <c r="D3396" s="1" t="str">
        <f>IFERROR(__xludf.DUMMYFUNCTION("GOOGLETRANSLATE(B3396,""en"",""pt-br"")"),"negativo")</f>
        <v>negativo</v>
      </c>
    </row>
    <row r="3397" ht="15.75" customHeight="1">
      <c r="A3397" s="2" t="s">
        <v>3396</v>
      </c>
      <c r="B3397" s="2" t="s">
        <v>3</v>
      </c>
      <c r="C3397" s="1" t="str">
        <f>IFERROR(__xludf.DUMMYFUNCTION("GOOGLETRANSLATE(A3397,""en"",""pt-br"")"),"violação")</f>
        <v>violação</v>
      </c>
      <c r="D3397" s="1" t="str">
        <f>IFERROR(__xludf.DUMMYFUNCTION("GOOGLETRANSLATE(B3397,""en"",""pt-br"")"),"negativo")</f>
        <v>negativo</v>
      </c>
    </row>
    <row r="3398" ht="15.75" customHeight="1">
      <c r="A3398" s="2" t="s">
        <v>3397</v>
      </c>
      <c r="B3398" s="2" t="s">
        <v>3</v>
      </c>
      <c r="C3398" s="1" t="str">
        <f>IFERROR(__xludf.DUMMYFUNCTION("GOOGLETRANSLATE(A3398,""en"",""pt-br"")"),"infracções")</f>
        <v>infracções</v>
      </c>
      <c r="D3398" s="1" t="str">
        <f>IFERROR(__xludf.DUMMYFUNCTION("GOOGLETRANSLATE(B3398,""en"",""pt-br"")"),"negativo")</f>
        <v>negativo</v>
      </c>
    </row>
    <row r="3399" ht="15.75" customHeight="1">
      <c r="A3399" s="2" t="s">
        <v>3398</v>
      </c>
      <c r="B3399" s="2" t="s">
        <v>3</v>
      </c>
      <c r="C3399" s="1" t="str">
        <f>IFERROR(__xludf.DUMMYFUNCTION("GOOGLETRANSLATE(A3399,""en"",""pt-br"")"),"enfurecer")</f>
        <v>enfurecer</v>
      </c>
      <c r="D3399" s="1" t="str">
        <f>IFERROR(__xludf.DUMMYFUNCTION("GOOGLETRANSLATE(B3399,""en"",""pt-br"")"),"negativo")</f>
        <v>negativo</v>
      </c>
    </row>
    <row r="3400" ht="15.75" customHeight="1">
      <c r="A3400" s="2" t="s">
        <v>3399</v>
      </c>
      <c r="B3400" s="2" t="s">
        <v>3</v>
      </c>
      <c r="C3400" s="1" t="str">
        <f>IFERROR(__xludf.DUMMYFUNCTION("GOOGLETRANSLATE(A3400,""en"",""pt-br"")"),"enfurecido")</f>
        <v>enfurecido</v>
      </c>
      <c r="D3400" s="1" t="str">
        <f>IFERROR(__xludf.DUMMYFUNCTION("GOOGLETRANSLATE(B3400,""en"",""pt-br"")"),"negativo")</f>
        <v>negativo</v>
      </c>
    </row>
    <row r="3401" ht="15.75" customHeight="1">
      <c r="A3401" s="2" t="s">
        <v>3400</v>
      </c>
      <c r="B3401" s="2" t="s">
        <v>3</v>
      </c>
      <c r="C3401" s="1" t="str">
        <f>IFERROR(__xludf.DUMMYFUNCTION("GOOGLETRANSLATE(A3401,""en"",""pt-br"")"),"enfurecendo")</f>
        <v>enfurecendo</v>
      </c>
      <c r="D3401" s="1" t="str">
        <f>IFERROR(__xludf.DUMMYFUNCTION("GOOGLETRANSLATE(B3401,""en"",""pt-br"")"),"negativo")</f>
        <v>negativo</v>
      </c>
    </row>
    <row r="3402" ht="15.75" customHeight="1">
      <c r="A3402" s="2" t="s">
        <v>3401</v>
      </c>
      <c r="B3402" s="2" t="s">
        <v>3</v>
      </c>
      <c r="C3402" s="1" t="str">
        <f>IFERROR(__xludf.DUMMYFUNCTION("GOOGLETRANSLATE(A3402,""en"",""pt-br"")"),"irritantemente")</f>
        <v>irritantemente</v>
      </c>
      <c r="D3402" s="1" t="str">
        <f>IFERROR(__xludf.DUMMYFUNCTION("GOOGLETRANSLATE(B3402,""en"",""pt-br"")"),"negativo")</f>
        <v>negativo</v>
      </c>
    </row>
    <row r="3403" ht="15.75" customHeight="1">
      <c r="A3403" s="2" t="s">
        <v>3402</v>
      </c>
      <c r="B3403" s="2" t="s">
        <v>14</v>
      </c>
      <c r="C3403" s="1" t="str">
        <f>IFERROR(__xludf.DUMMYFUNCTION("GOOGLETRANSLATE(A3403,""en"",""pt-br"")"),"engenhoso")</f>
        <v>engenhoso</v>
      </c>
      <c r="D3403" s="1" t="str">
        <f>IFERROR(__xludf.DUMMYFUNCTION("GOOGLETRANSLATE(B3403,""en"",""pt-br"")"),"positivo")</f>
        <v>positivo</v>
      </c>
    </row>
    <row r="3404" ht="15.75" customHeight="1">
      <c r="A3404" s="2" t="s">
        <v>3403</v>
      </c>
      <c r="B3404" s="2" t="s">
        <v>14</v>
      </c>
      <c r="C3404" s="1" t="str">
        <f>IFERROR(__xludf.DUMMYFUNCTION("GOOGLETRANSLATE(A3404,""en"",""pt-br"")"),"Ingenuamente")</f>
        <v>Ingenuamente</v>
      </c>
      <c r="D3404" s="1" t="str">
        <f>IFERROR(__xludf.DUMMYFUNCTION("GOOGLETRANSLATE(B3404,""en"",""pt-br"")"),"positivo")</f>
        <v>positivo</v>
      </c>
    </row>
    <row r="3405" ht="15.75" customHeight="1">
      <c r="A3405" s="2" t="s">
        <v>3404</v>
      </c>
      <c r="B3405" s="2" t="s">
        <v>14</v>
      </c>
      <c r="C3405" s="1" t="str">
        <f>IFERROR(__xludf.DUMMYFUNCTION("GOOGLETRANSLATE(A3405,""en"",""pt-br"")"),"ingenuidade")</f>
        <v>ingenuidade</v>
      </c>
      <c r="D3405" s="1" t="str">
        <f>IFERROR(__xludf.DUMMYFUNCTION("GOOGLETRANSLATE(B3405,""en"",""pt-br"")"),"positivo")</f>
        <v>positivo</v>
      </c>
    </row>
    <row r="3406" ht="15.75" customHeight="1">
      <c r="A3406" s="2" t="s">
        <v>3405</v>
      </c>
      <c r="B3406" s="2" t="s">
        <v>14</v>
      </c>
      <c r="C3406" s="1" t="str">
        <f>IFERROR(__xludf.DUMMYFUNCTION("GOOGLETRANSLATE(A3406,""en"",""pt-br"")"),"ingénuo")</f>
        <v>ingénuo</v>
      </c>
      <c r="D3406" s="1" t="str">
        <f>IFERROR(__xludf.DUMMYFUNCTION("GOOGLETRANSLATE(B3406,""en"",""pt-br"")"),"positivo")</f>
        <v>positivo</v>
      </c>
    </row>
    <row r="3407" ht="15.75" customHeight="1">
      <c r="A3407" s="2" t="s">
        <v>3406</v>
      </c>
      <c r="B3407" s="2" t="s">
        <v>14</v>
      </c>
      <c r="C3407" s="1" t="str">
        <f>IFERROR(__xludf.DUMMYFUNCTION("GOOGLETRANSLATE(A3407,""en"",""pt-br"")"),"ingenuamente")</f>
        <v>ingenuamente</v>
      </c>
      <c r="D3407" s="1" t="str">
        <f>IFERROR(__xludf.DUMMYFUNCTION("GOOGLETRANSLATE(B3407,""en"",""pt-br"")"),"positivo")</f>
        <v>positivo</v>
      </c>
    </row>
    <row r="3408" ht="15.75" customHeight="1">
      <c r="A3408" s="2" t="s">
        <v>3407</v>
      </c>
      <c r="B3408" s="2" t="s">
        <v>3</v>
      </c>
      <c r="C3408" s="1" t="str">
        <f>IFERROR(__xludf.DUMMYFUNCTION("GOOGLETRANSLATE(A3408,""en"",""pt-br"")"),"inglório")</f>
        <v>inglório</v>
      </c>
      <c r="D3408" s="1" t="str">
        <f>IFERROR(__xludf.DUMMYFUNCTION("GOOGLETRANSLATE(B3408,""en"",""pt-br"")"),"negativo")</f>
        <v>negativo</v>
      </c>
    </row>
    <row r="3409" ht="15.75" customHeight="1">
      <c r="A3409" s="2" t="s">
        <v>3408</v>
      </c>
      <c r="B3409" s="2" t="s">
        <v>3</v>
      </c>
      <c r="C3409" s="1" t="str">
        <f>IFERROR(__xludf.DUMMYFUNCTION("GOOGLETRANSLATE(A3409,""en"",""pt-br"")"),"ingrato")</f>
        <v>ingrato</v>
      </c>
      <c r="D3409" s="1" t="str">
        <f>IFERROR(__xludf.DUMMYFUNCTION("GOOGLETRANSLATE(B3409,""en"",""pt-br"")"),"negativo")</f>
        <v>negativo</v>
      </c>
    </row>
    <row r="3410" ht="15.75" customHeight="1">
      <c r="A3410" s="2" t="s">
        <v>3409</v>
      </c>
      <c r="B3410" s="2" t="s">
        <v>3</v>
      </c>
      <c r="C3410" s="1" t="str">
        <f>IFERROR(__xludf.DUMMYFUNCTION("GOOGLETRANSLATE(A3410,""en"",""pt-br"")"),"ingratidão")</f>
        <v>ingratidão</v>
      </c>
      <c r="D3410" s="1" t="str">
        <f>IFERROR(__xludf.DUMMYFUNCTION("GOOGLETRANSLATE(B3410,""en"",""pt-br"")"),"negativo")</f>
        <v>negativo</v>
      </c>
    </row>
    <row r="3411" ht="15.75" customHeight="1">
      <c r="A3411" s="2" t="s">
        <v>3410</v>
      </c>
      <c r="B3411" s="2" t="s">
        <v>3</v>
      </c>
      <c r="C3411" s="1" t="str">
        <f>IFERROR(__xludf.DUMMYFUNCTION("GOOGLETRANSLATE(A3411,""en"",""pt-br"")"),"inibir")</f>
        <v>inibir</v>
      </c>
      <c r="D3411" s="1" t="str">
        <f>IFERROR(__xludf.DUMMYFUNCTION("GOOGLETRANSLATE(B3411,""en"",""pt-br"")"),"negativo")</f>
        <v>negativo</v>
      </c>
    </row>
    <row r="3412" ht="15.75" customHeight="1">
      <c r="A3412" s="2" t="s">
        <v>3411</v>
      </c>
      <c r="B3412" s="2" t="s">
        <v>3</v>
      </c>
      <c r="C3412" s="1" t="str">
        <f>IFERROR(__xludf.DUMMYFUNCTION("GOOGLETRANSLATE(A3412,""en"",""pt-br"")"),"inibição")</f>
        <v>inibição</v>
      </c>
      <c r="D3412" s="1" t="str">
        <f>IFERROR(__xludf.DUMMYFUNCTION("GOOGLETRANSLATE(B3412,""en"",""pt-br"")"),"negativo")</f>
        <v>negativo</v>
      </c>
    </row>
    <row r="3413" ht="15.75" customHeight="1">
      <c r="A3413" s="2" t="s">
        <v>3412</v>
      </c>
      <c r="B3413" s="2" t="s">
        <v>3</v>
      </c>
      <c r="C3413" s="1" t="str">
        <f>IFERROR(__xludf.DUMMYFUNCTION("GOOGLETRANSLATE(A3413,""en"",""pt-br"")"),"inóspito")</f>
        <v>inóspito</v>
      </c>
      <c r="D3413" s="1" t="str">
        <f>IFERROR(__xludf.DUMMYFUNCTION("GOOGLETRANSLATE(B3413,""en"",""pt-br"")"),"negativo")</f>
        <v>negativo</v>
      </c>
    </row>
    <row r="3414" ht="15.75" customHeight="1">
      <c r="A3414" s="2" t="s">
        <v>3413</v>
      </c>
      <c r="B3414" s="2" t="s">
        <v>3</v>
      </c>
      <c r="C3414" s="1" t="str">
        <f>IFERROR(__xludf.DUMMYFUNCTION("GOOGLETRANSLATE(A3414,""en"",""pt-br"")"),"inhospitality")</f>
        <v>inhospitality</v>
      </c>
      <c r="D3414" s="1" t="str">
        <f>IFERROR(__xludf.DUMMYFUNCTION("GOOGLETRANSLATE(B3414,""en"",""pt-br"")"),"negativo")</f>
        <v>negativo</v>
      </c>
    </row>
    <row r="3415" ht="15.75" customHeight="1">
      <c r="A3415" s="2" t="s">
        <v>3414</v>
      </c>
      <c r="B3415" s="2" t="s">
        <v>3</v>
      </c>
      <c r="C3415" s="1" t="str">
        <f>IFERROR(__xludf.DUMMYFUNCTION("GOOGLETRANSLATE(A3415,""en"",""pt-br"")"),"desumano")</f>
        <v>desumano</v>
      </c>
      <c r="D3415" s="1" t="str">
        <f>IFERROR(__xludf.DUMMYFUNCTION("GOOGLETRANSLATE(B3415,""en"",""pt-br"")"),"negativo")</f>
        <v>negativo</v>
      </c>
    </row>
    <row r="3416" ht="15.75" customHeight="1">
      <c r="A3416" s="2" t="s">
        <v>3415</v>
      </c>
      <c r="B3416" s="2" t="s">
        <v>3</v>
      </c>
      <c r="C3416" s="1" t="str">
        <f>IFERROR(__xludf.DUMMYFUNCTION("GOOGLETRANSLATE(A3416,""en"",""pt-br"")"),"desumano")</f>
        <v>desumano</v>
      </c>
      <c r="D3416" s="1" t="str">
        <f>IFERROR(__xludf.DUMMYFUNCTION("GOOGLETRANSLATE(B3416,""en"",""pt-br"")"),"negativo")</f>
        <v>negativo</v>
      </c>
    </row>
    <row r="3417" ht="15.75" customHeight="1">
      <c r="A3417" s="2" t="s">
        <v>3416</v>
      </c>
      <c r="B3417" s="2" t="s">
        <v>3</v>
      </c>
      <c r="C3417" s="1" t="str">
        <f>IFERROR(__xludf.DUMMYFUNCTION("GOOGLETRANSLATE(A3417,""en"",""pt-br"")"),"desumanidade")</f>
        <v>desumanidade</v>
      </c>
      <c r="D3417" s="1" t="str">
        <f>IFERROR(__xludf.DUMMYFUNCTION("GOOGLETRANSLATE(B3417,""en"",""pt-br"")"),"negativo")</f>
        <v>negativo</v>
      </c>
    </row>
    <row r="3418" ht="15.75" customHeight="1">
      <c r="A3418" s="2" t="s">
        <v>3417</v>
      </c>
      <c r="B3418" s="2" t="s">
        <v>3</v>
      </c>
      <c r="C3418" s="1" t="str">
        <f>IFERROR(__xludf.DUMMYFUNCTION("GOOGLETRANSLATE(A3418,""en"",""pt-br"")"),"hostil")</f>
        <v>hostil</v>
      </c>
      <c r="D3418" s="1" t="str">
        <f>IFERROR(__xludf.DUMMYFUNCTION("GOOGLETRANSLATE(B3418,""en"",""pt-br"")"),"negativo")</f>
        <v>negativo</v>
      </c>
    </row>
    <row r="3419" ht="15.75" customHeight="1">
      <c r="A3419" s="2" t="s">
        <v>3418</v>
      </c>
      <c r="B3419" s="2" t="s">
        <v>3</v>
      </c>
      <c r="C3419" s="1" t="str">
        <f>IFERROR(__xludf.DUMMYFUNCTION("GOOGLETRANSLATE(A3419,""en"",""pt-br"")"),"hostilmente")</f>
        <v>hostilmente</v>
      </c>
      <c r="D3419" s="1" t="str">
        <f>IFERROR(__xludf.DUMMYFUNCTION("GOOGLETRANSLATE(B3419,""en"",""pt-br"")"),"negativo")</f>
        <v>negativo</v>
      </c>
    </row>
    <row r="3420" ht="15.75" customHeight="1">
      <c r="A3420" s="2" t="s">
        <v>3419</v>
      </c>
      <c r="B3420" s="2" t="s">
        <v>3</v>
      </c>
      <c r="C3420" s="1" t="str">
        <f>IFERROR(__xludf.DUMMYFUNCTION("GOOGLETRANSLATE(A3420,""en"",""pt-br"")"),"iníquo")</f>
        <v>iníquo</v>
      </c>
      <c r="D3420" s="1" t="str">
        <f>IFERROR(__xludf.DUMMYFUNCTION("GOOGLETRANSLATE(B3420,""en"",""pt-br"")"),"negativo")</f>
        <v>negativo</v>
      </c>
    </row>
    <row r="3421" ht="15.75" customHeight="1">
      <c r="A3421" s="2" t="s">
        <v>3420</v>
      </c>
      <c r="B3421" s="2" t="s">
        <v>3</v>
      </c>
      <c r="C3421" s="1" t="str">
        <f>IFERROR(__xludf.DUMMYFUNCTION("GOOGLETRANSLATE(A3421,""en"",""pt-br"")"),"iniquidade")</f>
        <v>iniquidade</v>
      </c>
      <c r="D3421" s="1" t="str">
        <f>IFERROR(__xludf.DUMMYFUNCTION("GOOGLETRANSLATE(B3421,""en"",""pt-br"")"),"negativo")</f>
        <v>negativo</v>
      </c>
    </row>
    <row r="3422" ht="15.75" customHeight="1">
      <c r="A3422" s="2" t="s">
        <v>3421</v>
      </c>
      <c r="B3422" s="2" t="s">
        <v>3</v>
      </c>
      <c r="C3422" s="1" t="str">
        <f>IFERROR(__xludf.DUMMYFUNCTION("GOOGLETRANSLATE(A3422,""en"",""pt-br"")"),"imprudente")</f>
        <v>imprudente</v>
      </c>
      <c r="D3422" s="1" t="str">
        <f>IFERROR(__xludf.DUMMYFUNCTION("GOOGLETRANSLATE(B3422,""en"",""pt-br"")"),"negativo")</f>
        <v>negativo</v>
      </c>
    </row>
    <row r="3423" ht="15.75" customHeight="1">
      <c r="A3423" s="2" t="s">
        <v>3422</v>
      </c>
      <c r="B3423" s="2" t="s">
        <v>3</v>
      </c>
      <c r="C3423" s="1" t="str">
        <f>IFERROR(__xludf.DUMMYFUNCTION("GOOGLETRANSLATE(A3423,""en"",""pt-br"")"),"ferir")</f>
        <v>ferir</v>
      </c>
      <c r="D3423" s="1" t="str">
        <f>IFERROR(__xludf.DUMMYFUNCTION("GOOGLETRANSLATE(B3423,""en"",""pt-br"")"),"negativo")</f>
        <v>negativo</v>
      </c>
    </row>
    <row r="3424" ht="15.75" customHeight="1">
      <c r="A3424" s="2" t="s">
        <v>3423</v>
      </c>
      <c r="B3424" s="2" t="s">
        <v>3</v>
      </c>
      <c r="C3424" s="1" t="str">
        <f>IFERROR(__xludf.DUMMYFUNCTION("GOOGLETRANSLATE(A3424,""en"",""pt-br"")"),"prejudicial")</f>
        <v>prejudicial</v>
      </c>
      <c r="D3424" s="1" t="str">
        <f>IFERROR(__xludf.DUMMYFUNCTION("GOOGLETRANSLATE(B3424,""en"",""pt-br"")"),"negativo")</f>
        <v>negativo</v>
      </c>
    </row>
    <row r="3425" ht="15.75" customHeight="1">
      <c r="A3425" s="2" t="s">
        <v>3424</v>
      </c>
      <c r="B3425" s="2" t="s">
        <v>3</v>
      </c>
      <c r="C3425" s="1" t="str">
        <f>IFERROR(__xludf.DUMMYFUNCTION("GOOGLETRANSLATE(A3425,""en"",""pt-br"")"),"ferimentos")</f>
        <v>ferimentos</v>
      </c>
      <c r="D3425" s="1" t="str">
        <f>IFERROR(__xludf.DUMMYFUNCTION("GOOGLETRANSLATE(B3425,""en"",""pt-br"")"),"negativo")</f>
        <v>negativo</v>
      </c>
    </row>
    <row r="3426" ht="15.75" customHeight="1">
      <c r="A3426" s="2" t="s">
        <v>3425</v>
      </c>
      <c r="B3426" s="2" t="s">
        <v>3</v>
      </c>
      <c r="C3426" s="1" t="str">
        <f>IFERROR(__xludf.DUMMYFUNCTION("GOOGLETRANSLATE(A3426,""en"",""pt-br"")"),"injustiça")</f>
        <v>injustiça</v>
      </c>
      <c r="D3426" s="1" t="str">
        <f>IFERROR(__xludf.DUMMYFUNCTION("GOOGLETRANSLATE(B3426,""en"",""pt-br"")"),"negativo")</f>
        <v>negativo</v>
      </c>
    </row>
    <row r="3427" ht="15.75" customHeight="1">
      <c r="A3427" s="2" t="s">
        <v>3426</v>
      </c>
      <c r="B3427" s="2" t="s">
        <v>3</v>
      </c>
      <c r="C3427" s="1" t="str">
        <f>IFERROR(__xludf.DUMMYFUNCTION("GOOGLETRANSLATE(A3427,""en"",""pt-br"")"),"injustiças")</f>
        <v>injustiças</v>
      </c>
      <c r="D3427" s="1" t="str">
        <f>IFERROR(__xludf.DUMMYFUNCTION("GOOGLETRANSLATE(B3427,""en"",""pt-br"")"),"negativo")</f>
        <v>negativo</v>
      </c>
    </row>
    <row r="3428" ht="15.75" customHeight="1">
      <c r="A3428" s="2" t="s">
        <v>3427</v>
      </c>
      <c r="B3428" s="2" t="s">
        <v>14</v>
      </c>
      <c r="C3428" s="1" t="str">
        <f>IFERROR(__xludf.DUMMYFUNCTION("GOOGLETRANSLATE(A3428,""en"",""pt-br"")"),"inócuo")</f>
        <v>inócuo</v>
      </c>
      <c r="D3428" s="1" t="str">
        <f>IFERROR(__xludf.DUMMYFUNCTION("GOOGLETRANSLATE(B3428,""en"",""pt-br"")"),"positivo")</f>
        <v>positivo</v>
      </c>
    </row>
    <row r="3429" ht="15.75" customHeight="1">
      <c r="A3429" s="2" t="s">
        <v>3428</v>
      </c>
      <c r="B3429" s="2" t="s">
        <v>14</v>
      </c>
      <c r="C3429" s="1" t="str">
        <f>IFERROR(__xludf.DUMMYFUNCTION("GOOGLETRANSLATE(A3429,""en"",""pt-br"")"),"inovação")</f>
        <v>inovação</v>
      </c>
      <c r="D3429" s="1" t="str">
        <f>IFERROR(__xludf.DUMMYFUNCTION("GOOGLETRANSLATE(B3429,""en"",""pt-br"")"),"positivo")</f>
        <v>positivo</v>
      </c>
    </row>
    <row r="3430" ht="15.75" customHeight="1">
      <c r="A3430" s="2" t="s">
        <v>3429</v>
      </c>
      <c r="B3430" s="2" t="s">
        <v>14</v>
      </c>
      <c r="C3430" s="1" t="str">
        <f>IFERROR(__xludf.DUMMYFUNCTION("GOOGLETRANSLATE(A3430,""en"",""pt-br"")"),"Inovativa")</f>
        <v>Inovativa</v>
      </c>
      <c r="D3430" s="1" t="str">
        <f>IFERROR(__xludf.DUMMYFUNCTION("GOOGLETRANSLATE(B3430,""en"",""pt-br"")"),"positivo")</f>
        <v>positivo</v>
      </c>
    </row>
    <row r="3431" ht="15.75" customHeight="1">
      <c r="A3431" s="2" t="s">
        <v>3430</v>
      </c>
      <c r="B3431" s="2" t="s">
        <v>3</v>
      </c>
      <c r="C3431" s="1" t="str">
        <f>IFERROR(__xludf.DUMMYFUNCTION("GOOGLETRANSLATE(A3431,""en"",""pt-br"")"),"sugestão")</f>
        <v>sugestão</v>
      </c>
      <c r="D3431" s="1" t="str">
        <f>IFERROR(__xludf.DUMMYFUNCTION("GOOGLETRANSLATE(B3431,""en"",""pt-br"")"),"negativo")</f>
        <v>negativo</v>
      </c>
    </row>
    <row r="3432" ht="15.75" customHeight="1">
      <c r="A3432" s="2" t="s">
        <v>3431</v>
      </c>
      <c r="B3432" s="2" t="s">
        <v>3</v>
      </c>
      <c r="C3432" s="1" t="str">
        <f>IFERROR(__xludf.DUMMYFUNCTION("GOOGLETRANSLATE(A3432,""en"",""pt-br"")"),"inoperável")</f>
        <v>inoperável</v>
      </c>
      <c r="D3432" s="1" t="str">
        <f>IFERROR(__xludf.DUMMYFUNCTION("GOOGLETRANSLATE(B3432,""en"",""pt-br"")"),"negativo")</f>
        <v>negativo</v>
      </c>
    </row>
    <row r="3433" ht="15.75" customHeight="1">
      <c r="A3433" s="2" t="s">
        <v>3432</v>
      </c>
      <c r="B3433" s="2" t="s">
        <v>3</v>
      </c>
      <c r="C3433" s="1" t="str">
        <f>IFERROR(__xludf.DUMMYFUNCTION("GOOGLETRANSLATE(A3433,""en"",""pt-br"")"),"inoportuno")</f>
        <v>inoportuno</v>
      </c>
      <c r="D3433" s="1" t="str">
        <f>IFERROR(__xludf.DUMMYFUNCTION("GOOGLETRANSLATE(B3433,""en"",""pt-br"")"),"negativo")</f>
        <v>negativo</v>
      </c>
    </row>
    <row r="3434" ht="15.75" customHeight="1">
      <c r="A3434" s="2" t="s">
        <v>3433</v>
      </c>
      <c r="B3434" s="2" t="s">
        <v>3</v>
      </c>
      <c r="C3434" s="1" t="str">
        <f>IFERROR(__xludf.DUMMYFUNCTION("GOOGLETRANSLATE(A3434,""en"",""pt-br"")"),"desordenado")</f>
        <v>desordenado</v>
      </c>
      <c r="D3434" s="1" t="str">
        <f>IFERROR(__xludf.DUMMYFUNCTION("GOOGLETRANSLATE(B3434,""en"",""pt-br"")"),"negativo")</f>
        <v>negativo</v>
      </c>
    </row>
    <row r="3435" ht="15.75" customHeight="1">
      <c r="A3435" s="2" t="s">
        <v>3434</v>
      </c>
      <c r="B3435" s="2" t="s">
        <v>3</v>
      </c>
      <c r="C3435" s="1" t="str">
        <f>IFERROR(__xludf.DUMMYFUNCTION("GOOGLETRANSLATE(A3435,""en"",""pt-br"")"),"inordinately")</f>
        <v>inordinately</v>
      </c>
      <c r="D3435" s="1" t="str">
        <f>IFERROR(__xludf.DUMMYFUNCTION("GOOGLETRANSLATE(B3435,""en"",""pt-br"")"),"negativo")</f>
        <v>negativo</v>
      </c>
    </row>
    <row r="3436" ht="15.75" customHeight="1">
      <c r="A3436" s="2" t="s">
        <v>3435</v>
      </c>
      <c r="B3436" s="2" t="s">
        <v>14</v>
      </c>
      <c r="C3436" s="1" t="str">
        <f>IFERROR(__xludf.DUMMYFUNCTION("GOOGLETRANSLATE(A3436,""en"",""pt-br"")"),"inpressed")</f>
        <v>inpressed</v>
      </c>
      <c r="D3436" s="1" t="str">
        <f>IFERROR(__xludf.DUMMYFUNCTION("GOOGLETRANSLATE(B3436,""en"",""pt-br"")"),"positivo")</f>
        <v>positivo</v>
      </c>
    </row>
    <row r="3437" ht="15.75" customHeight="1">
      <c r="A3437" s="2" t="s">
        <v>3436</v>
      </c>
      <c r="B3437" s="2" t="s">
        <v>3</v>
      </c>
      <c r="C3437" s="1" t="str">
        <f>IFERROR(__xludf.DUMMYFUNCTION("GOOGLETRANSLATE(A3437,""en"",""pt-br"")"),"insano")</f>
        <v>insano</v>
      </c>
      <c r="D3437" s="1" t="str">
        <f>IFERROR(__xludf.DUMMYFUNCTION("GOOGLETRANSLATE(B3437,""en"",""pt-br"")"),"negativo")</f>
        <v>negativo</v>
      </c>
    </row>
    <row r="3438" ht="15.75" customHeight="1">
      <c r="A3438" s="2" t="s">
        <v>3437</v>
      </c>
      <c r="B3438" s="2" t="s">
        <v>3</v>
      </c>
      <c r="C3438" s="1" t="str">
        <f>IFERROR(__xludf.DUMMYFUNCTION("GOOGLETRANSLATE(A3438,""en"",""pt-br"")"),"insanamente")</f>
        <v>insanamente</v>
      </c>
      <c r="D3438" s="1" t="str">
        <f>IFERROR(__xludf.DUMMYFUNCTION("GOOGLETRANSLATE(B3438,""en"",""pt-br"")"),"negativo")</f>
        <v>negativo</v>
      </c>
    </row>
    <row r="3439" ht="15.75" customHeight="1">
      <c r="A3439" s="2" t="s">
        <v>3438</v>
      </c>
      <c r="B3439" s="2" t="s">
        <v>3</v>
      </c>
      <c r="C3439" s="1" t="str">
        <f>IFERROR(__xludf.DUMMYFUNCTION("GOOGLETRANSLATE(A3439,""en"",""pt-br"")"),"insanidade")</f>
        <v>insanidade</v>
      </c>
      <c r="D3439" s="1" t="str">
        <f>IFERROR(__xludf.DUMMYFUNCTION("GOOGLETRANSLATE(B3439,""en"",""pt-br"")"),"negativo")</f>
        <v>negativo</v>
      </c>
    </row>
    <row r="3440" ht="15.75" customHeight="1">
      <c r="A3440" s="2" t="s">
        <v>3439</v>
      </c>
      <c r="B3440" s="2" t="s">
        <v>3</v>
      </c>
      <c r="C3440" s="1" t="str">
        <f>IFERROR(__xludf.DUMMYFUNCTION("GOOGLETRANSLATE(A3440,""en"",""pt-br"")"),"insaciável")</f>
        <v>insaciável</v>
      </c>
      <c r="D3440" s="1" t="str">
        <f>IFERROR(__xludf.DUMMYFUNCTION("GOOGLETRANSLATE(B3440,""en"",""pt-br"")"),"negativo")</f>
        <v>negativo</v>
      </c>
    </row>
    <row r="3441" ht="15.75" customHeight="1">
      <c r="A3441" s="2" t="s">
        <v>3440</v>
      </c>
      <c r="B3441" s="2" t="s">
        <v>3</v>
      </c>
      <c r="C3441" s="1" t="str">
        <f>IFERROR(__xludf.DUMMYFUNCTION("GOOGLETRANSLATE(A3441,""en"",""pt-br"")"),"inseguro")</f>
        <v>inseguro</v>
      </c>
      <c r="D3441" s="1" t="str">
        <f>IFERROR(__xludf.DUMMYFUNCTION("GOOGLETRANSLATE(B3441,""en"",""pt-br"")"),"negativo")</f>
        <v>negativo</v>
      </c>
    </row>
    <row r="3442" ht="15.75" customHeight="1">
      <c r="A3442" s="2" t="s">
        <v>3441</v>
      </c>
      <c r="B3442" s="2" t="s">
        <v>3</v>
      </c>
      <c r="C3442" s="1" t="str">
        <f>IFERROR(__xludf.DUMMYFUNCTION("GOOGLETRANSLATE(A3442,""en"",""pt-br"")"),"insegurança")</f>
        <v>insegurança</v>
      </c>
      <c r="D3442" s="1" t="str">
        <f>IFERROR(__xludf.DUMMYFUNCTION("GOOGLETRANSLATE(B3442,""en"",""pt-br"")"),"negativo")</f>
        <v>negativo</v>
      </c>
    </row>
    <row r="3443" ht="15.75" customHeight="1">
      <c r="A3443" s="2" t="s">
        <v>3442</v>
      </c>
      <c r="B3443" s="2" t="s">
        <v>3</v>
      </c>
      <c r="C3443" s="1" t="str">
        <f>IFERROR(__xludf.DUMMYFUNCTION("GOOGLETRANSLATE(A3443,""en"",""pt-br"")"),"insensível")</f>
        <v>insensível</v>
      </c>
      <c r="D3443" s="1" t="str">
        <f>IFERROR(__xludf.DUMMYFUNCTION("GOOGLETRANSLATE(B3443,""en"",""pt-br"")"),"negativo")</f>
        <v>negativo</v>
      </c>
    </row>
    <row r="3444" ht="15.75" customHeight="1">
      <c r="A3444" s="2" t="s">
        <v>3443</v>
      </c>
      <c r="B3444" s="2" t="s">
        <v>3</v>
      </c>
      <c r="C3444" s="1" t="str">
        <f>IFERROR(__xludf.DUMMYFUNCTION("GOOGLETRANSLATE(A3444,""en"",""pt-br"")"),"insensível")</f>
        <v>insensível</v>
      </c>
      <c r="D3444" s="1" t="str">
        <f>IFERROR(__xludf.DUMMYFUNCTION("GOOGLETRANSLATE(B3444,""en"",""pt-br"")"),"negativo")</f>
        <v>negativo</v>
      </c>
    </row>
    <row r="3445" ht="15.75" customHeight="1">
      <c r="A3445" s="2" t="s">
        <v>3444</v>
      </c>
      <c r="B3445" s="2" t="s">
        <v>3</v>
      </c>
      <c r="C3445" s="1" t="str">
        <f>IFERROR(__xludf.DUMMYFUNCTION("GOOGLETRANSLATE(A3445,""en"",""pt-br"")"),"insensitively")</f>
        <v>insensitively</v>
      </c>
      <c r="D3445" s="1" t="str">
        <f>IFERROR(__xludf.DUMMYFUNCTION("GOOGLETRANSLATE(B3445,""en"",""pt-br"")"),"negativo")</f>
        <v>negativo</v>
      </c>
    </row>
    <row r="3446" ht="15.75" customHeight="1">
      <c r="A3446" s="2" t="s">
        <v>3445</v>
      </c>
      <c r="B3446" s="2" t="s">
        <v>3</v>
      </c>
      <c r="C3446" s="1" t="str">
        <f>IFERROR(__xludf.DUMMYFUNCTION("GOOGLETRANSLATE(A3446,""en"",""pt-br"")"),"insensividade")</f>
        <v>insensividade</v>
      </c>
      <c r="D3446" s="1" t="str">
        <f>IFERROR(__xludf.DUMMYFUNCTION("GOOGLETRANSLATE(B3446,""en"",""pt-br"")"),"negativo")</f>
        <v>negativo</v>
      </c>
    </row>
    <row r="3447" ht="15.75" customHeight="1">
      <c r="A3447" s="2" t="s">
        <v>3446</v>
      </c>
      <c r="B3447" s="2" t="s">
        <v>3</v>
      </c>
      <c r="C3447" s="1" t="str">
        <f>IFERROR(__xludf.DUMMYFUNCTION("GOOGLETRANSLATE(A3447,""en"",""pt-br"")"),"insidioso")</f>
        <v>insidioso</v>
      </c>
      <c r="D3447" s="1" t="str">
        <f>IFERROR(__xludf.DUMMYFUNCTION("GOOGLETRANSLATE(B3447,""en"",""pt-br"")"),"negativo")</f>
        <v>negativo</v>
      </c>
    </row>
    <row r="3448" ht="15.75" customHeight="1">
      <c r="A3448" s="2" t="s">
        <v>3447</v>
      </c>
      <c r="B3448" s="2" t="s">
        <v>3</v>
      </c>
      <c r="C3448" s="1" t="str">
        <f>IFERROR(__xludf.DUMMYFUNCTION("GOOGLETRANSLATE(A3448,""en"",""pt-br"")"),"insidiosamente")</f>
        <v>insidiosamente</v>
      </c>
      <c r="D3448" s="1" t="str">
        <f>IFERROR(__xludf.DUMMYFUNCTION("GOOGLETRANSLATE(B3448,""en"",""pt-br"")"),"negativo")</f>
        <v>negativo</v>
      </c>
    </row>
    <row r="3449" ht="15.75" customHeight="1">
      <c r="A3449" s="2" t="s">
        <v>3448</v>
      </c>
      <c r="B3449" s="2" t="s">
        <v>14</v>
      </c>
      <c r="C3449" s="1" t="str">
        <f>IFERROR(__xludf.DUMMYFUNCTION("GOOGLETRANSLATE(A3449,""en"",""pt-br"")"),"perspicaz")</f>
        <v>perspicaz</v>
      </c>
      <c r="D3449" s="1" t="str">
        <f>IFERROR(__xludf.DUMMYFUNCTION("GOOGLETRANSLATE(B3449,""en"",""pt-br"")"),"positivo")</f>
        <v>positivo</v>
      </c>
    </row>
    <row r="3450" ht="15.75" customHeight="1">
      <c r="A3450" s="2" t="s">
        <v>3449</v>
      </c>
      <c r="B3450" s="2" t="s">
        <v>14</v>
      </c>
      <c r="C3450" s="1" t="str">
        <f>IFERROR(__xludf.DUMMYFUNCTION("GOOGLETRANSLATE(A3450,""en"",""pt-br"")"),"insightfully")</f>
        <v>insightfully</v>
      </c>
      <c r="D3450" s="1" t="str">
        <f>IFERROR(__xludf.DUMMYFUNCTION("GOOGLETRANSLATE(B3450,""en"",""pt-br"")"),"positivo")</f>
        <v>positivo</v>
      </c>
    </row>
    <row r="3451" ht="15.75" customHeight="1">
      <c r="A3451" s="2" t="s">
        <v>3450</v>
      </c>
      <c r="B3451" s="2" t="s">
        <v>3</v>
      </c>
      <c r="C3451" s="1" t="str">
        <f>IFERROR(__xludf.DUMMYFUNCTION("GOOGLETRANSLATE(A3451,""en"",""pt-br"")"),"insignificância")</f>
        <v>insignificância</v>
      </c>
      <c r="D3451" s="1" t="str">
        <f>IFERROR(__xludf.DUMMYFUNCTION("GOOGLETRANSLATE(B3451,""en"",""pt-br"")"),"negativo")</f>
        <v>negativo</v>
      </c>
    </row>
    <row r="3452" ht="15.75" customHeight="1">
      <c r="A3452" s="2" t="s">
        <v>3451</v>
      </c>
      <c r="B3452" s="2" t="s">
        <v>3</v>
      </c>
      <c r="C3452" s="1" t="str">
        <f>IFERROR(__xludf.DUMMYFUNCTION("GOOGLETRANSLATE(A3452,""en"",""pt-br"")"),"insignificante")</f>
        <v>insignificante</v>
      </c>
      <c r="D3452" s="1" t="str">
        <f>IFERROR(__xludf.DUMMYFUNCTION("GOOGLETRANSLATE(B3452,""en"",""pt-br"")"),"negativo")</f>
        <v>negativo</v>
      </c>
    </row>
    <row r="3453" ht="15.75" customHeight="1">
      <c r="A3453" s="2" t="s">
        <v>3452</v>
      </c>
      <c r="B3453" s="2" t="s">
        <v>3</v>
      </c>
      <c r="C3453" s="1" t="str">
        <f>IFERROR(__xludf.DUMMYFUNCTION("GOOGLETRANSLATE(A3453,""en"",""pt-br"")"),"insignificantemente")</f>
        <v>insignificantemente</v>
      </c>
      <c r="D3453" s="1" t="str">
        <f>IFERROR(__xludf.DUMMYFUNCTION("GOOGLETRANSLATE(B3453,""en"",""pt-br"")"),"negativo")</f>
        <v>negativo</v>
      </c>
    </row>
    <row r="3454" ht="15.75" customHeight="1">
      <c r="A3454" s="2" t="s">
        <v>3453</v>
      </c>
      <c r="B3454" s="2" t="s">
        <v>3</v>
      </c>
      <c r="C3454" s="1" t="str">
        <f>IFERROR(__xludf.DUMMYFUNCTION("GOOGLETRANSLATE(A3454,""en"",""pt-br"")"),"insincero")</f>
        <v>insincero</v>
      </c>
      <c r="D3454" s="1" t="str">
        <f>IFERROR(__xludf.DUMMYFUNCTION("GOOGLETRANSLATE(B3454,""en"",""pt-br"")"),"negativo")</f>
        <v>negativo</v>
      </c>
    </row>
    <row r="3455" ht="15.75" customHeight="1">
      <c r="A3455" s="2" t="s">
        <v>3454</v>
      </c>
      <c r="B3455" s="2" t="s">
        <v>3</v>
      </c>
      <c r="C3455" s="1" t="str">
        <f>IFERROR(__xludf.DUMMYFUNCTION("GOOGLETRANSLATE(A3455,""en"",""pt-br"")"),"insinceramente")</f>
        <v>insinceramente</v>
      </c>
      <c r="D3455" s="1" t="str">
        <f>IFERROR(__xludf.DUMMYFUNCTION("GOOGLETRANSLATE(B3455,""en"",""pt-br"")"),"negativo")</f>
        <v>negativo</v>
      </c>
    </row>
    <row r="3456" ht="15.75" customHeight="1">
      <c r="A3456" s="2" t="s">
        <v>3455</v>
      </c>
      <c r="B3456" s="2" t="s">
        <v>3</v>
      </c>
      <c r="C3456" s="1" t="str">
        <f>IFERROR(__xludf.DUMMYFUNCTION("GOOGLETRANSLATE(A3456,""en"",""pt-br"")"),"insinceridade")</f>
        <v>insinceridade</v>
      </c>
      <c r="D3456" s="1" t="str">
        <f>IFERROR(__xludf.DUMMYFUNCTION("GOOGLETRANSLATE(B3456,""en"",""pt-br"")"),"negativo")</f>
        <v>negativo</v>
      </c>
    </row>
    <row r="3457" ht="15.75" customHeight="1">
      <c r="A3457" s="2" t="s">
        <v>3456</v>
      </c>
      <c r="B3457" s="2" t="s">
        <v>3</v>
      </c>
      <c r="C3457" s="1" t="str">
        <f>IFERROR(__xludf.DUMMYFUNCTION("GOOGLETRANSLATE(A3457,""en"",""pt-br"")"),"insinuar")</f>
        <v>insinuar</v>
      </c>
      <c r="D3457" s="1" t="str">
        <f>IFERROR(__xludf.DUMMYFUNCTION("GOOGLETRANSLATE(B3457,""en"",""pt-br"")"),"negativo")</f>
        <v>negativo</v>
      </c>
    </row>
    <row r="3458" ht="15.75" customHeight="1">
      <c r="A3458" s="2" t="s">
        <v>3457</v>
      </c>
      <c r="B3458" s="2" t="s">
        <v>3</v>
      </c>
      <c r="C3458" s="1" t="str">
        <f>IFERROR(__xludf.DUMMYFUNCTION("GOOGLETRANSLATE(A3458,""en"",""pt-br"")"),"insinuante")</f>
        <v>insinuante</v>
      </c>
      <c r="D3458" s="1" t="str">
        <f>IFERROR(__xludf.DUMMYFUNCTION("GOOGLETRANSLATE(B3458,""en"",""pt-br"")"),"negativo")</f>
        <v>negativo</v>
      </c>
    </row>
    <row r="3459" ht="15.75" customHeight="1">
      <c r="A3459" s="2" t="s">
        <v>3458</v>
      </c>
      <c r="B3459" s="2" t="s">
        <v>3</v>
      </c>
      <c r="C3459" s="1" t="str">
        <f>IFERROR(__xludf.DUMMYFUNCTION("GOOGLETRANSLATE(A3459,""en"",""pt-br"")"),"insinuação")</f>
        <v>insinuação</v>
      </c>
      <c r="D3459" s="1" t="str">
        <f>IFERROR(__xludf.DUMMYFUNCTION("GOOGLETRANSLATE(B3459,""en"",""pt-br"")"),"negativo")</f>
        <v>negativo</v>
      </c>
    </row>
    <row r="3460" ht="15.75" customHeight="1">
      <c r="A3460" s="2" t="s">
        <v>3459</v>
      </c>
      <c r="B3460" s="2" t="s">
        <v>3</v>
      </c>
      <c r="C3460" s="1" t="str">
        <f>IFERROR(__xludf.DUMMYFUNCTION("GOOGLETRANSLATE(A3460,""en"",""pt-br"")"),"insociable")</f>
        <v>insociable</v>
      </c>
      <c r="D3460" s="1" t="str">
        <f>IFERROR(__xludf.DUMMYFUNCTION("GOOGLETRANSLATE(B3460,""en"",""pt-br"")"),"negativo")</f>
        <v>negativo</v>
      </c>
    </row>
    <row r="3461" ht="15.75" customHeight="1">
      <c r="A3461" s="2" t="s">
        <v>3460</v>
      </c>
      <c r="B3461" s="2" t="s">
        <v>3</v>
      </c>
      <c r="C3461" s="1" t="str">
        <f>IFERROR(__xludf.DUMMYFUNCTION("GOOGLETRANSLATE(A3461,""en"",""pt-br"")"),"insolência")</f>
        <v>insolência</v>
      </c>
      <c r="D3461" s="1" t="str">
        <f>IFERROR(__xludf.DUMMYFUNCTION("GOOGLETRANSLATE(B3461,""en"",""pt-br"")"),"negativo")</f>
        <v>negativo</v>
      </c>
    </row>
    <row r="3462" ht="15.75" customHeight="1">
      <c r="A3462" s="2" t="s">
        <v>3461</v>
      </c>
      <c r="B3462" s="2" t="s">
        <v>3</v>
      </c>
      <c r="C3462" s="1" t="str">
        <f>IFERROR(__xludf.DUMMYFUNCTION("GOOGLETRANSLATE(A3462,""en"",""pt-br"")"),"insolente")</f>
        <v>insolente</v>
      </c>
      <c r="D3462" s="1" t="str">
        <f>IFERROR(__xludf.DUMMYFUNCTION("GOOGLETRANSLATE(B3462,""en"",""pt-br"")"),"negativo")</f>
        <v>negativo</v>
      </c>
    </row>
    <row r="3463" ht="15.75" customHeight="1">
      <c r="A3463" s="2" t="s">
        <v>3462</v>
      </c>
      <c r="B3463" s="2" t="s">
        <v>3</v>
      </c>
      <c r="C3463" s="1" t="str">
        <f>IFERROR(__xludf.DUMMYFUNCTION("GOOGLETRANSLATE(A3463,""en"",""pt-br"")"),"insolentemente")</f>
        <v>insolentemente</v>
      </c>
      <c r="D3463" s="1" t="str">
        <f>IFERROR(__xludf.DUMMYFUNCTION("GOOGLETRANSLATE(B3463,""en"",""pt-br"")"),"negativo")</f>
        <v>negativo</v>
      </c>
    </row>
    <row r="3464" ht="15.75" customHeight="1">
      <c r="A3464" s="2" t="s">
        <v>3463</v>
      </c>
      <c r="B3464" s="2" t="s">
        <v>3</v>
      </c>
      <c r="C3464" s="1" t="str">
        <f>IFERROR(__xludf.DUMMYFUNCTION("GOOGLETRANSLATE(A3464,""en"",""pt-br"")"),"insolvente")</f>
        <v>insolvente</v>
      </c>
      <c r="D3464" s="1" t="str">
        <f>IFERROR(__xludf.DUMMYFUNCTION("GOOGLETRANSLATE(B3464,""en"",""pt-br"")"),"negativo")</f>
        <v>negativo</v>
      </c>
    </row>
    <row r="3465" ht="15.75" customHeight="1">
      <c r="A3465" s="2" t="s">
        <v>3464</v>
      </c>
      <c r="B3465" s="2" t="s">
        <v>3</v>
      </c>
      <c r="C3465" s="1" t="str">
        <f>IFERROR(__xludf.DUMMYFUNCTION("GOOGLETRANSLATE(A3465,""en"",""pt-br"")"),"despreocupação")</f>
        <v>despreocupação</v>
      </c>
      <c r="D3465" s="1" t="str">
        <f>IFERROR(__xludf.DUMMYFUNCTION("GOOGLETRANSLATE(B3465,""en"",""pt-br"")"),"negativo")</f>
        <v>negativo</v>
      </c>
    </row>
    <row r="3466" ht="15.75" customHeight="1">
      <c r="A3466" s="2" t="s">
        <v>3465</v>
      </c>
      <c r="B3466" s="2" t="s">
        <v>14</v>
      </c>
      <c r="C3466" s="1" t="str">
        <f>IFERROR(__xludf.DUMMYFUNCTION("GOOGLETRANSLATE(A3466,""en"",""pt-br"")"),"inspiração")</f>
        <v>inspiração</v>
      </c>
      <c r="D3466" s="1" t="str">
        <f>IFERROR(__xludf.DUMMYFUNCTION("GOOGLETRANSLATE(B3466,""en"",""pt-br"")"),"positivo")</f>
        <v>positivo</v>
      </c>
    </row>
    <row r="3467" ht="15.75" customHeight="1">
      <c r="A3467" s="2" t="s">
        <v>3466</v>
      </c>
      <c r="B3467" s="2" t="s">
        <v>14</v>
      </c>
      <c r="C3467" s="1" t="str">
        <f>IFERROR(__xludf.DUMMYFUNCTION("GOOGLETRANSLATE(A3467,""en"",""pt-br"")"),"Inspirado")</f>
        <v>Inspirado</v>
      </c>
      <c r="D3467" s="1" t="str">
        <f>IFERROR(__xludf.DUMMYFUNCTION("GOOGLETRANSLATE(B3467,""en"",""pt-br"")"),"positivo")</f>
        <v>positivo</v>
      </c>
    </row>
    <row r="3468" ht="15.75" customHeight="1">
      <c r="A3468" s="2" t="s">
        <v>3467</v>
      </c>
      <c r="B3468" s="2" t="s">
        <v>14</v>
      </c>
      <c r="C3468" s="1" t="str">
        <f>IFERROR(__xludf.DUMMYFUNCTION("GOOGLETRANSLATE(A3468,""en"",""pt-br"")"),"inspirar")</f>
        <v>inspirar</v>
      </c>
      <c r="D3468" s="1" t="str">
        <f>IFERROR(__xludf.DUMMYFUNCTION("GOOGLETRANSLATE(B3468,""en"",""pt-br"")"),"positivo")</f>
        <v>positivo</v>
      </c>
    </row>
    <row r="3469" ht="15.75" customHeight="1">
      <c r="A3469" s="2" t="s">
        <v>3468</v>
      </c>
      <c r="B3469" s="2" t="s">
        <v>14</v>
      </c>
      <c r="C3469" s="1" t="str">
        <f>IFERROR(__xludf.DUMMYFUNCTION("GOOGLETRANSLATE(A3469,""en"",""pt-br"")"),"inspirador")</f>
        <v>inspirador</v>
      </c>
      <c r="D3469" s="1" t="str">
        <f>IFERROR(__xludf.DUMMYFUNCTION("GOOGLETRANSLATE(B3469,""en"",""pt-br"")"),"positivo")</f>
        <v>positivo</v>
      </c>
    </row>
    <row r="3470" ht="15.75" customHeight="1">
      <c r="A3470" s="2" t="s">
        <v>3469</v>
      </c>
      <c r="B3470" s="2" t="s">
        <v>3</v>
      </c>
      <c r="C3470" s="1" t="str">
        <f>IFERROR(__xludf.DUMMYFUNCTION("GOOGLETRANSLATE(A3470,""en"",""pt-br"")"),"instabilidade")</f>
        <v>instabilidade</v>
      </c>
      <c r="D3470" s="1" t="str">
        <f>IFERROR(__xludf.DUMMYFUNCTION("GOOGLETRANSLATE(B3470,""en"",""pt-br"")"),"negativo")</f>
        <v>negativo</v>
      </c>
    </row>
    <row r="3471" ht="15.75" customHeight="1">
      <c r="A3471" s="2" t="s">
        <v>3470</v>
      </c>
      <c r="B3471" s="2" t="s">
        <v>3</v>
      </c>
      <c r="C3471" s="1" t="str">
        <f>IFERROR(__xludf.DUMMYFUNCTION("GOOGLETRANSLATE(A3471,""en"",""pt-br"")"),"instável")</f>
        <v>instável</v>
      </c>
      <c r="D3471" s="1" t="str">
        <f>IFERROR(__xludf.DUMMYFUNCTION("GOOGLETRANSLATE(B3471,""en"",""pt-br"")"),"negativo")</f>
        <v>negativo</v>
      </c>
    </row>
    <row r="3472" ht="15.75" customHeight="1">
      <c r="A3472" s="2" t="s">
        <v>3471</v>
      </c>
      <c r="B3472" s="2" t="s">
        <v>14</v>
      </c>
      <c r="C3472" s="1" t="str">
        <f>IFERROR(__xludf.DUMMYFUNCTION("GOOGLETRANSLATE(A3472,""en"",""pt-br"")"),"imediatamente")</f>
        <v>imediatamente</v>
      </c>
      <c r="D3472" s="1" t="str">
        <f>IFERROR(__xludf.DUMMYFUNCTION("GOOGLETRANSLATE(B3472,""en"",""pt-br"")"),"positivo")</f>
        <v>positivo</v>
      </c>
    </row>
    <row r="3473" ht="15.75" customHeight="1">
      <c r="A3473" s="2" t="s">
        <v>3472</v>
      </c>
      <c r="B3473" s="2" t="s">
        <v>3</v>
      </c>
      <c r="C3473" s="1" t="str">
        <f>IFERROR(__xludf.DUMMYFUNCTION("GOOGLETRANSLATE(A3473,""en"",""pt-br"")"),"instigar")</f>
        <v>instigar</v>
      </c>
      <c r="D3473" s="1" t="str">
        <f>IFERROR(__xludf.DUMMYFUNCTION("GOOGLETRANSLATE(B3473,""en"",""pt-br"")"),"negativo")</f>
        <v>negativo</v>
      </c>
    </row>
    <row r="3474" ht="15.75" customHeight="1">
      <c r="A3474" s="2" t="s">
        <v>3473</v>
      </c>
      <c r="B3474" s="2" t="s">
        <v>3</v>
      </c>
      <c r="C3474" s="1" t="str">
        <f>IFERROR(__xludf.DUMMYFUNCTION("GOOGLETRANSLATE(A3474,""en"",""pt-br"")"),"instigador")</f>
        <v>instigador</v>
      </c>
      <c r="D3474" s="1" t="str">
        <f>IFERROR(__xludf.DUMMYFUNCTION("GOOGLETRANSLATE(B3474,""en"",""pt-br"")"),"negativo")</f>
        <v>negativo</v>
      </c>
    </row>
    <row r="3475" ht="15.75" customHeight="1">
      <c r="A3475" s="2" t="s">
        <v>3474</v>
      </c>
      <c r="B3475" s="2" t="s">
        <v>3</v>
      </c>
      <c r="C3475" s="1" t="str">
        <f>IFERROR(__xludf.DUMMYFUNCTION("GOOGLETRANSLATE(A3475,""en"",""pt-br"")"),"instigadores")</f>
        <v>instigadores</v>
      </c>
      <c r="D3475" s="1" t="str">
        <f>IFERROR(__xludf.DUMMYFUNCTION("GOOGLETRANSLATE(B3475,""en"",""pt-br"")"),"negativo")</f>
        <v>negativo</v>
      </c>
    </row>
    <row r="3476" ht="15.75" customHeight="1">
      <c r="A3476" s="2" t="s">
        <v>3475</v>
      </c>
      <c r="B3476" s="2" t="s">
        <v>14</v>
      </c>
      <c r="C3476" s="1" t="str">
        <f>IFERROR(__xludf.DUMMYFUNCTION("GOOGLETRANSLATE(A3476,""en"",""pt-br"")"),"instrutivo")</f>
        <v>instrutivo</v>
      </c>
      <c r="D3476" s="1" t="str">
        <f>IFERROR(__xludf.DUMMYFUNCTION("GOOGLETRANSLATE(B3476,""en"",""pt-br"")"),"positivo")</f>
        <v>positivo</v>
      </c>
    </row>
    <row r="3477" ht="15.75" customHeight="1">
      <c r="A3477" s="2" t="s">
        <v>3476</v>
      </c>
      <c r="B3477" s="2" t="s">
        <v>14</v>
      </c>
      <c r="C3477" s="1" t="str">
        <f>IFERROR(__xludf.DUMMYFUNCTION("GOOGLETRANSLATE(A3477,""en"",""pt-br"")"),"instrumental")</f>
        <v>instrumental</v>
      </c>
      <c r="D3477" s="1" t="str">
        <f>IFERROR(__xludf.DUMMYFUNCTION("GOOGLETRANSLATE(B3477,""en"",""pt-br"")"),"positivo")</f>
        <v>positivo</v>
      </c>
    </row>
    <row r="3478" ht="15.75" customHeight="1">
      <c r="A3478" s="2" t="s">
        <v>3477</v>
      </c>
      <c r="B3478" s="2" t="s">
        <v>3</v>
      </c>
      <c r="C3478" s="1" t="str">
        <f>IFERROR(__xludf.DUMMYFUNCTION("GOOGLETRANSLATE(A3478,""en"",""pt-br"")"),"insubordinado")</f>
        <v>insubordinado</v>
      </c>
      <c r="D3478" s="1" t="str">
        <f>IFERROR(__xludf.DUMMYFUNCTION("GOOGLETRANSLATE(B3478,""en"",""pt-br"")"),"negativo")</f>
        <v>negativo</v>
      </c>
    </row>
    <row r="3479" ht="15.75" customHeight="1">
      <c r="A3479" s="2" t="s">
        <v>3478</v>
      </c>
      <c r="B3479" s="2" t="s">
        <v>3</v>
      </c>
      <c r="C3479" s="1" t="str">
        <f>IFERROR(__xludf.DUMMYFUNCTION("GOOGLETRANSLATE(A3479,""en"",""pt-br"")"),"insubstancial")</f>
        <v>insubstancial</v>
      </c>
      <c r="D3479" s="1" t="str">
        <f>IFERROR(__xludf.DUMMYFUNCTION("GOOGLETRANSLATE(B3479,""en"",""pt-br"")"),"negativo")</f>
        <v>negativo</v>
      </c>
    </row>
    <row r="3480" ht="15.75" customHeight="1">
      <c r="A3480" s="2" t="s">
        <v>3479</v>
      </c>
      <c r="B3480" s="2" t="s">
        <v>3</v>
      </c>
      <c r="C3480" s="1" t="str">
        <f>IFERROR(__xludf.DUMMYFUNCTION("GOOGLETRANSLATE(A3480,""en"",""pt-br"")"),"insubstancialmente")</f>
        <v>insubstancialmente</v>
      </c>
      <c r="D3480" s="1" t="str">
        <f>IFERROR(__xludf.DUMMYFUNCTION("GOOGLETRANSLATE(B3480,""en"",""pt-br"")"),"negativo")</f>
        <v>negativo</v>
      </c>
    </row>
    <row r="3481" ht="15.75" customHeight="1">
      <c r="A3481" s="2" t="s">
        <v>3480</v>
      </c>
      <c r="B3481" s="2" t="s">
        <v>3</v>
      </c>
      <c r="C3481" s="1" t="str">
        <f>IFERROR(__xludf.DUMMYFUNCTION("GOOGLETRANSLATE(A3481,""en"",""pt-br"")"),"insuportável")</f>
        <v>insuportável</v>
      </c>
      <c r="D3481" s="1" t="str">
        <f>IFERROR(__xludf.DUMMYFUNCTION("GOOGLETRANSLATE(B3481,""en"",""pt-br"")"),"negativo")</f>
        <v>negativo</v>
      </c>
    </row>
    <row r="3482" ht="15.75" customHeight="1">
      <c r="A3482" s="2" t="s">
        <v>3481</v>
      </c>
      <c r="B3482" s="2" t="s">
        <v>3</v>
      </c>
      <c r="C3482" s="1" t="str">
        <f>IFERROR(__xludf.DUMMYFUNCTION("GOOGLETRANSLATE(A3482,""en"",""pt-br"")"),"insuportavelmente")</f>
        <v>insuportavelmente</v>
      </c>
      <c r="D3482" s="1" t="str">
        <f>IFERROR(__xludf.DUMMYFUNCTION("GOOGLETRANSLATE(B3482,""en"",""pt-br"")"),"negativo")</f>
        <v>negativo</v>
      </c>
    </row>
    <row r="3483" ht="15.75" customHeight="1">
      <c r="A3483" s="2" t="s">
        <v>3482</v>
      </c>
      <c r="B3483" s="2" t="s">
        <v>3</v>
      </c>
      <c r="C3483" s="1" t="str">
        <f>IFERROR(__xludf.DUMMYFUNCTION("GOOGLETRANSLATE(A3483,""en"",""pt-br"")"),"insuficiência")</f>
        <v>insuficiência</v>
      </c>
      <c r="D3483" s="1" t="str">
        <f>IFERROR(__xludf.DUMMYFUNCTION("GOOGLETRANSLATE(B3483,""en"",""pt-br"")"),"negativo")</f>
        <v>negativo</v>
      </c>
    </row>
    <row r="3484" ht="15.75" customHeight="1">
      <c r="A3484" s="2" t="s">
        <v>3483</v>
      </c>
      <c r="B3484" s="2" t="s">
        <v>3</v>
      </c>
      <c r="C3484" s="1" t="str">
        <f>IFERROR(__xludf.DUMMYFUNCTION("GOOGLETRANSLATE(A3484,""en"",""pt-br"")"),"insuficiente")</f>
        <v>insuficiente</v>
      </c>
      <c r="D3484" s="1" t="str">
        <f>IFERROR(__xludf.DUMMYFUNCTION("GOOGLETRANSLATE(B3484,""en"",""pt-br"")"),"negativo")</f>
        <v>negativo</v>
      </c>
    </row>
    <row r="3485" ht="15.75" customHeight="1">
      <c r="A3485" s="2" t="s">
        <v>3484</v>
      </c>
      <c r="B3485" s="2" t="s">
        <v>3</v>
      </c>
      <c r="C3485" s="1" t="str">
        <f>IFERROR(__xludf.DUMMYFUNCTION("GOOGLETRANSLATE(A3485,""en"",""pt-br"")"),"insuficientemente")</f>
        <v>insuficientemente</v>
      </c>
      <c r="D3485" s="1" t="str">
        <f>IFERROR(__xludf.DUMMYFUNCTION("GOOGLETRANSLATE(B3485,""en"",""pt-br"")"),"negativo")</f>
        <v>negativo</v>
      </c>
    </row>
    <row r="3486" ht="15.75" customHeight="1">
      <c r="A3486" s="2" t="s">
        <v>3485</v>
      </c>
      <c r="B3486" s="2" t="s">
        <v>3</v>
      </c>
      <c r="C3486" s="1" t="str">
        <f>IFERROR(__xludf.DUMMYFUNCTION("GOOGLETRANSLATE(A3486,""en"",""pt-br"")"),"insular")</f>
        <v>insular</v>
      </c>
      <c r="D3486" s="1" t="str">
        <f>IFERROR(__xludf.DUMMYFUNCTION("GOOGLETRANSLATE(B3486,""en"",""pt-br"")"),"negativo")</f>
        <v>negativo</v>
      </c>
    </row>
    <row r="3487" ht="15.75" customHeight="1">
      <c r="A3487" s="2" t="s">
        <v>3486</v>
      </c>
      <c r="B3487" s="2" t="s">
        <v>3</v>
      </c>
      <c r="C3487" s="1" t="str">
        <f>IFERROR(__xludf.DUMMYFUNCTION("GOOGLETRANSLATE(A3487,""en"",""pt-br"")"),"insulto")</f>
        <v>insulto</v>
      </c>
      <c r="D3487" s="1" t="str">
        <f>IFERROR(__xludf.DUMMYFUNCTION("GOOGLETRANSLATE(B3487,""en"",""pt-br"")"),"negativo")</f>
        <v>negativo</v>
      </c>
    </row>
    <row r="3488" ht="15.75" customHeight="1">
      <c r="A3488" s="2" t="s">
        <v>3487</v>
      </c>
      <c r="B3488" s="2" t="s">
        <v>3</v>
      </c>
      <c r="C3488" s="1" t="str">
        <f>IFERROR(__xludf.DUMMYFUNCTION("GOOGLETRANSLATE(A3488,""en"",""pt-br"")"),"insultado")</f>
        <v>insultado</v>
      </c>
      <c r="D3488" s="1" t="str">
        <f>IFERROR(__xludf.DUMMYFUNCTION("GOOGLETRANSLATE(B3488,""en"",""pt-br"")"),"negativo")</f>
        <v>negativo</v>
      </c>
    </row>
    <row r="3489" ht="15.75" customHeight="1">
      <c r="A3489" s="2" t="s">
        <v>3488</v>
      </c>
      <c r="B3489" s="2" t="s">
        <v>3</v>
      </c>
      <c r="C3489" s="1" t="str">
        <f>IFERROR(__xludf.DUMMYFUNCTION("GOOGLETRANSLATE(A3489,""en"",""pt-br"")"),"insultando")</f>
        <v>insultando</v>
      </c>
      <c r="D3489" s="1" t="str">
        <f>IFERROR(__xludf.DUMMYFUNCTION("GOOGLETRANSLATE(B3489,""en"",""pt-br"")"),"negativo")</f>
        <v>negativo</v>
      </c>
    </row>
    <row r="3490" ht="15.75" customHeight="1">
      <c r="A3490" s="2" t="s">
        <v>3489</v>
      </c>
      <c r="B3490" s="2" t="s">
        <v>3</v>
      </c>
      <c r="C3490" s="1" t="str">
        <f>IFERROR(__xludf.DUMMYFUNCTION("GOOGLETRANSLATE(A3490,""en"",""pt-br"")"),"insultingly")</f>
        <v>insultingly</v>
      </c>
      <c r="D3490" s="1" t="str">
        <f>IFERROR(__xludf.DUMMYFUNCTION("GOOGLETRANSLATE(B3490,""en"",""pt-br"")"),"negativo")</f>
        <v>negativo</v>
      </c>
    </row>
    <row r="3491" ht="15.75" customHeight="1">
      <c r="A3491" s="2" t="s">
        <v>3490</v>
      </c>
      <c r="B3491" s="2" t="s">
        <v>3</v>
      </c>
      <c r="C3491" s="1" t="str">
        <f>IFERROR(__xludf.DUMMYFUNCTION("GOOGLETRANSLATE(A3491,""en"",""pt-br"")"),"insultos")</f>
        <v>insultos</v>
      </c>
      <c r="D3491" s="1" t="str">
        <f>IFERROR(__xludf.DUMMYFUNCTION("GOOGLETRANSLATE(B3491,""en"",""pt-br"")"),"negativo")</f>
        <v>negativo</v>
      </c>
    </row>
    <row r="3492" ht="15.75" customHeight="1">
      <c r="A3492" s="2" t="s">
        <v>3491</v>
      </c>
      <c r="B3492" s="2" t="s">
        <v>3</v>
      </c>
      <c r="C3492" s="1" t="str">
        <f>IFERROR(__xludf.DUMMYFUNCTION("GOOGLETRANSLATE(A3492,""en"",""pt-br"")"),"insuportável")</f>
        <v>insuportável</v>
      </c>
      <c r="D3492" s="1" t="str">
        <f>IFERROR(__xludf.DUMMYFUNCTION("GOOGLETRANSLATE(B3492,""en"",""pt-br"")"),"negativo")</f>
        <v>negativo</v>
      </c>
    </row>
    <row r="3493" ht="15.75" customHeight="1">
      <c r="A3493" s="2" t="s">
        <v>3492</v>
      </c>
      <c r="B3493" s="2" t="s">
        <v>3</v>
      </c>
      <c r="C3493" s="1" t="str">
        <f>IFERROR(__xludf.DUMMYFUNCTION("GOOGLETRANSLATE(A3493,""en"",""pt-br"")"),"insuportavelmente")</f>
        <v>insuportavelmente</v>
      </c>
      <c r="D3493" s="1" t="str">
        <f>IFERROR(__xludf.DUMMYFUNCTION("GOOGLETRANSLATE(B3493,""en"",""pt-br"")"),"negativo")</f>
        <v>negativo</v>
      </c>
    </row>
    <row r="3494" ht="15.75" customHeight="1">
      <c r="A3494" s="2" t="s">
        <v>3493</v>
      </c>
      <c r="B3494" s="2" t="s">
        <v>3</v>
      </c>
      <c r="C3494" s="1" t="str">
        <f>IFERROR(__xludf.DUMMYFUNCTION("GOOGLETRANSLATE(A3494,""en"",""pt-br"")"),"intransponível")</f>
        <v>intransponível</v>
      </c>
      <c r="D3494" s="1" t="str">
        <f>IFERROR(__xludf.DUMMYFUNCTION("GOOGLETRANSLATE(B3494,""en"",""pt-br"")"),"negativo")</f>
        <v>negativo</v>
      </c>
    </row>
    <row r="3495" ht="15.75" customHeight="1">
      <c r="A3495" s="2" t="s">
        <v>3494</v>
      </c>
      <c r="B3495" s="2" t="s">
        <v>3</v>
      </c>
      <c r="C3495" s="1" t="str">
        <f>IFERROR(__xludf.DUMMYFUNCTION("GOOGLETRANSLATE(A3495,""en"",""pt-br"")"),"insurmountably")</f>
        <v>insurmountably</v>
      </c>
      <c r="D3495" s="1" t="str">
        <f>IFERROR(__xludf.DUMMYFUNCTION("GOOGLETRANSLATE(B3495,""en"",""pt-br"")"),"negativo")</f>
        <v>negativo</v>
      </c>
    </row>
    <row r="3496" ht="15.75" customHeight="1">
      <c r="A3496" s="2" t="s">
        <v>3495</v>
      </c>
      <c r="B3496" s="2" t="s">
        <v>3</v>
      </c>
      <c r="C3496" s="1" t="str">
        <f>IFERROR(__xludf.DUMMYFUNCTION("GOOGLETRANSLATE(A3496,""en"",""pt-br"")"),"insurreição")</f>
        <v>insurreição</v>
      </c>
      <c r="D3496" s="1" t="str">
        <f>IFERROR(__xludf.DUMMYFUNCTION("GOOGLETRANSLATE(B3496,""en"",""pt-br"")"),"negativo")</f>
        <v>negativo</v>
      </c>
    </row>
    <row r="3497" ht="15.75" customHeight="1">
      <c r="A3497" s="2" t="s">
        <v>3496</v>
      </c>
      <c r="B3497" s="2" t="s">
        <v>3</v>
      </c>
      <c r="C3497" s="1" t="str">
        <f>IFERROR(__xludf.DUMMYFUNCTION("GOOGLETRANSLATE(A3497,""en"",""pt-br"")"),"intefere")</f>
        <v>intefere</v>
      </c>
      <c r="D3497" s="1" t="str">
        <f>IFERROR(__xludf.DUMMYFUNCTION("GOOGLETRANSLATE(B3497,""en"",""pt-br"")"),"negativo")</f>
        <v>negativo</v>
      </c>
    </row>
    <row r="3498" ht="15.75" customHeight="1">
      <c r="A3498" s="2" t="s">
        <v>3497</v>
      </c>
      <c r="B3498" s="2" t="s">
        <v>3</v>
      </c>
      <c r="C3498" s="1" t="str">
        <f>IFERROR(__xludf.DUMMYFUNCTION("GOOGLETRANSLATE(A3498,""en"",""pt-br"")"),"inteferes")</f>
        <v>inteferes</v>
      </c>
      <c r="D3498" s="1" t="str">
        <f>IFERROR(__xludf.DUMMYFUNCTION("GOOGLETRANSLATE(B3498,""en"",""pt-br"")"),"negativo")</f>
        <v>negativo</v>
      </c>
    </row>
    <row r="3499" ht="15.75" customHeight="1">
      <c r="A3499" s="2" t="s">
        <v>3498</v>
      </c>
      <c r="B3499" s="2" t="s">
        <v>14</v>
      </c>
      <c r="C3499" s="1" t="str">
        <f>IFERROR(__xludf.DUMMYFUNCTION("GOOGLETRANSLATE(A3499,""en"",""pt-br"")"),"integrante")</f>
        <v>integrante</v>
      </c>
      <c r="D3499" s="1" t="str">
        <f>IFERROR(__xludf.DUMMYFUNCTION("GOOGLETRANSLATE(B3499,""en"",""pt-br"")"),"positivo")</f>
        <v>positivo</v>
      </c>
    </row>
    <row r="3500" ht="15.75" customHeight="1">
      <c r="A3500" s="2" t="s">
        <v>3499</v>
      </c>
      <c r="B3500" s="2" t="s">
        <v>14</v>
      </c>
      <c r="C3500" s="1" t="str">
        <f>IFERROR(__xludf.DUMMYFUNCTION("GOOGLETRANSLATE(A3500,""en"",""pt-br"")"),"integrado")</f>
        <v>integrado</v>
      </c>
      <c r="D3500" s="1" t="str">
        <f>IFERROR(__xludf.DUMMYFUNCTION("GOOGLETRANSLATE(B3500,""en"",""pt-br"")"),"positivo")</f>
        <v>positivo</v>
      </c>
    </row>
    <row r="3501" ht="15.75" customHeight="1">
      <c r="A3501" s="2" t="s">
        <v>3500</v>
      </c>
      <c r="B3501" s="2" t="s">
        <v>14</v>
      </c>
      <c r="C3501" s="1" t="str">
        <f>IFERROR(__xludf.DUMMYFUNCTION("GOOGLETRANSLATE(A3501,""en"",""pt-br"")"),"inteligência")</f>
        <v>inteligência</v>
      </c>
      <c r="D3501" s="1" t="str">
        <f>IFERROR(__xludf.DUMMYFUNCTION("GOOGLETRANSLATE(B3501,""en"",""pt-br"")"),"positivo")</f>
        <v>positivo</v>
      </c>
    </row>
    <row r="3502" ht="15.75" customHeight="1">
      <c r="A3502" s="2" t="s">
        <v>3501</v>
      </c>
      <c r="B3502" s="2" t="s">
        <v>14</v>
      </c>
      <c r="C3502" s="1" t="str">
        <f>IFERROR(__xludf.DUMMYFUNCTION("GOOGLETRANSLATE(A3502,""en"",""pt-br"")"),"inteligente")</f>
        <v>inteligente</v>
      </c>
      <c r="D3502" s="1" t="str">
        <f>IFERROR(__xludf.DUMMYFUNCTION("GOOGLETRANSLATE(B3502,""en"",""pt-br"")"),"positivo")</f>
        <v>positivo</v>
      </c>
    </row>
    <row r="3503" ht="15.75" customHeight="1">
      <c r="A3503" s="2" t="s">
        <v>3502</v>
      </c>
      <c r="B3503" s="2" t="s">
        <v>14</v>
      </c>
      <c r="C3503" s="1" t="str">
        <f>IFERROR(__xludf.DUMMYFUNCTION("GOOGLETRANSLATE(A3503,""en"",""pt-br"")"),"inteligível")</f>
        <v>inteligível</v>
      </c>
      <c r="D3503" s="1" t="str">
        <f>IFERROR(__xludf.DUMMYFUNCTION("GOOGLETRANSLATE(B3503,""en"",""pt-br"")"),"positivo")</f>
        <v>positivo</v>
      </c>
    </row>
    <row r="3504" ht="15.75" customHeight="1">
      <c r="A3504" s="2" t="s">
        <v>3503</v>
      </c>
      <c r="B3504" s="2" t="s">
        <v>3</v>
      </c>
      <c r="C3504" s="1" t="str">
        <f>IFERROR(__xludf.DUMMYFUNCTION("GOOGLETRANSLATE(A3504,""en"",""pt-br"")"),"intenso")</f>
        <v>intenso</v>
      </c>
      <c r="D3504" s="1" t="str">
        <f>IFERROR(__xludf.DUMMYFUNCTION("GOOGLETRANSLATE(B3504,""en"",""pt-br"")"),"negativo")</f>
        <v>negativo</v>
      </c>
    </row>
    <row r="3505" ht="15.75" customHeight="1">
      <c r="A3505" s="2" t="s">
        <v>3504</v>
      </c>
      <c r="B3505" s="2" t="s">
        <v>14</v>
      </c>
      <c r="C3505" s="1" t="str">
        <f>IFERROR(__xludf.DUMMYFUNCTION("GOOGLETRANSLATE(A3505,""en"",""pt-br"")"),"interessante")</f>
        <v>interessante</v>
      </c>
      <c r="D3505" s="1" t="str">
        <f>IFERROR(__xludf.DUMMYFUNCTION("GOOGLETRANSLATE(B3505,""en"",""pt-br"")"),"positivo")</f>
        <v>positivo</v>
      </c>
    </row>
    <row r="3506" ht="15.75" customHeight="1">
      <c r="A3506" s="2" t="s">
        <v>3505</v>
      </c>
      <c r="B3506" s="2" t="s">
        <v>14</v>
      </c>
      <c r="C3506" s="1" t="str">
        <f>IFERROR(__xludf.DUMMYFUNCTION("GOOGLETRANSLATE(A3506,""en"",""pt-br"")"),"interesses")</f>
        <v>interesses</v>
      </c>
      <c r="D3506" s="1" t="str">
        <f>IFERROR(__xludf.DUMMYFUNCTION("GOOGLETRANSLATE(B3506,""en"",""pt-br"")"),"positivo")</f>
        <v>positivo</v>
      </c>
    </row>
    <row r="3507" ht="15.75" customHeight="1">
      <c r="A3507" s="2" t="s">
        <v>3506</v>
      </c>
      <c r="B3507" s="2" t="s">
        <v>3</v>
      </c>
      <c r="C3507" s="1" t="str">
        <f>IFERROR(__xludf.DUMMYFUNCTION("GOOGLETRANSLATE(A3507,""en"",""pt-br"")"),"interferir")</f>
        <v>interferir</v>
      </c>
      <c r="D3507" s="1" t="str">
        <f>IFERROR(__xludf.DUMMYFUNCTION("GOOGLETRANSLATE(B3507,""en"",""pt-br"")"),"negativo")</f>
        <v>negativo</v>
      </c>
    </row>
    <row r="3508" ht="15.75" customHeight="1">
      <c r="A3508" s="2" t="s">
        <v>3507</v>
      </c>
      <c r="B3508" s="2" t="s">
        <v>3</v>
      </c>
      <c r="C3508" s="1" t="str">
        <f>IFERROR(__xludf.DUMMYFUNCTION("GOOGLETRANSLATE(A3508,""en"",""pt-br"")"),"interferência")</f>
        <v>interferência</v>
      </c>
      <c r="D3508" s="1" t="str">
        <f>IFERROR(__xludf.DUMMYFUNCTION("GOOGLETRANSLATE(B3508,""en"",""pt-br"")"),"negativo")</f>
        <v>negativo</v>
      </c>
    </row>
    <row r="3509" ht="15.75" customHeight="1">
      <c r="A3509" s="2" t="s">
        <v>3508</v>
      </c>
      <c r="B3509" s="2" t="s">
        <v>3</v>
      </c>
      <c r="C3509" s="1" t="str">
        <f>IFERROR(__xludf.DUMMYFUNCTION("GOOGLETRANSLATE(A3509,""en"",""pt-br"")"),"interfere")</f>
        <v>interfere</v>
      </c>
      <c r="D3509" s="1" t="str">
        <f>IFERROR(__xludf.DUMMYFUNCTION("GOOGLETRANSLATE(B3509,""en"",""pt-br"")"),"negativo")</f>
        <v>negativo</v>
      </c>
    </row>
    <row r="3510" ht="15.75" customHeight="1">
      <c r="A3510" s="2" t="s">
        <v>3509</v>
      </c>
      <c r="B3510" s="2" t="s">
        <v>3</v>
      </c>
      <c r="C3510" s="1" t="str">
        <f>IFERROR(__xludf.DUMMYFUNCTION("GOOGLETRANSLATE(A3510,""en"",""pt-br"")"),"intermitente")</f>
        <v>intermitente</v>
      </c>
      <c r="D3510" s="1" t="str">
        <f>IFERROR(__xludf.DUMMYFUNCTION("GOOGLETRANSLATE(B3510,""en"",""pt-br"")"),"negativo")</f>
        <v>negativo</v>
      </c>
    </row>
    <row r="3511" ht="15.75" customHeight="1">
      <c r="A3511" s="2" t="s">
        <v>3510</v>
      </c>
      <c r="B3511" s="2" t="s">
        <v>3</v>
      </c>
      <c r="C3511" s="1" t="str">
        <f>IFERROR(__xludf.DUMMYFUNCTION("GOOGLETRANSLATE(A3511,""en"",""pt-br"")"),"interromper")</f>
        <v>interromper</v>
      </c>
      <c r="D3511" s="1" t="str">
        <f>IFERROR(__xludf.DUMMYFUNCTION("GOOGLETRANSLATE(B3511,""en"",""pt-br"")"),"negativo")</f>
        <v>negativo</v>
      </c>
    </row>
    <row r="3512" ht="15.75" customHeight="1">
      <c r="A3512" s="2" t="s">
        <v>3511</v>
      </c>
      <c r="B3512" s="2" t="s">
        <v>3</v>
      </c>
      <c r="C3512" s="1" t="str">
        <f>IFERROR(__xludf.DUMMYFUNCTION("GOOGLETRANSLATE(A3512,""en"",""pt-br"")"),"interrupção")</f>
        <v>interrupção</v>
      </c>
      <c r="D3512" s="1" t="str">
        <f>IFERROR(__xludf.DUMMYFUNCTION("GOOGLETRANSLATE(B3512,""en"",""pt-br"")"),"negativo")</f>
        <v>negativo</v>
      </c>
    </row>
    <row r="3513" ht="15.75" customHeight="1">
      <c r="A3513" s="2" t="s">
        <v>3512</v>
      </c>
      <c r="B3513" s="2" t="s">
        <v>3</v>
      </c>
      <c r="C3513" s="1" t="str">
        <f>IFERROR(__xludf.DUMMYFUNCTION("GOOGLETRANSLATE(A3513,""en"",""pt-br"")"),"interrupções")</f>
        <v>interrupções</v>
      </c>
      <c r="D3513" s="1" t="str">
        <f>IFERROR(__xludf.DUMMYFUNCTION("GOOGLETRANSLATE(B3513,""en"",""pt-br"")"),"negativo")</f>
        <v>negativo</v>
      </c>
    </row>
    <row r="3514" ht="15.75" customHeight="1">
      <c r="A3514" s="2" t="s">
        <v>3513</v>
      </c>
      <c r="B3514" s="2" t="s">
        <v>14</v>
      </c>
      <c r="C3514" s="1" t="str">
        <f>IFERROR(__xludf.DUMMYFUNCTION("GOOGLETRANSLATE(A3514,""en"",""pt-br"")"),"intimidade")</f>
        <v>intimidade</v>
      </c>
      <c r="D3514" s="1" t="str">
        <f>IFERROR(__xludf.DUMMYFUNCTION("GOOGLETRANSLATE(B3514,""en"",""pt-br"")"),"positivo")</f>
        <v>positivo</v>
      </c>
    </row>
    <row r="3515" ht="15.75" customHeight="1">
      <c r="A3515" s="2" t="s">
        <v>3514</v>
      </c>
      <c r="B3515" s="2" t="s">
        <v>14</v>
      </c>
      <c r="C3515" s="1" t="str">
        <f>IFERROR(__xludf.DUMMYFUNCTION("GOOGLETRANSLATE(A3515,""en"",""pt-br"")"),"íntimo")</f>
        <v>íntimo</v>
      </c>
      <c r="D3515" s="1" t="str">
        <f>IFERROR(__xludf.DUMMYFUNCTION("GOOGLETRANSLATE(B3515,""en"",""pt-br"")"),"positivo")</f>
        <v>positivo</v>
      </c>
    </row>
    <row r="3516" ht="15.75" customHeight="1">
      <c r="A3516" s="2" t="s">
        <v>3515</v>
      </c>
      <c r="B3516" s="2" t="s">
        <v>3</v>
      </c>
      <c r="C3516" s="1" t="str">
        <f>IFERROR(__xludf.DUMMYFUNCTION("GOOGLETRANSLATE(A3516,""en"",""pt-br"")"),"intimidar")</f>
        <v>intimidar</v>
      </c>
      <c r="D3516" s="1" t="str">
        <f>IFERROR(__xludf.DUMMYFUNCTION("GOOGLETRANSLATE(B3516,""en"",""pt-br"")"),"negativo")</f>
        <v>negativo</v>
      </c>
    </row>
    <row r="3517" ht="15.75" customHeight="1">
      <c r="A3517" s="2" t="s">
        <v>3516</v>
      </c>
      <c r="B3517" s="2" t="s">
        <v>3</v>
      </c>
      <c r="C3517" s="1" t="str">
        <f>IFERROR(__xludf.DUMMYFUNCTION("GOOGLETRANSLATE(A3517,""en"",""pt-br"")"),"intimidador")</f>
        <v>intimidador</v>
      </c>
      <c r="D3517" s="1" t="str">
        <f>IFERROR(__xludf.DUMMYFUNCTION("GOOGLETRANSLATE(B3517,""en"",""pt-br"")"),"negativo")</f>
        <v>negativo</v>
      </c>
    </row>
    <row r="3518" ht="15.75" customHeight="1">
      <c r="A3518" s="2" t="s">
        <v>3517</v>
      </c>
      <c r="B3518" s="2" t="s">
        <v>3</v>
      </c>
      <c r="C3518" s="1" t="str">
        <f>IFERROR(__xludf.DUMMYFUNCTION("GOOGLETRANSLATE(A3518,""en"",""pt-br"")"),"intimidatingly")</f>
        <v>intimidatingly</v>
      </c>
      <c r="D3518" s="1" t="str">
        <f>IFERROR(__xludf.DUMMYFUNCTION("GOOGLETRANSLATE(B3518,""en"",""pt-br"")"),"negativo")</f>
        <v>negativo</v>
      </c>
    </row>
    <row r="3519" ht="15.75" customHeight="1">
      <c r="A3519" s="2" t="s">
        <v>3518</v>
      </c>
      <c r="B3519" s="2" t="s">
        <v>3</v>
      </c>
      <c r="C3519" s="1" t="str">
        <f>IFERROR(__xludf.DUMMYFUNCTION("GOOGLETRANSLATE(A3519,""en"",""pt-br"")"),"intimidação")</f>
        <v>intimidação</v>
      </c>
      <c r="D3519" s="1" t="str">
        <f>IFERROR(__xludf.DUMMYFUNCTION("GOOGLETRANSLATE(B3519,""en"",""pt-br"")"),"negativo")</f>
        <v>negativo</v>
      </c>
    </row>
    <row r="3520" ht="15.75" customHeight="1">
      <c r="A3520" s="2" t="s">
        <v>3519</v>
      </c>
      <c r="B3520" s="2" t="s">
        <v>3</v>
      </c>
      <c r="C3520" s="1" t="str">
        <f>IFERROR(__xludf.DUMMYFUNCTION("GOOGLETRANSLATE(A3520,""en"",""pt-br"")"),"intolerável")</f>
        <v>intolerável</v>
      </c>
      <c r="D3520" s="1" t="str">
        <f>IFERROR(__xludf.DUMMYFUNCTION("GOOGLETRANSLATE(B3520,""en"",""pt-br"")"),"negativo")</f>
        <v>negativo</v>
      </c>
    </row>
    <row r="3521" ht="15.75" customHeight="1">
      <c r="A3521" s="2" t="s">
        <v>3520</v>
      </c>
      <c r="B3521" s="2" t="s">
        <v>3</v>
      </c>
      <c r="C3521" s="1" t="str">
        <f>IFERROR(__xludf.DUMMYFUNCTION("GOOGLETRANSLATE(A3521,""en"",""pt-br"")"),"intolerablely")</f>
        <v>intolerablely</v>
      </c>
      <c r="D3521" s="1" t="str">
        <f>IFERROR(__xludf.DUMMYFUNCTION("GOOGLETRANSLATE(B3521,""en"",""pt-br"")"),"negativo")</f>
        <v>negativo</v>
      </c>
    </row>
    <row r="3522" ht="15.75" customHeight="1">
      <c r="A3522" s="2" t="s">
        <v>3521</v>
      </c>
      <c r="B3522" s="2" t="s">
        <v>3</v>
      </c>
      <c r="C3522" s="1" t="str">
        <f>IFERROR(__xludf.DUMMYFUNCTION("GOOGLETRANSLATE(A3522,""en"",""pt-br"")"),"intolerância")</f>
        <v>intolerância</v>
      </c>
      <c r="D3522" s="1" t="str">
        <f>IFERROR(__xludf.DUMMYFUNCTION("GOOGLETRANSLATE(B3522,""en"",""pt-br"")"),"negativo")</f>
        <v>negativo</v>
      </c>
    </row>
    <row r="3523" ht="15.75" customHeight="1">
      <c r="A3523" s="2" t="s">
        <v>3522</v>
      </c>
      <c r="B3523" s="2" t="s">
        <v>3</v>
      </c>
      <c r="C3523" s="1" t="str">
        <f>IFERROR(__xludf.DUMMYFUNCTION("GOOGLETRANSLATE(A3523,""en"",""pt-br"")"),"intoxicar")</f>
        <v>intoxicar</v>
      </c>
      <c r="D3523" s="1" t="str">
        <f>IFERROR(__xludf.DUMMYFUNCTION("GOOGLETRANSLATE(B3523,""en"",""pt-br"")"),"negativo")</f>
        <v>negativo</v>
      </c>
    </row>
    <row r="3524" ht="15.75" customHeight="1">
      <c r="A3524" s="2" t="s">
        <v>3523</v>
      </c>
      <c r="B3524" s="2" t="s">
        <v>3</v>
      </c>
      <c r="C3524" s="1" t="str">
        <f>IFERROR(__xludf.DUMMYFUNCTION("GOOGLETRANSLATE(A3524,""en"",""pt-br"")"),"intratável")</f>
        <v>intratável</v>
      </c>
      <c r="D3524" s="1" t="str">
        <f>IFERROR(__xludf.DUMMYFUNCTION("GOOGLETRANSLATE(B3524,""en"",""pt-br"")"),"negativo")</f>
        <v>negativo</v>
      </c>
    </row>
    <row r="3525" ht="15.75" customHeight="1">
      <c r="A3525" s="2" t="s">
        <v>3524</v>
      </c>
      <c r="B3525" s="2" t="s">
        <v>3</v>
      </c>
      <c r="C3525" s="1" t="str">
        <f>IFERROR(__xludf.DUMMYFUNCTION("GOOGLETRANSLATE(A3525,""en"",""pt-br"")"),"intransigência")</f>
        <v>intransigência</v>
      </c>
      <c r="D3525" s="1" t="str">
        <f>IFERROR(__xludf.DUMMYFUNCTION("GOOGLETRANSLATE(B3525,""en"",""pt-br"")"),"negativo")</f>
        <v>negativo</v>
      </c>
    </row>
    <row r="3526" ht="15.75" customHeight="1">
      <c r="A3526" s="2" t="s">
        <v>3525</v>
      </c>
      <c r="B3526" s="2" t="s">
        <v>3</v>
      </c>
      <c r="C3526" s="1" t="str">
        <f>IFERROR(__xludf.DUMMYFUNCTION("GOOGLETRANSLATE(A3526,""en"",""pt-br"")"),"intransigente")</f>
        <v>intransigente</v>
      </c>
      <c r="D3526" s="1" t="str">
        <f>IFERROR(__xludf.DUMMYFUNCTION("GOOGLETRANSLATE(B3526,""en"",""pt-br"")"),"negativo")</f>
        <v>negativo</v>
      </c>
    </row>
    <row r="3527" ht="15.75" customHeight="1">
      <c r="A3527" s="2" t="s">
        <v>3526</v>
      </c>
      <c r="B3527" s="2" t="s">
        <v>14</v>
      </c>
      <c r="C3527" s="1" t="str">
        <f>IFERROR(__xludf.DUMMYFUNCTION("GOOGLETRANSLATE(A3527,""en"",""pt-br"")"),"intricado")</f>
        <v>intricado</v>
      </c>
      <c r="D3527" s="1" t="str">
        <f>IFERROR(__xludf.DUMMYFUNCTION("GOOGLETRANSLATE(B3527,""en"",""pt-br"")"),"positivo")</f>
        <v>positivo</v>
      </c>
    </row>
    <row r="3528" ht="15.75" customHeight="1">
      <c r="A3528" s="2" t="s">
        <v>3527</v>
      </c>
      <c r="B3528" s="2" t="s">
        <v>14</v>
      </c>
      <c r="C3528" s="1" t="str">
        <f>IFERROR(__xludf.DUMMYFUNCTION("GOOGLETRANSLATE(A3528,""en"",""pt-br"")"),"intriga")</f>
        <v>intriga</v>
      </c>
      <c r="D3528" s="1" t="str">
        <f>IFERROR(__xludf.DUMMYFUNCTION("GOOGLETRANSLATE(B3528,""en"",""pt-br"")"),"positivo")</f>
        <v>positivo</v>
      </c>
    </row>
    <row r="3529" ht="15.75" customHeight="1">
      <c r="A3529" s="2" t="s">
        <v>3528</v>
      </c>
      <c r="B3529" s="2" t="s">
        <v>14</v>
      </c>
      <c r="C3529" s="1" t="str">
        <f>IFERROR(__xludf.DUMMYFUNCTION("GOOGLETRANSLATE(A3529,""en"",""pt-br"")"),"intrigante")</f>
        <v>intrigante</v>
      </c>
      <c r="D3529" s="1" t="str">
        <f>IFERROR(__xludf.DUMMYFUNCTION("GOOGLETRANSLATE(B3529,""en"",""pt-br"")"),"positivo")</f>
        <v>positivo</v>
      </c>
    </row>
    <row r="3530" ht="15.75" customHeight="1">
      <c r="A3530" s="2" t="s">
        <v>3529</v>
      </c>
      <c r="B3530" s="2" t="s">
        <v>14</v>
      </c>
      <c r="C3530" s="1" t="str">
        <f>IFERROR(__xludf.DUMMYFUNCTION("GOOGLETRANSLATE(A3530,""en"",""pt-br"")"),"intrigantemente")</f>
        <v>intrigantemente</v>
      </c>
      <c r="D3530" s="1" t="str">
        <f>IFERROR(__xludf.DUMMYFUNCTION("GOOGLETRANSLATE(B3530,""en"",""pt-br"")"),"positivo")</f>
        <v>positivo</v>
      </c>
    </row>
    <row r="3531" ht="15.75" customHeight="1">
      <c r="A3531" s="2" t="s">
        <v>3530</v>
      </c>
      <c r="B3531" s="2" t="s">
        <v>3</v>
      </c>
      <c r="C3531" s="1" t="str">
        <f>IFERROR(__xludf.DUMMYFUNCTION("GOOGLETRANSLATE(A3531,""en"",""pt-br"")"),"Intromissão")</f>
        <v>Intromissão</v>
      </c>
      <c r="D3531" s="1" t="str">
        <f>IFERROR(__xludf.DUMMYFUNCTION("GOOGLETRANSLATE(B3531,""en"",""pt-br"")"),"negativo")</f>
        <v>negativo</v>
      </c>
    </row>
    <row r="3532" ht="15.75" customHeight="1">
      <c r="A3532" s="2" t="s">
        <v>3531</v>
      </c>
      <c r="B3532" s="2" t="s">
        <v>3</v>
      </c>
      <c r="C3532" s="1" t="str">
        <f>IFERROR(__xludf.DUMMYFUNCTION("GOOGLETRANSLATE(A3532,""en"",""pt-br"")"),"intrusão")</f>
        <v>intrusão</v>
      </c>
      <c r="D3532" s="1" t="str">
        <f>IFERROR(__xludf.DUMMYFUNCTION("GOOGLETRANSLATE(B3532,""en"",""pt-br"")"),"negativo")</f>
        <v>negativo</v>
      </c>
    </row>
    <row r="3533" ht="15.75" customHeight="1">
      <c r="A3533" s="2" t="s">
        <v>3532</v>
      </c>
      <c r="B3533" s="2" t="s">
        <v>3</v>
      </c>
      <c r="C3533" s="1" t="str">
        <f>IFERROR(__xludf.DUMMYFUNCTION("GOOGLETRANSLATE(A3533,""en"",""pt-br"")"),"intrusivo")</f>
        <v>intrusivo</v>
      </c>
      <c r="D3533" s="1" t="str">
        <f>IFERROR(__xludf.DUMMYFUNCTION("GOOGLETRANSLATE(B3533,""en"",""pt-br"")"),"negativo")</f>
        <v>negativo</v>
      </c>
    </row>
    <row r="3534" ht="15.75" customHeight="1">
      <c r="A3534" s="2" t="s">
        <v>3533</v>
      </c>
      <c r="B3534" s="2" t="s">
        <v>14</v>
      </c>
      <c r="C3534" s="1" t="str">
        <f>IFERROR(__xludf.DUMMYFUNCTION("GOOGLETRANSLATE(A3534,""en"",""pt-br"")"),"intuitivo")</f>
        <v>intuitivo</v>
      </c>
      <c r="D3534" s="1" t="str">
        <f>IFERROR(__xludf.DUMMYFUNCTION("GOOGLETRANSLATE(B3534,""en"",""pt-br"")"),"positivo")</f>
        <v>positivo</v>
      </c>
    </row>
    <row r="3535" ht="15.75" customHeight="1">
      <c r="A3535" s="2" t="s">
        <v>3534</v>
      </c>
      <c r="B3535" s="2" t="s">
        <v>3</v>
      </c>
      <c r="C3535" s="1" t="str">
        <f>IFERROR(__xludf.DUMMYFUNCTION("GOOGLETRANSLATE(A3535,""en"",""pt-br"")"),"inundar")</f>
        <v>inundar</v>
      </c>
      <c r="D3535" s="1" t="str">
        <f>IFERROR(__xludf.DUMMYFUNCTION("GOOGLETRANSLATE(B3535,""en"",""pt-br"")"),"negativo")</f>
        <v>negativo</v>
      </c>
    </row>
    <row r="3536" ht="15.75" customHeight="1">
      <c r="A3536" s="2" t="s">
        <v>3535</v>
      </c>
      <c r="B3536" s="2" t="s">
        <v>3</v>
      </c>
      <c r="C3536" s="1" t="str">
        <f>IFERROR(__xludf.DUMMYFUNCTION("GOOGLETRANSLATE(A3536,""en"",""pt-br"")"),"inundados")</f>
        <v>inundados</v>
      </c>
      <c r="D3536" s="1" t="str">
        <f>IFERROR(__xludf.DUMMYFUNCTION("GOOGLETRANSLATE(B3536,""en"",""pt-br"")"),"negativo")</f>
        <v>negativo</v>
      </c>
    </row>
    <row r="3537" ht="15.75" customHeight="1">
      <c r="A3537" s="2" t="s">
        <v>3536</v>
      </c>
      <c r="B3537" s="2" t="s">
        <v>3</v>
      </c>
      <c r="C3537" s="1" t="str">
        <f>IFERROR(__xludf.DUMMYFUNCTION("GOOGLETRANSLATE(A3537,""en"",""pt-br"")"),"invasor")</f>
        <v>invasor</v>
      </c>
      <c r="D3537" s="1" t="str">
        <f>IFERROR(__xludf.DUMMYFUNCTION("GOOGLETRANSLATE(B3537,""en"",""pt-br"")"),"negativo")</f>
        <v>negativo</v>
      </c>
    </row>
    <row r="3538" ht="15.75" customHeight="1">
      <c r="A3538" s="2" t="s">
        <v>3537</v>
      </c>
      <c r="B3538" s="2" t="s">
        <v>3</v>
      </c>
      <c r="C3538" s="1" t="str">
        <f>IFERROR(__xludf.DUMMYFUNCTION("GOOGLETRANSLATE(A3538,""en"",""pt-br"")"),"inválido")</f>
        <v>inválido</v>
      </c>
      <c r="D3538" s="1" t="str">
        <f>IFERROR(__xludf.DUMMYFUNCTION("GOOGLETRANSLATE(B3538,""en"",""pt-br"")"),"negativo")</f>
        <v>negativo</v>
      </c>
    </row>
    <row r="3539" ht="15.75" customHeight="1">
      <c r="A3539" s="2" t="s">
        <v>3538</v>
      </c>
      <c r="B3539" s="2" t="s">
        <v>3</v>
      </c>
      <c r="C3539" s="1" t="str">
        <f>IFERROR(__xludf.DUMMYFUNCTION("GOOGLETRANSLATE(A3539,""en"",""pt-br"")"),"invalidar")</f>
        <v>invalidar</v>
      </c>
      <c r="D3539" s="1" t="str">
        <f>IFERROR(__xludf.DUMMYFUNCTION("GOOGLETRANSLATE(B3539,""en"",""pt-br"")"),"negativo")</f>
        <v>negativo</v>
      </c>
    </row>
    <row r="3540" ht="15.75" customHeight="1">
      <c r="A3540" s="2" t="s">
        <v>3539</v>
      </c>
      <c r="B3540" s="2" t="s">
        <v>3</v>
      </c>
      <c r="C3540" s="1" t="str">
        <f>IFERROR(__xludf.DUMMYFUNCTION("GOOGLETRANSLATE(A3540,""en"",""pt-br"")"),"invalidez")</f>
        <v>invalidez</v>
      </c>
      <c r="D3540" s="1" t="str">
        <f>IFERROR(__xludf.DUMMYFUNCTION("GOOGLETRANSLATE(B3540,""en"",""pt-br"")"),"negativo")</f>
        <v>negativo</v>
      </c>
    </row>
    <row r="3541" ht="15.75" customHeight="1">
      <c r="A3541" s="2" t="s">
        <v>3540</v>
      </c>
      <c r="B3541" s="2" t="s">
        <v>14</v>
      </c>
      <c r="C3541" s="1" t="str">
        <f>IFERROR(__xludf.DUMMYFUNCTION("GOOGLETRANSLATE(A3541,""en"",""pt-br"")"),"inestimável")</f>
        <v>inestimável</v>
      </c>
      <c r="D3541" s="1" t="str">
        <f>IFERROR(__xludf.DUMMYFUNCTION("GOOGLETRANSLATE(B3541,""en"",""pt-br"")"),"positivo")</f>
        <v>positivo</v>
      </c>
    </row>
    <row r="3542" ht="15.75" customHeight="1">
      <c r="A3542" s="2" t="s">
        <v>3541</v>
      </c>
      <c r="B3542" s="2" t="s">
        <v>14</v>
      </c>
      <c r="C3542" s="1" t="str">
        <f>IFERROR(__xludf.DUMMYFUNCTION("GOOGLETRANSLATE(A3542,""en"",""pt-br"")"),"invaluablely")</f>
        <v>invaluablely</v>
      </c>
      <c r="D3542" s="1" t="str">
        <f>IFERROR(__xludf.DUMMYFUNCTION("GOOGLETRANSLATE(B3542,""en"",""pt-br"")"),"positivo")</f>
        <v>positivo</v>
      </c>
    </row>
    <row r="3543" ht="15.75" customHeight="1">
      <c r="A3543" s="2" t="s">
        <v>3542</v>
      </c>
      <c r="B3543" s="2" t="s">
        <v>3</v>
      </c>
      <c r="C3543" s="1" t="str">
        <f>IFERROR(__xludf.DUMMYFUNCTION("GOOGLETRANSLATE(A3543,""en"",""pt-br"")"),"invasivo")</f>
        <v>invasivo</v>
      </c>
      <c r="D3543" s="1" t="str">
        <f>IFERROR(__xludf.DUMMYFUNCTION("GOOGLETRANSLATE(B3543,""en"",""pt-br"")"),"negativo")</f>
        <v>negativo</v>
      </c>
    </row>
    <row r="3544" ht="15.75" customHeight="1">
      <c r="A3544" s="2" t="s">
        <v>3543</v>
      </c>
      <c r="B3544" s="2" t="s">
        <v>3</v>
      </c>
      <c r="C3544" s="1" t="str">
        <f>IFERROR(__xludf.DUMMYFUNCTION("GOOGLETRANSLATE(A3544,""en"",""pt-br"")"),"invectivo")</f>
        <v>invectivo</v>
      </c>
      <c r="D3544" s="1" t="str">
        <f>IFERROR(__xludf.DUMMYFUNCTION("GOOGLETRANSLATE(B3544,""en"",""pt-br"")"),"negativo")</f>
        <v>negativo</v>
      </c>
    </row>
    <row r="3545" ht="15.75" customHeight="1">
      <c r="A3545" s="2" t="s">
        <v>3544</v>
      </c>
      <c r="B3545" s="2" t="s">
        <v>3</v>
      </c>
      <c r="C3545" s="1" t="str">
        <f>IFERROR(__xludf.DUMMYFUNCTION("GOOGLETRANSLATE(A3545,""en"",""pt-br"")"),"Iludir")</f>
        <v>Iludir</v>
      </c>
      <c r="D3545" s="1" t="str">
        <f>IFERROR(__xludf.DUMMYFUNCTION("GOOGLETRANSLATE(B3545,""en"",""pt-br"")"),"negativo")</f>
        <v>negativo</v>
      </c>
    </row>
    <row r="3546" ht="15.75" customHeight="1">
      <c r="A3546" s="2" t="s">
        <v>3545</v>
      </c>
      <c r="B3546" s="2" t="s">
        <v>14</v>
      </c>
      <c r="C3546" s="1" t="str">
        <f>IFERROR(__xludf.DUMMYFUNCTION("GOOGLETRANSLATE(A3546,""en"",""pt-br"")"),"inventivo")</f>
        <v>inventivo</v>
      </c>
      <c r="D3546" s="1" t="str">
        <f>IFERROR(__xludf.DUMMYFUNCTION("GOOGLETRANSLATE(B3546,""en"",""pt-br"")"),"positivo")</f>
        <v>positivo</v>
      </c>
    </row>
    <row r="3547" ht="15.75" customHeight="1">
      <c r="A3547" s="2" t="s">
        <v>3546</v>
      </c>
      <c r="B3547" s="2" t="s">
        <v>3</v>
      </c>
      <c r="C3547" s="1" t="str">
        <f>IFERROR(__xludf.DUMMYFUNCTION("GOOGLETRANSLATE(A3547,""en"",""pt-br"")"),"desagradável")</f>
        <v>desagradável</v>
      </c>
      <c r="D3547" s="1" t="str">
        <f>IFERROR(__xludf.DUMMYFUNCTION("GOOGLETRANSLATE(B3547,""en"",""pt-br"")"),"negativo")</f>
        <v>negativo</v>
      </c>
    </row>
    <row r="3548" ht="15.75" customHeight="1">
      <c r="A3548" s="2" t="s">
        <v>3547</v>
      </c>
      <c r="B3548" s="2" t="s">
        <v>3</v>
      </c>
      <c r="C3548" s="1" t="str">
        <f>IFERROR(__xludf.DUMMYFUNCTION("GOOGLETRANSLATE(A3548,""en"",""pt-br"")"),"injustamente")</f>
        <v>injustamente</v>
      </c>
      <c r="D3548" s="1" t="str">
        <f>IFERROR(__xludf.DUMMYFUNCTION("GOOGLETRANSLATE(B3548,""en"",""pt-br"")"),"negativo")</f>
        <v>negativo</v>
      </c>
    </row>
    <row r="3549" ht="15.75" customHeight="1">
      <c r="A3549" s="2" t="s">
        <v>3548</v>
      </c>
      <c r="B3549" s="2" t="s">
        <v>3</v>
      </c>
      <c r="C3549" s="1" t="str">
        <f>IFERROR(__xludf.DUMMYFUNCTION("GOOGLETRANSLATE(A3549,""en"",""pt-br"")"),"invidiousness")</f>
        <v>invidiousness</v>
      </c>
      <c r="D3549" s="1" t="str">
        <f>IFERROR(__xludf.DUMMYFUNCTION("GOOGLETRANSLATE(B3549,""en"",""pt-br"")"),"negativo")</f>
        <v>negativo</v>
      </c>
    </row>
    <row r="3550" ht="15.75" customHeight="1">
      <c r="A3550" s="2" t="s">
        <v>3549</v>
      </c>
      <c r="B3550" s="2" t="s">
        <v>14</v>
      </c>
      <c r="C3550" s="1" t="str">
        <f>IFERROR(__xludf.DUMMYFUNCTION("GOOGLETRANSLATE(A3550,""en"",""pt-br"")"),"revigorar")</f>
        <v>revigorar</v>
      </c>
      <c r="D3550" s="1" t="str">
        <f>IFERROR(__xludf.DUMMYFUNCTION("GOOGLETRANSLATE(B3550,""en"",""pt-br"")"),"positivo")</f>
        <v>positivo</v>
      </c>
    </row>
    <row r="3551" ht="15.75" customHeight="1">
      <c r="A3551" s="2" t="s">
        <v>3550</v>
      </c>
      <c r="B3551" s="2" t="s">
        <v>14</v>
      </c>
      <c r="C3551" s="1" t="str">
        <f>IFERROR(__xludf.DUMMYFUNCTION("GOOGLETRANSLATE(A3551,""en"",""pt-br"")"),"revigorante")</f>
        <v>revigorante</v>
      </c>
      <c r="D3551" s="1" t="str">
        <f>IFERROR(__xludf.DUMMYFUNCTION("GOOGLETRANSLATE(B3551,""en"",""pt-br"")"),"positivo")</f>
        <v>positivo</v>
      </c>
    </row>
    <row r="3552" ht="15.75" customHeight="1">
      <c r="A3552" s="2" t="s">
        <v>3551</v>
      </c>
      <c r="B3552" s="2" t="s">
        <v>14</v>
      </c>
      <c r="C3552" s="1" t="str">
        <f>IFERROR(__xludf.DUMMYFUNCTION("GOOGLETRANSLATE(A3552,""en"",""pt-br"")"),"invencibilidade")</f>
        <v>invencibilidade</v>
      </c>
      <c r="D3552" s="1" t="str">
        <f>IFERROR(__xludf.DUMMYFUNCTION("GOOGLETRANSLATE(B3552,""en"",""pt-br"")"),"positivo")</f>
        <v>positivo</v>
      </c>
    </row>
    <row r="3553" ht="15.75" customHeight="1">
      <c r="A3553" s="2" t="s">
        <v>3552</v>
      </c>
      <c r="B3553" s="2" t="s">
        <v>14</v>
      </c>
      <c r="C3553" s="1" t="str">
        <f>IFERROR(__xludf.DUMMYFUNCTION("GOOGLETRANSLATE(A3553,""en"",""pt-br"")"),"invencível")</f>
        <v>invencível</v>
      </c>
      <c r="D3553" s="1" t="str">
        <f>IFERROR(__xludf.DUMMYFUNCTION("GOOGLETRANSLATE(B3553,""en"",""pt-br"")"),"positivo")</f>
        <v>positivo</v>
      </c>
    </row>
    <row r="3554" ht="15.75" customHeight="1">
      <c r="A3554" s="2" t="s">
        <v>3553</v>
      </c>
      <c r="B3554" s="2" t="s">
        <v>14</v>
      </c>
      <c r="C3554" s="1" t="str">
        <f>IFERROR(__xludf.DUMMYFUNCTION("GOOGLETRANSLATE(A3554,""en"",""pt-br"")"),"inviolável")</f>
        <v>inviolável</v>
      </c>
      <c r="D3554" s="1" t="str">
        <f>IFERROR(__xludf.DUMMYFUNCTION("GOOGLETRANSLATE(B3554,""en"",""pt-br"")"),"positivo")</f>
        <v>positivo</v>
      </c>
    </row>
    <row r="3555" ht="15.75" customHeight="1">
      <c r="A3555" s="2" t="s">
        <v>3554</v>
      </c>
      <c r="B3555" s="2" t="s">
        <v>14</v>
      </c>
      <c r="C3555" s="1" t="str">
        <f>IFERROR(__xludf.DUMMYFUNCTION("GOOGLETRANSLATE(A3555,""en"",""pt-br"")"),"inviolado")</f>
        <v>inviolado</v>
      </c>
      <c r="D3555" s="1" t="str">
        <f>IFERROR(__xludf.DUMMYFUNCTION("GOOGLETRANSLATE(B3555,""en"",""pt-br"")"),"positivo")</f>
        <v>positivo</v>
      </c>
    </row>
    <row r="3556" ht="15.75" customHeight="1">
      <c r="A3556" s="2" t="s">
        <v>3555</v>
      </c>
      <c r="B3556" s="2" t="s">
        <v>3</v>
      </c>
      <c r="C3556" s="1" t="str">
        <f>IFERROR(__xludf.DUMMYFUNCTION("GOOGLETRANSLATE(A3556,""en"",""pt-br"")"),"invisível")</f>
        <v>invisível</v>
      </c>
      <c r="D3556" s="1" t="str">
        <f>IFERROR(__xludf.DUMMYFUNCTION("GOOGLETRANSLATE(B3556,""en"",""pt-br"")"),"negativo")</f>
        <v>negativo</v>
      </c>
    </row>
    <row r="3557" ht="15.75" customHeight="1">
      <c r="A3557" s="2" t="s">
        <v>3556</v>
      </c>
      <c r="B3557" s="2" t="s">
        <v>3</v>
      </c>
      <c r="C3557" s="1" t="str">
        <f>IFERROR(__xludf.DUMMYFUNCTION("GOOGLETRANSLATE(A3557,""en"",""pt-br"")"),"involuntariamente")</f>
        <v>involuntariamente</v>
      </c>
      <c r="D3557" s="1" t="str">
        <f>IFERROR(__xludf.DUMMYFUNCTION("GOOGLETRANSLATE(B3557,""en"",""pt-br"")"),"negativo")</f>
        <v>negativo</v>
      </c>
    </row>
    <row r="3558" ht="15.75" customHeight="1">
      <c r="A3558" s="2" t="s">
        <v>3557</v>
      </c>
      <c r="B3558" s="2" t="s">
        <v>3</v>
      </c>
      <c r="C3558" s="1" t="str">
        <f>IFERROR(__xludf.DUMMYFUNCTION("GOOGLETRANSLATE(A3558,""en"",""pt-br"")"),"involuntário")</f>
        <v>involuntário</v>
      </c>
      <c r="D3558" s="1" t="str">
        <f>IFERROR(__xludf.DUMMYFUNCTION("GOOGLETRANSLATE(B3558,""en"",""pt-br"")"),"negativo")</f>
        <v>negativo</v>
      </c>
    </row>
    <row r="3559" ht="15.75" customHeight="1">
      <c r="A3559" s="2" t="s">
        <v>3558</v>
      </c>
      <c r="B3559" s="2" t="s">
        <v>14</v>
      </c>
      <c r="C3559" s="1" t="str">
        <f>IFERROR(__xludf.DUMMYFUNCTION("GOOGLETRANSLATE(A3559,""en"",""pt-br"")"),"invulnerável")</f>
        <v>invulnerável</v>
      </c>
      <c r="D3559" s="1" t="str">
        <f>IFERROR(__xludf.DUMMYFUNCTION("GOOGLETRANSLATE(B3559,""en"",""pt-br"")"),"positivo")</f>
        <v>positivo</v>
      </c>
    </row>
    <row r="3560" ht="15.75" customHeight="1">
      <c r="A3560" s="2" t="s">
        <v>3559</v>
      </c>
      <c r="B3560" s="2" t="s">
        <v>3</v>
      </c>
      <c r="C3560" s="1" t="str">
        <f>IFERROR(__xludf.DUMMYFUNCTION("GOOGLETRANSLATE(A3560,""en"",""pt-br"")"),"irascível")</f>
        <v>irascível</v>
      </c>
      <c r="D3560" s="1" t="str">
        <f>IFERROR(__xludf.DUMMYFUNCTION("GOOGLETRANSLATE(B3560,""en"",""pt-br"")"),"negativo")</f>
        <v>negativo</v>
      </c>
    </row>
    <row r="3561" ht="15.75" customHeight="1">
      <c r="A3561" s="2" t="s">
        <v>3560</v>
      </c>
      <c r="B3561" s="2" t="s">
        <v>3</v>
      </c>
      <c r="C3561" s="1" t="str">
        <f>IFERROR(__xludf.DUMMYFUNCTION("GOOGLETRANSLATE(A3561,""en"",""pt-br"")"),"enfurecido")</f>
        <v>enfurecido</v>
      </c>
      <c r="D3561" s="1" t="str">
        <f>IFERROR(__xludf.DUMMYFUNCTION("GOOGLETRANSLATE(B3561,""en"",""pt-br"")"),"negativo")</f>
        <v>negativo</v>
      </c>
    </row>
    <row r="3562" ht="15.75" customHeight="1">
      <c r="A3562" s="2" t="s">
        <v>3561</v>
      </c>
      <c r="B3562" s="2" t="s">
        <v>3</v>
      </c>
      <c r="C3562" s="1" t="str">
        <f>IFERROR(__xludf.DUMMYFUNCTION("GOOGLETRANSLATE(A3562,""en"",""pt-br"")"),"irado")</f>
        <v>irado</v>
      </c>
      <c r="D3562" s="1" t="str">
        <f>IFERROR(__xludf.DUMMYFUNCTION("GOOGLETRANSLATE(B3562,""en"",""pt-br"")"),"negativo")</f>
        <v>negativo</v>
      </c>
    </row>
    <row r="3563" ht="15.75" customHeight="1">
      <c r="A3563" s="2" t="s">
        <v>3562</v>
      </c>
      <c r="B3563" s="2" t="s">
        <v>3</v>
      </c>
      <c r="C3563" s="1" t="str">
        <f>IFERROR(__xludf.DUMMYFUNCTION("GOOGLETRANSLATE(A3563,""en"",""pt-br"")"),"ira")</f>
        <v>ira</v>
      </c>
      <c r="D3563" s="1" t="str">
        <f>IFERROR(__xludf.DUMMYFUNCTION("GOOGLETRANSLATE(B3563,""en"",""pt-br"")"),"negativo")</f>
        <v>negativo</v>
      </c>
    </row>
    <row r="3564" ht="15.75" customHeight="1">
      <c r="A3564" s="2" t="s">
        <v>3563</v>
      </c>
      <c r="B3564" s="2" t="s">
        <v>3</v>
      </c>
      <c r="C3564" s="1" t="str">
        <f>IFERROR(__xludf.DUMMYFUNCTION("GOOGLETRANSLATE(A3564,""en"",""pt-br"")"),"IRK")</f>
        <v>IRK</v>
      </c>
      <c r="D3564" s="1" t="str">
        <f>IFERROR(__xludf.DUMMYFUNCTION("GOOGLETRANSLATE(B3564,""en"",""pt-br"")"),"negativo")</f>
        <v>negativo</v>
      </c>
    </row>
    <row r="3565" ht="15.75" customHeight="1">
      <c r="A3565" s="2" t="s">
        <v>3564</v>
      </c>
      <c r="B3565" s="2" t="s">
        <v>3</v>
      </c>
      <c r="C3565" s="1" t="str">
        <f>IFERROR(__xludf.DUMMYFUNCTION("GOOGLETRANSLATE(A3565,""en"",""pt-br"")"),"Irked")</f>
        <v>Irked</v>
      </c>
      <c r="D3565" s="1" t="str">
        <f>IFERROR(__xludf.DUMMYFUNCTION("GOOGLETRANSLATE(B3565,""en"",""pt-br"")"),"negativo")</f>
        <v>negativo</v>
      </c>
    </row>
    <row r="3566" ht="15.75" customHeight="1">
      <c r="A3566" s="2" t="s">
        <v>3565</v>
      </c>
      <c r="B3566" s="2" t="s">
        <v>3</v>
      </c>
      <c r="C3566" s="1" t="str">
        <f>IFERROR(__xludf.DUMMYFUNCTION("GOOGLETRANSLATE(A3566,""en"",""pt-br"")"),"irking")</f>
        <v>irking</v>
      </c>
      <c r="D3566" s="1" t="str">
        <f>IFERROR(__xludf.DUMMYFUNCTION("GOOGLETRANSLATE(B3566,""en"",""pt-br"")"),"negativo")</f>
        <v>negativo</v>
      </c>
    </row>
    <row r="3567" ht="15.75" customHeight="1">
      <c r="A3567" s="2" t="s">
        <v>3566</v>
      </c>
      <c r="B3567" s="2" t="s">
        <v>3</v>
      </c>
      <c r="C3567" s="1" t="str">
        <f>IFERROR(__xludf.DUMMYFUNCTION("GOOGLETRANSLATE(A3567,""en"",""pt-br"")"),"irrita")</f>
        <v>irrita</v>
      </c>
      <c r="D3567" s="1" t="str">
        <f>IFERROR(__xludf.DUMMYFUNCTION("GOOGLETRANSLATE(B3567,""en"",""pt-br"")"),"negativo")</f>
        <v>negativo</v>
      </c>
    </row>
    <row r="3568" ht="15.75" customHeight="1">
      <c r="A3568" s="2" t="s">
        <v>3567</v>
      </c>
      <c r="B3568" s="2" t="s">
        <v>3</v>
      </c>
      <c r="C3568" s="1" t="str">
        <f>IFERROR(__xludf.DUMMYFUNCTION("GOOGLETRANSLATE(A3568,""en"",""pt-br"")"),"cansativo")</f>
        <v>cansativo</v>
      </c>
      <c r="D3568" s="1" t="str">
        <f>IFERROR(__xludf.DUMMYFUNCTION("GOOGLETRANSLATE(B3568,""en"",""pt-br"")"),"negativo")</f>
        <v>negativo</v>
      </c>
    </row>
    <row r="3569" ht="15.75" customHeight="1">
      <c r="A3569" s="2" t="s">
        <v>3568</v>
      </c>
      <c r="B3569" s="2" t="s">
        <v>3</v>
      </c>
      <c r="C3569" s="1" t="str">
        <f>IFERROR(__xludf.DUMMYFUNCTION("GOOGLETRANSLATE(A3569,""en"",""pt-br"")"),"irritantemente")</f>
        <v>irritantemente</v>
      </c>
      <c r="D3569" s="1" t="str">
        <f>IFERROR(__xludf.DUMMYFUNCTION("GOOGLETRANSLATE(B3569,""en"",""pt-br"")"),"negativo")</f>
        <v>negativo</v>
      </c>
    </row>
    <row r="3570" ht="15.75" customHeight="1">
      <c r="A3570" s="2" t="s">
        <v>3569</v>
      </c>
      <c r="B3570" s="2" t="s">
        <v>3</v>
      </c>
      <c r="C3570" s="1" t="str">
        <f>IFERROR(__xludf.DUMMYFUNCTION("GOOGLETRANSLATE(A3570,""en"",""pt-br"")"),"irksomeness")</f>
        <v>irksomeness</v>
      </c>
      <c r="D3570" s="1" t="str">
        <f>IFERROR(__xludf.DUMMYFUNCTION("GOOGLETRANSLATE(B3570,""en"",""pt-br"")"),"negativo")</f>
        <v>negativo</v>
      </c>
    </row>
    <row r="3571" ht="15.75" customHeight="1">
      <c r="A3571" s="2" t="s">
        <v>3570</v>
      </c>
      <c r="B3571" s="2" t="s">
        <v>3</v>
      </c>
      <c r="C3571" s="1" t="str">
        <f>IFERROR(__xludf.DUMMYFUNCTION("GOOGLETRANSLATE(A3571,""en"",""pt-br"")"),"irksomenesses")</f>
        <v>irksomenesses</v>
      </c>
      <c r="D3571" s="1" t="str">
        <f>IFERROR(__xludf.DUMMYFUNCTION("GOOGLETRANSLATE(B3571,""en"",""pt-br"")"),"negativo")</f>
        <v>negativo</v>
      </c>
    </row>
    <row r="3572" ht="15.75" customHeight="1">
      <c r="A3572" s="2" t="s">
        <v>3571</v>
      </c>
      <c r="B3572" s="2" t="s">
        <v>3</v>
      </c>
      <c r="C3572" s="1" t="str">
        <f>IFERROR(__xludf.DUMMYFUNCTION("GOOGLETRANSLATE(A3572,""en"",""pt-br"")"),"irônico")</f>
        <v>irônico</v>
      </c>
      <c r="D3572" s="1" t="str">
        <f>IFERROR(__xludf.DUMMYFUNCTION("GOOGLETRANSLATE(B3572,""en"",""pt-br"")"),"negativo")</f>
        <v>negativo</v>
      </c>
    </row>
    <row r="3573" ht="15.75" customHeight="1">
      <c r="A3573" s="2" t="s">
        <v>3572</v>
      </c>
      <c r="B3573" s="2" t="s">
        <v>3</v>
      </c>
      <c r="C3573" s="1" t="str">
        <f>IFERROR(__xludf.DUMMYFUNCTION("GOOGLETRANSLATE(A3573,""en"",""pt-br"")"),"irônico")</f>
        <v>irônico</v>
      </c>
      <c r="D3573" s="1" t="str">
        <f>IFERROR(__xludf.DUMMYFUNCTION("GOOGLETRANSLATE(B3573,""en"",""pt-br"")"),"negativo")</f>
        <v>negativo</v>
      </c>
    </row>
    <row r="3574" ht="15.75" customHeight="1">
      <c r="A3574" s="2" t="s">
        <v>3573</v>
      </c>
      <c r="B3574" s="2" t="s">
        <v>3</v>
      </c>
      <c r="C3574" s="1" t="str">
        <f>IFERROR(__xludf.DUMMYFUNCTION("GOOGLETRANSLATE(A3574,""en"",""pt-br"")"),"Ironicamente")</f>
        <v>Ironicamente</v>
      </c>
      <c r="D3574" s="1" t="str">
        <f>IFERROR(__xludf.DUMMYFUNCTION("GOOGLETRANSLATE(B3574,""en"",""pt-br"")"),"negativo")</f>
        <v>negativo</v>
      </c>
    </row>
    <row r="3575" ht="15.75" customHeight="1">
      <c r="A3575" s="2" t="s">
        <v>3574</v>
      </c>
      <c r="B3575" s="2" t="s">
        <v>3</v>
      </c>
      <c r="C3575" s="1" t="str">
        <f>IFERROR(__xludf.DUMMYFUNCTION("GOOGLETRANSLATE(A3575,""en"",""pt-br"")"),"ironias")</f>
        <v>ironias</v>
      </c>
      <c r="D3575" s="1" t="str">
        <f>IFERROR(__xludf.DUMMYFUNCTION("GOOGLETRANSLATE(B3575,""en"",""pt-br"")"),"negativo")</f>
        <v>negativo</v>
      </c>
    </row>
    <row r="3576" ht="15.75" customHeight="1">
      <c r="A3576" s="2" t="s">
        <v>3575</v>
      </c>
      <c r="B3576" s="2" t="s">
        <v>3</v>
      </c>
      <c r="C3576" s="1" t="str">
        <f>IFERROR(__xludf.DUMMYFUNCTION("GOOGLETRANSLATE(A3576,""en"",""pt-br"")"),"ironia")</f>
        <v>ironia</v>
      </c>
      <c r="D3576" s="1" t="str">
        <f>IFERROR(__xludf.DUMMYFUNCTION("GOOGLETRANSLATE(B3576,""en"",""pt-br"")"),"negativo")</f>
        <v>negativo</v>
      </c>
    </row>
    <row r="3577" ht="15.75" customHeight="1">
      <c r="A3577" s="2" t="s">
        <v>3576</v>
      </c>
      <c r="B3577" s="2" t="s">
        <v>3</v>
      </c>
      <c r="C3577" s="1" t="str">
        <f>IFERROR(__xludf.DUMMYFUNCTION("GOOGLETRANSLATE(A3577,""en"",""pt-br"")"),"irragularity")</f>
        <v>irragularity</v>
      </c>
      <c r="D3577" s="1" t="str">
        <f>IFERROR(__xludf.DUMMYFUNCTION("GOOGLETRANSLATE(B3577,""en"",""pt-br"")"),"negativo")</f>
        <v>negativo</v>
      </c>
    </row>
    <row r="3578" ht="15.75" customHeight="1">
      <c r="A3578" s="2" t="s">
        <v>3577</v>
      </c>
      <c r="B3578" s="2" t="s">
        <v>3</v>
      </c>
      <c r="C3578" s="1" t="str">
        <f>IFERROR(__xludf.DUMMYFUNCTION("GOOGLETRANSLATE(A3578,""en"",""pt-br"")"),"irracional")</f>
        <v>irracional</v>
      </c>
      <c r="D3578" s="1" t="str">
        <f>IFERROR(__xludf.DUMMYFUNCTION("GOOGLETRANSLATE(B3578,""en"",""pt-br"")"),"negativo")</f>
        <v>negativo</v>
      </c>
    </row>
    <row r="3579" ht="15.75" customHeight="1">
      <c r="A3579" s="2" t="s">
        <v>3578</v>
      </c>
      <c r="B3579" s="2" t="s">
        <v>3</v>
      </c>
      <c r="C3579" s="1" t="str">
        <f>IFERROR(__xludf.DUMMYFUNCTION("GOOGLETRANSLATE(A3579,""en"",""pt-br"")"),"irracionalidades")</f>
        <v>irracionalidades</v>
      </c>
      <c r="D3579" s="1" t="str">
        <f>IFERROR(__xludf.DUMMYFUNCTION("GOOGLETRANSLATE(B3579,""en"",""pt-br"")"),"negativo")</f>
        <v>negativo</v>
      </c>
    </row>
    <row r="3580" ht="15.75" customHeight="1">
      <c r="A3580" s="2" t="s">
        <v>3579</v>
      </c>
      <c r="B3580" s="2" t="s">
        <v>3</v>
      </c>
      <c r="C3580" s="1" t="str">
        <f>IFERROR(__xludf.DUMMYFUNCTION("GOOGLETRANSLATE(A3580,""en"",""pt-br"")"),"irracionalidade")</f>
        <v>irracionalidade</v>
      </c>
      <c r="D3580" s="1" t="str">
        <f>IFERROR(__xludf.DUMMYFUNCTION("GOOGLETRANSLATE(B3580,""en"",""pt-br"")"),"negativo")</f>
        <v>negativo</v>
      </c>
    </row>
    <row r="3581" ht="15.75" customHeight="1">
      <c r="A3581" s="2" t="s">
        <v>3580</v>
      </c>
      <c r="B3581" s="2" t="s">
        <v>3</v>
      </c>
      <c r="C3581" s="1" t="str">
        <f>IFERROR(__xludf.DUMMYFUNCTION("GOOGLETRANSLATE(A3581,""en"",""pt-br"")"),"irracionalmente")</f>
        <v>irracionalmente</v>
      </c>
      <c r="D3581" s="1" t="str">
        <f>IFERROR(__xludf.DUMMYFUNCTION("GOOGLETRANSLATE(B3581,""en"",""pt-br"")"),"negativo")</f>
        <v>negativo</v>
      </c>
    </row>
    <row r="3582" ht="15.75" customHeight="1">
      <c r="A3582" s="2" t="s">
        <v>3581</v>
      </c>
      <c r="B3582" s="2" t="s">
        <v>3</v>
      </c>
      <c r="C3582" s="1" t="str">
        <f>IFERROR(__xludf.DUMMYFUNCTION("GOOGLETRANSLATE(A3582,""en"",""pt-br"")"),"irracionais")</f>
        <v>irracionais</v>
      </c>
      <c r="D3582" s="1" t="str">
        <f>IFERROR(__xludf.DUMMYFUNCTION("GOOGLETRANSLATE(B3582,""en"",""pt-br"")"),"negativo")</f>
        <v>negativo</v>
      </c>
    </row>
    <row r="3583" ht="15.75" customHeight="1">
      <c r="A3583" s="2" t="s">
        <v>3582</v>
      </c>
      <c r="B3583" s="2" t="s">
        <v>3</v>
      </c>
      <c r="C3583" s="1" t="str">
        <f>IFERROR(__xludf.DUMMYFUNCTION("GOOGLETRANSLATE(A3583,""en"",""pt-br"")"),"irreconciliável")</f>
        <v>irreconciliável</v>
      </c>
      <c r="D3583" s="1" t="str">
        <f>IFERROR(__xludf.DUMMYFUNCTION("GOOGLETRANSLATE(B3583,""en"",""pt-br"")"),"negativo")</f>
        <v>negativo</v>
      </c>
    </row>
    <row r="3584" ht="15.75" customHeight="1">
      <c r="A3584" s="2" t="s">
        <v>3583</v>
      </c>
      <c r="B3584" s="2" t="s">
        <v>3</v>
      </c>
      <c r="C3584" s="1" t="str">
        <f>IFERROR(__xludf.DUMMYFUNCTION("GOOGLETRANSLATE(A3584,""en"",""pt-br"")"),"irrecuperável")</f>
        <v>irrecuperável</v>
      </c>
      <c r="D3584" s="1" t="str">
        <f>IFERROR(__xludf.DUMMYFUNCTION("GOOGLETRANSLATE(B3584,""en"",""pt-br"")"),"negativo")</f>
        <v>negativo</v>
      </c>
    </row>
    <row r="3585" ht="15.75" customHeight="1">
      <c r="A3585" s="2" t="s">
        <v>3584</v>
      </c>
      <c r="B3585" s="2" t="s">
        <v>3</v>
      </c>
      <c r="C3585" s="1" t="str">
        <f>IFERROR(__xludf.DUMMYFUNCTION("GOOGLETRANSLATE(A3585,""en"",""pt-br"")"),"irrecoverableness")</f>
        <v>irrecoverableness</v>
      </c>
      <c r="D3585" s="1" t="str">
        <f>IFERROR(__xludf.DUMMYFUNCTION("GOOGLETRANSLATE(B3585,""en"",""pt-br"")"),"negativo")</f>
        <v>negativo</v>
      </c>
    </row>
    <row r="3586" ht="15.75" customHeight="1">
      <c r="A3586" s="2" t="s">
        <v>3585</v>
      </c>
      <c r="B3586" s="2" t="s">
        <v>3</v>
      </c>
      <c r="C3586" s="1" t="str">
        <f>IFERROR(__xludf.DUMMYFUNCTION("GOOGLETRANSLATE(A3586,""en"",""pt-br"")"),"irrecoverablenesses")</f>
        <v>irrecoverablenesses</v>
      </c>
      <c r="D3586" s="1" t="str">
        <f>IFERROR(__xludf.DUMMYFUNCTION("GOOGLETRANSLATE(B3586,""en"",""pt-br"")"),"negativo")</f>
        <v>negativo</v>
      </c>
    </row>
    <row r="3587" ht="15.75" customHeight="1">
      <c r="A3587" s="2" t="s">
        <v>3586</v>
      </c>
      <c r="B3587" s="2" t="s">
        <v>3</v>
      </c>
      <c r="C3587" s="1" t="str">
        <f>IFERROR(__xludf.DUMMYFUNCTION("GOOGLETRANSLATE(A3587,""en"",""pt-br"")"),"irrecoverably")</f>
        <v>irrecoverably</v>
      </c>
      <c r="D3587" s="1" t="str">
        <f>IFERROR(__xludf.DUMMYFUNCTION("GOOGLETRANSLATE(B3587,""en"",""pt-br"")"),"negativo")</f>
        <v>negativo</v>
      </c>
    </row>
    <row r="3588" ht="15.75" customHeight="1">
      <c r="A3588" s="2" t="s">
        <v>3587</v>
      </c>
      <c r="B3588" s="2" t="s">
        <v>3</v>
      </c>
      <c r="C3588" s="1" t="str">
        <f>IFERROR(__xludf.DUMMYFUNCTION("GOOGLETRANSLATE(A3588,""en"",""pt-br"")"),"irremediável")</f>
        <v>irremediável</v>
      </c>
      <c r="D3588" s="1" t="str">
        <f>IFERROR(__xludf.DUMMYFUNCTION("GOOGLETRANSLATE(B3588,""en"",""pt-br"")"),"negativo")</f>
        <v>negativo</v>
      </c>
    </row>
    <row r="3589" ht="15.75" customHeight="1">
      <c r="A3589" s="2" t="s">
        <v>3588</v>
      </c>
      <c r="B3589" s="2" t="s">
        <v>3</v>
      </c>
      <c r="C3589" s="1" t="str">
        <f>IFERROR(__xludf.DUMMYFUNCTION("GOOGLETRANSLATE(A3589,""en"",""pt-br"")"),"irremediavelmente")</f>
        <v>irremediavelmente</v>
      </c>
      <c r="D3589" s="1" t="str">
        <f>IFERROR(__xludf.DUMMYFUNCTION("GOOGLETRANSLATE(B3589,""en"",""pt-br"")"),"negativo")</f>
        <v>negativo</v>
      </c>
    </row>
    <row r="3590" ht="15.75" customHeight="1">
      <c r="A3590" s="2" t="s">
        <v>3589</v>
      </c>
      <c r="B3590" s="2" t="s">
        <v>3</v>
      </c>
      <c r="C3590" s="1" t="str">
        <f>IFERROR(__xludf.DUMMYFUNCTION("GOOGLETRANSLATE(A3590,""en"",""pt-br"")"),"irreformáveis")</f>
        <v>irreformáveis</v>
      </c>
      <c r="D3590" s="1" t="str">
        <f>IFERROR(__xludf.DUMMYFUNCTION("GOOGLETRANSLATE(B3590,""en"",""pt-br"")"),"negativo")</f>
        <v>negativo</v>
      </c>
    </row>
    <row r="3591" ht="15.75" customHeight="1">
      <c r="A3591" s="2" t="s">
        <v>3590</v>
      </c>
      <c r="B3591" s="2" t="s">
        <v>3</v>
      </c>
      <c r="C3591" s="1" t="str">
        <f>IFERROR(__xludf.DUMMYFUNCTION("GOOGLETRANSLATE(A3591,""en"",""pt-br"")"),"irregular")</f>
        <v>irregular</v>
      </c>
      <c r="D3591" s="1" t="str">
        <f>IFERROR(__xludf.DUMMYFUNCTION("GOOGLETRANSLATE(B3591,""en"",""pt-br"")"),"negativo")</f>
        <v>negativo</v>
      </c>
    </row>
    <row r="3592" ht="15.75" customHeight="1">
      <c r="A3592" s="2" t="s">
        <v>3591</v>
      </c>
      <c r="B3592" s="2" t="s">
        <v>3</v>
      </c>
      <c r="C3592" s="1" t="str">
        <f>IFERROR(__xludf.DUMMYFUNCTION("GOOGLETRANSLATE(A3592,""en"",""pt-br"")"),"irregularidade")</f>
        <v>irregularidade</v>
      </c>
      <c r="D3592" s="1" t="str">
        <f>IFERROR(__xludf.DUMMYFUNCTION("GOOGLETRANSLATE(B3592,""en"",""pt-br"")"),"negativo")</f>
        <v>negativo</v>
      </c>
    </row>
    <row r="3593" ht="15.75" customHeight="1">
      <c r="A3593" s="2" t="s">
        <v>3592</v>
      </c>
      <c r="B3593" s="2" t="s">
        <v>3</v>
      </c>
      <c r="C3593" s="1" t="str">
        <f>IFERROR(__xludf.DUMMYFUNCTION("GOOGLETRANSLATE(A3593,""en"",""pt-br"")"),"irrelevância")</f>
        <v>irrelevância</v>
      </c>
      <c r="D3593" s="1" t="str">
        <f>IFERROR(__xludf.DUMMYFUNCTION("GOOGLETRANSLATE(B3593,""en"",""pt-br"")"),"negativo")</f>
        <v>negativo</v>
      </c>
    </row>
    <row r="3594" ht="15.75" customHeight="1">
      <c r="A3594" s="2" t="s">
        <v>3593</v>
      </c>
      <c r="B3594" s="2" t="s">
        <v>3</v>
      </c>
      <c r="C3594" s="1" t="str">
        <f>IFERROR(__xludf.DUMMYFUNCTION("GOOGLETRANSLATE(A3594,""en"",""pt-br"")"),"irrelevante")</f>
        <v>irrelevante</v>
      </c>
      <c r="D3594" s="1" t="str">
        <f>IFERROR(__xludf.DUMMYFUNCTION("GOOGLETRANSLATE(B3594,""en"",""pt-br"")"),"negativo")</f>
        <v>negativo</v>
      </c>
    </row>
    <row r="3595" ht="15.75" customHeight="1">
      <c r="A3595" s="2" t="s">
        <v>3594</v>
      </c>
      <c r="B3595" s="2" t="s">
        <v>3</v>
      </c>
      <c r="C3595" s="1" t="str">
        <f>IFERROR(__xludf.DUMMYFUNCTION("GOOGLETRANSLATE(A3595,""en"",""pt-br"")"),"irreparável")</f>
        <v>irreparável</v>
      </c>
      <c r="D3595" s="1" t="str">
        <f>IFERROR(__xludf.DUMMYFUNCTION("GOOGLETRANSLATE(B3595,""en"",""pt-br"")"),"negativo")</f>
        <v>negativo</v>
      </c>
    </row>
    <row r="3596" ht="15.75" customHeight="1">
      <c r="A3596" s="2" t="s">
        <v>3595</v>
      </c>
      <c r="B3596" s="2" t="s">
        <v>14</v>
      </c>
      <c r="C3596" s="1" t="str">
        <f>IFERROR(__xludf.DUMMYFUNCTION("GOOGLETRANSLATE(A3596,""en"",""pt-br"")"),"insubstituível")</f>
        <v>insubstituível</v>
      </c>
      <c r="D3596" s="1" t="str">
        <f>IFERROR(__xludf.DUMMYFUNCTION("GOOGLETRANSLATE(B3596,""en"",""pt-br"")"),"positivo")</f>
        <v>positivo</v>
      </c>
    </row>
    <row r="3597" ht="15.75" customHeight="1">
      <c r="A3597" s="2" t="s">
        <v>3596</v>
      </c>
      <c r="B3597" s="2" t="s">
        <v>3</v>
      </c>
      <c r="C3597" s="1" t="str">
        <f>IFERROR(__xludf.DUMMYFUNCTION("GOOGLETRANSLATE(A3597,""en"",""pt-br"")"),"irreplacible")</f>
        <v>irreplacible</v>
      </c>
      <c r="D3597" s="1" t="str">
        <f>IFERROR(__xludf.DUMMYFUNCTION("GOOGLETRANSLATE(B3597,""en"",""pt-br"")"),"negativo")</f>
        <v>negativo</v>
      </c>
    </row>
    <row r="3598" ht="15.75" customHeight="1">
      <c r="A3598" s="2" t="s">
        <v>3597</v>
      </c>
      <c r="B3598" s="2" t="s">
        <v>3</v>
      </c>
      <c r="C3598" s="1" t="str">
        <f>IFERROR(__xludf.DUMMYFUNCTION("GOOGLETRANSLATE(A3598,""en"",""pt-br"")"),"irreprimível")</f>
        <v>irreprimível</v>
      </c>
      <c r="D3598" s="1" t="str">
        <f>IFERROR(__xludf.DUMMYFUNCTION("GOOGLETRANSLATE(B3598,""en"",""pt-br"")"),"negativo")</f>
        <v>negativo</v>
      </c>
    </row>
    <row r="3599" ht="15.75" customHeight="1">
      <c r="A3599" s="2" t="s">
        <v>3598</v>
      </c>
      <c r="B3599" s="2" t="s">
        <v>14</v>
      </c>
      <c r="C3599" s="1" t="str">
        <f>IFERROR(__xludf.DUMMYFUNCTION("GOOGLETRANSLATE(A3599,""en"",""pt-br"")"),"irrepreensível")</f>
        <v>irrepreensível</v>
      </c>
      <c r="D3599" s="1" t="str">
        <f>IFERROR(__xludf.DUMMYFUNCTION("GOOGLETRANSLATE(B3599,""en"",""pt-br"")"),"positivo")</f>
        <v>positivo</v>
      </c>
    </row>
    <row r="3600" ht="15.75" customHeight="1">
      <c r="A3600" s="2" t="s">
        <v>3599</v>
      </c>
      <c r="B3600" s="2" t="s">
        <v>14</v>
      </c>
      <c r="C3600" s="1" t="str">
        <f>IFERROR(__xludf.DUMMYFUNCTION("GOOGLETRANSLATE(A3600,""en"",""pt-br"")"),"irresistível")</f>
        <v>irresistível</v>
      </c>
      <c r="D3600" s="1" t="str">
        <f>IFERROR(__xludf.DUMMYFUNCTION("GOOGLETRANSLATE(B3600,""en"",""pt-br"")"),"positivo")</f>
        <v>positivo</v>
      </c>
    </row>
    <row r="3601" ht="15.75" customHeight="1">
      <c r="A3601" s="2" t="s">
        <v>3600</v>
      </c>
      <c r="B3601" s="2" t="s">
        <v>14</v>
      </c>
      <c r="C3601" s="1" t="str">
        <f>IFERROR(__xludf.DUMMYFUNCTION("GOOGLETRANSLATE(A3601,""en"",""pt-br"")"),"Irresistível")</f>
        <v>Irresistível</v>
      </c>
      <c r="D3601" s="1" t="str">
        <f>IFERROR(__xludf.DUMMYFUNCTION("GOOGLETRANSLATE(B3601,""en"",""pt-br"")"),"positivo")</f>
        <v>positivo</v>
      </c>
    </row>
    <row r="3602" ht="15.75" customHeight="1">
      <c r="A3602" s="2" t="s">
        <v>3601</v>
      </c>
      <c r="B3602" s="2" t="s">
        <v>3</v>
      </c>
      <c r="C3602" s="1" t="str">
        <f>IFERROR(__xludf.DUMMYFUNCTION("GOOGLETRANSLATE(A3602,""en"",""pt-br"")"),"irresoluto")</f>
        <v>irresoluto</v>
      </c>
      <c r="D3602" s="1" t="str">
        <f>IFERROR(__xludf.DUMMYFUNCTION("GOOGLETRANSLATE(B3602,""en"",""pt-br"")"),"negativo")</f>
        <v>negativo</v>
      </c>
    </row>
    <row r="3603" ht="15.75" customHeight="1">
      <c r="A3603" s="2" t="s">
        <v>3602</v>
      </c>
      <c r="B3603" s="2" t="s">
        <v>3</v>
      </c>
      <c r="C3603" s="1" t="str">
        <f>IFERROR(__xludf.DUMMYFUNCTION("GOOGLETRANSLATE(A3603,""en"",""pt-br"")"),"insolúvel")</f>
        <v>insolúvel</v>
      </c>
      <c r="D3603" s="1" t="str">
        <f>IFERROR(__xludf.DUMMYFUNCTION("GOOGLETRANSLATE(B3603,""en"",""pt-br"")"),"negativo")</f>
        <v>negativo</v>
      </c>
    </row>
    <row r="3604" ht="15.75" customHeight="1">
      <c r="A3604" s="2" t="s">
        <v>3603</v>
      </c>
      <c r="B3604" s="2" t="s">
        <v>3</v>
      </c>
      <c r="C3604" s="1" t="str">
        <f>IFERROR(__xludf.DUMMYFUNCTION("GOOGLETRANSLATE(A3604,""en"",""pt-br"")"),"irresponsável")</f>
        <v>irresponsável</v>
      </c>
      <c r="D3604" s="1" t="str">
        <f>IFERROR(__xludf.DUMMYFUNCTION("GOOGLETRANSLATE(B3604,""en"",""pt-br"")"),"negativo")</f>
        <v>negativo</v>
      </c>
    </row>
    <row r="3605" ht="15.75" customHeight="1">
      <c r="A3605" s="2" t="s">
        <v>3604</v>
      </c>
      <c r="B3605" s="2" t="s">
        <v>3</v>
      </c>
      <c r="C3605" s="1" t="str">
        <f>IFERROR(__xludf.DUMMYFUNCTION("GOOGLETRANSLATE(A3605,""en"",""pt-br"")"),"irresponsabilidade")</f>
        <v>irresponsabilidade</v>
      </c>
      <c r="D3605" s="1" t="str">
        <f>IFERROR(__xludf.DUMMYFUNCTION("GOOGLETRANSLATE(B3605,""en"",""pt-br"")"),"negativo")</f>
        <v>negativo</v>
      </c>
    </row>
    <row r="3606" ht="15.75" customHeight="1">
      <c r="A3606" s="2" t="s">
        <v>3605</v>
      </c>
      <c r="B3606" s="2" t="s">
        <v>3</v>
      </c>
      <c r="C3606" s="1" t="str">
        <f>IFERROR(__xludf.DUMMYFUNCTION("GOOGLETRANSLATE(A3606,""en"",""pt-br"")"),"irretating")</f>
        <v>irretating</v>
      </c>
      <c r="D3606" s="1" t="str">
        <f>IFERROR(__xludf.DUMMYFUNCTION("GOOGLETRANSLATE(B3606,""en"",""pt-br"")"),"negativo")</f>
        <v>negativo</v>
      </c>
    </row>
    <row r="3607" ht="15.75" customHeight="1">
      <c r="A3607" s="2" t="s">
        <v>3606</v>
      </c>
      <c r="B3607" s="2" t="s">
        <v>3</v>
      </c>
      <c r="C3607" s="1" t="str">
        <f>IFERROR(__xludf.DUMMYFUNCTION("GOOGLETRANSLATE(A3607,""en"",""pt-br"")"),"irreparável")</f>
        <v>irreparável</v>
      </c>
      <c r="D3607" s="1" t="str">
        <f>IFERROR(__xludf.DUMMYFUNCTION("GOOGLETRANSLATE(B3607,""en"",""pt-br"")"),"negativo")</f>
        <v>negativo</v>
      </c>
    </row>
    <row r="3608" ht="15.75" customHeight="1">
      <c r="A3608" s="2" t="s">
        <v>3607</v>
      </c>
      <c r="B3608" s="2" t="s">
        <v>3</v>
      </c>
      <c r="C3608" s="1" t="str">
        <f>IFERROR(__xludf.DUMMYFUNCTION("GOOGLETRANSLATE(A3608,""en"",""pt-br"")"),"irreversível")</f>
        <v>irreversível</v>
      </c>
      <c r="D3608" s="1" t="str">
        <f>IFERROR(__xludf.DUMMYFUNCTION("GOOGLETRANSLATE(B3608,""en"",""pt-br"")"),"negativo")</f>
        <v>negativo</v>
      </c>
    </row>
    <row r="3609" ht="15.75" customHeight="1">
      <c r="A3609" s="2" t="s">
        <v>3608</v>
      </c>
      <c r="B3609" s="2" t="s">
        <v>3</v>
      </c>
      <c r="C3609" s="1" t="str">
        <f>IFERROR(__xludf.DUMMYFUNCTION("GOOGLETRANSLATE(A3609,""en"",""pt-br"")"),"irritável")</f>
        <v>irritável</v>
      </c>
      <c r="D3609" s="1" t="str">
        <f>IFERROR(__xludf.DUMMYFUNCTION("GOOGLETRANSLATE(B3609,""en"",""pt-br"")"),"negativo")</f>
        <v>negativo</v>
      </c>
    </row>
    <row r="3610" ht="15.75" customHeight="1">
      <c r="A3610" s="2" t="s">
        <v>3609</v>
      </c>
      <c r="B3610" s="2" t="s">
        <v>3</v>
      </c>
      <c r="C3610" s="1" t="str">
        <f>IFERROR(__xludf.DUMMYFUNCTION("GOOGLETRANSLATE(A3610,""en"",""pt-br"")"),"irritada")</f>
        <v>irritada</v>
      </c>
      <c r="D3610" s="1" t="str">
        <f>IFERROR(__xludf.DUMMYFUNCTION("GOOGLETRANSLATE(B3610,""en"",""pt-br"")"),"negativo")</f>
        <v>negativo</v>
      </c>
    </row>
    <row r="3611" ht="15.75" customHeight="1">
      <c r="A3611" s="2" t="s">
        <v>3610</v>
      </c>
      <c r="B3611" s="2" t="s">
        <v>3</v>
      </c>
      <c r="C3611" s="1" t="str">
        <f>IFERROR(__xludf.DUMMYFUNCTION("GOOGLETRANSLATE(A3611,""en"",""pt-br"")"),"irritante")</f>
        <v>irritante</v>
      </c>
      <c r="D3611" s="1" t="str">
        <f>IFERROR(__xludf.DUMMYFUNCTION("GOOGLETRANSLATE(B3611,""en"",""pt-br"")"),"negativo")</f>
        <v>negativo</v>
      </c>
    </row>
    <row r="3612" ht="15.75" customHeight="1">
      <c r="A3612" s="2" t="s">
        <v>3611</v>
      </c>
      <c r="B3612" s="2" t="s">
        <v>3</v>
      </c>
      <c r="C3612" s="1" t="str">
        <f>IFERROR(__xludf.DUMMYFUNCTION("GOOGLETRANSLATE(A3612,""en"",""pt-br"")"),"irritar")</f>
        <v>irritar</v>
      </c>
      <c r="D3612" s="1" t="str">
        <f>IFERROR(__xludf.DUMMYFUNCTION("GOOGLETRANSLATE(B3612,""en"",""pt-br"")"),"negativo")</f>
        <v>negativo</v>
      </c>
    </row>
    <row r="3613" ht="15.75" customHeight="1">
      <c r="A3613" s="2" t="s">
        <v>3612</v>
      </c>
      <c r="B3613" s="2" t="s">
        <v>3</v>
      </c>
      <c r="C3613" s="1" t="str">
        <f>IFERROR(__xludf.DUMMYFUNCTION("GOOGLETRANSLATE(A3613,""en"",""pt-br"")"),"irritado")</f>
        <v>irritado</v>
      </c>
      <c r="D3613" s="1" t="str">
        <f>IFERROR(__xludf.DUMMYFUNCTION("GOOGLETRANSLATE(B3613,""en"",""pt-br"")"),"negativo")</f>
        <v>negativo</v>
      </c>
    </row>
    <row r="3614" ht="15.75" customHeight="1">
      <c r="A3614" s="2" t="s">
        <v>3613</v>
      </c>
      <c r="B3614" s="2" t="s">
        <v>3</v>
      </c>
      <c r="C3614" s="1" t="str">
        <f>IFERROR(__xludf.DUMMYFUNCTION("GOOGLETRANSLATE(A3614,""en"",""pt-br"")"),"irritante")</f>
        <v>irritante</v>
      </c>
      <c r="D3614" s="1" t="str">
        <f>IFERROR(__xludf.DUMMYFUNCTION("GOOGLETRANSLATE(B3614,""en"",""pt-br"")"),"negativo")</f>
        <v>negativo</v>
      </c>
    </row>
    <row r="3615" ht="15.75" customHeight="1">
      <c r="A3615" s="2" t="s">
        <v>3614</v>
      </c>
      <c r="B3615" s="2" t="s">
        <v>3</v>
      </c>
      <c r="C3615" s="1" t="str">
        <f>IFERROR(__xludf.DUMMYFUNCTION("GOOGLETRANSLATE(A3615,""en"",""pt-br"")"),"irritação")</f>
        <v>irritação</v>
      </c>
      <c r="D3615" s="1" t="str">
        <f>IFERROR(__xludf.DUMMYFUNCTION("GOOGLETRANSLATE(B3615,""en"",""pt-br"")"),"negativo")</f>
        <v>negativo</v>
      </c>
    </row>
    <row r="3616" ht="15.75" customHeight="1">
      <c r="A3616" s="2" t="s">
        <v>3615</v>
      </c>
      <c r="B3616" s="2" t="s">
        <v>3</v>
      </c>
      <c r="C3616" s="1" t="str">
        <f>IFERROR(__xludf.DUMMYFUNCTION("GOOGLETRANSLATE(A3616,""en"",""pt-br"")"),"irritações")</f>
        <v>irritações</v>
      </c>
      <c r="D3616" s="1" t="str">
        <f>IFERROR(__xludf.DUMMYFUNCTION("GOOGLETRANSLATE(B3616,""en"",""pt-br"")"),"negativo")</f>
        <v>negativo</v>
      </c>
    </row>
    <row r="3617" ht="15.75" customHeight="1">
      <c r="A3617" s="2" t="s">
        <v>3616</v>
      </c>
      <c r="B3617" s="2" t="s">
        <v>3</v>
      </c>
      <c r="C3617" s="1" t="str">
        <f>IFERROR(__xludf.DUMMYFUNCTION("GOOGLETRANSLATE(A3617,""en"",""pt-br"")"),"isolar")</f>
        <v>isolar</v>
      </c>
      <c r="D3617" s="1" t="str">
        <f>IFERROR(__xludf.DUMMYFUNCTION("GOOGLETRANSLATE(B3617,""en"",""pt-br"")"),"negativo")</f>
        <v>negativo</v>
      </c>
    </row>
    <row r="3618" ht="15.75" customHeight="1">
      <c r="A3618" s="2" t="s">
        <v>3617</v>
      </c>
      <c r="B3618" s="2" t="s">
        <v>3</v>
      </c>
      <c r="C3618" s="1" t="str">
        <f>IFERROR(__xludf.DUMMYFUNCTION("GOOGLETRANSLATE(A3618,""en"",""pt-br"")"),"isolado")</f>
        <v>isolado</v>
      </c>
      <c r="D3618" s="1" t="str">
        <f>IFERROR(__xludf.DUMMYFUNCTION("GOOGLETRANSLATE(B3618,""en"",""pt-br"")"),"negativo")</f>
        <v>negativo</v>
      </c>
    </row>
    <row r="3619" ht="15.75" customHeight="1">
      <c r="A3619" s="2" t="s">
        <v>3618</v>
      </c>
      <c r="B3619" s="2" t="s">
        <v>3</v>
      </c>
      <c r="C3619" s="1" t="str">
        <f>IFERROR(__xludf.DUMMYFUNCTION("GOOGLETRANSLATE(A3619,""en"",""pt-br"")"),"isolamento")</f>
        <v>isolamento</v>
      </c>
      <c r="D3619" s="1" t="str">
        <f>IFERROR(__xludf.DUMMYFUNCTION("GOOGLETRANSLATE(B3619,""en"",""pt-br"")"),"negativo")</f>
        <v>negativo</v>
      </c>
    </row>
    <row r="3620" ht="15.75" customHeight="1">
      <c r="A3620" s="2" t="s">
        <v>3619</v>
      </c>
      <c r="B3620" s="2" t="s">
        <v>3</v>
      </c>
      <c r="C3620" s="1" t="str">
        <f>IFERROR(__xludf.DUMMYFUNCTION("GOOGLETRANSLATE(A3620,""en"",""pt-br"")"),"questão")</f>
        <v>questão</v>
      </c>
      <c r="D3620" s="1" t="str">
        <f>IFERROR(__xludf.DUMMYFUNCTION("GOOGLETRANSLATE(B3620,""en"",""pt-br"")"),"negativo")</f>
        <v>negativo</v>
      </c>
    </row>
    <row r="3621" ht="15.75" customHeight="1">
      <c r="A3621" s="2" t="s">
        <v>3620</v>
      </c>
      <c r="B3621" s="2" t="s">
        <v>14</v>
      </c>
      <c r="C3621" s="1" t="str">
        <f>IFERROR(__xludf.DUMMYFUNCTION("GOOGLETRANSLATE(A3621,""en"",""pt-br"")"),"sem problema")</f>
        <v>sem problema</v>
      </c>
      <c r="D3621" s="1" t="str">
        <f>IFERROR(__xludf.DUMMYFUNCTION("GOOGLETRANSLATE(B3621,""en"",""pt-br"")"),"positivo")</f>
        <v>positivo</v>
      </c>
    </row>
    <row r="3622" ht="15.75" customHeight="1">
      <c r="A3622" s="2" t="s">
        <v>3621</v>
      </c>
      <c r="B3622" s="2" t="s">
        <v>3</v>
      </c>
      <c r="C3622" s="1" t="str">
        <f>IFERROR(__xludf.DUMMYFUNCTION("GOOGLETRANSLATE(A3622,""en"",""pt-br"")"),"problemas")</f>
        <v>problemas</v>
      </c>
      <c r="D3622" s="1" t="str">
        <f>IFERROR(__xludf.DUMMYFUNCTION("GOOGLETRANSLATE(B3622,""en"",""pt-br"")"),"negativo")</f>
        <v>negativo</v>
      </c>
    </row>
    <row r="3623" ht="15.75" customHeight="1">
      <c r="A3623" s="2" t="s">
        <v>3622</v>
      </c>
      <c r="B3623" s="2" t="s">
        <v>3</v>
      </c>
      <c r="C3623" s="1" t="str">
        <f>IFERROR(__xludf.DUMMYFUNCTION("GOOGLETRANSLATE(A3623,""en"",""pt-br"")"),"coceira")</f>
        <v>coceira</v>
      </c>
      <c r="D3623" s="1" t="str">
        <f>IFERROR(__xludf.DUMMYFUNCTION("GOOGLETRANSLATE(B3623,""en"",""pt-br"")"),"negativo")</f>
        <v>negativo</v>
      </c>
    </row>
    <row r="3624" ht="15.75" customHeight="1">
      <c r="A3624" s="2" t="s">
        <v>3623</v>
      </c>
      <c r="B3624" s="2" t="s">
        <v>3</v>
      </c>
      <c r="C3624" s="1" t="str">
        <f>IFERROR(__xludf.DUMMYFUNCTION("GOOGLETRANSLATE(A3624,""en"",""pt-br"")"),"coceira")</f>
        <v>coceira</v>
      </c>
      <c r="D3624" s="1" t="str">
        <f>IFERROR(__xludf.DUMMYFUNCTION("GOOGLETRANSLATE(B3624,""en"",""pt-br"")"),"negativo")</f>
        <v>negativo</v>
      </c>
    </row>
    <row r="3625" ht="15.75" customHeight="1">
      <c r="A3625" s="2" t="s">
        <v>3624</v>
      </c>
      <c r="B3625" s="2" t="s">
        <v>3</v>
      </c>
      <c r="C3625" s="1" t="str">
        <f>IFERROR(__xludf.DUMMYFUNCTION("GOOGLETRANSLATE(A3625,""en"",""pt-br"")"),"Pruriginoso")</f>
        <v>Pruriginoso</v>
      </c>
      <c r="D3625" s="1" t="str">
        <f>IFERROR(__xludf.DUMMYFUNCTION("GOOGLETRANSLATE(B3625,""en"",""pt-br"")"),"negativo")</f>
        <v>negativo</v>
      </c>
    </row>
    <row r="3626" ht="15.75" customHeight="1">
      <c r="A3626" s="2" t="s">
        <v>3625</v>
      </c>
      <c r="B3626" s="2" t="s">
        <v>3</v>
      </c>
      <c r="C3626" s="1" t="str">
        <f>IFERROR(__xludf.DUMMYFUNCTION("GOOGLETRANSLATE(A3626,""en"",""pt-br"")"),"tagarelar")</f>
        <v>tagarelar</v>
      </c>
      <c r="D3626" s="1" t="str">
        <f>IFERROR(__xludf.DUMMYFUNCTION("GOOGLETRANSLATE(B3626,""en"",""pt-br"")"),"negativo")</f>
        <v>negativo</v>
      </c>
    </row>
    <row r="3627" ht="15.75" customHeight="1">
      <c r="A3627" s="2" t="s">
        <v>3626</v>
      </c>
      <c r="B3627" s="2" t="s">
        <v>3</v>
      </c>
      <c r="C3627" s="1" t="str">
        <f>IFERROR(__xludf.DUMMYFUNCTION("GOOGLETRANSLATE(A3627,""en"",""pt-br"")"),"cansado")</f>
        <v>cansado</v>
      </c>
      <c r="D3627" s="1" t="str">
        <f>IFERROR(__xludf.DUMMYFUNCTION("GOOGLETRANSLATE(B3627,""en"",""pt-br"")"),"negativo")</f>
        <v>negativo</v>
      </c>
    </row>
    <row r="3628" ht="15.75" customHeight="1">
      <c r="A3628" s="2" t="s">
        <v>3627</v>
      </c>
      <c r="B3628" s="2" t="s">
        <v>3</v>
      </c>
      <c r="C3628" s="1" t="str">
        <f>IFERROR(__xludf.DUMMYFUNCTION("GOOGLETRANSLATE(A3628,""en"",""pt-br"")"),"denteado")</f>
        <v>denteado</v>
      </c>
      <c r="D3628" s="1" t="str">
        <f>IFERROR(__xludf.DUMMYFUNCTION("GOOGLETRANSLATE(B3628,""en"",""pt-br"")"),"negativo")</f>
        <v>negativo</v>
      </c>
    </row>
    <row r="3629" ht="15.75" customHeight="1">
      <c r="A3629" s="2" t="s">
        <v>3628</v>
      </c>
      <c r="B3629" s="2" t="s">
        <v>3</v>
      </c>
      <c r="C3629" s="1" t="str">
        <f>IFERROR(__xludf.DUMMYFUNCTION("GOOGLETRANSLATE(A3629,""en"",""pt-br"")"),"geléia")</f>
        <v>geléia</v>
      </c>
      <c r="D3629" s="1" t="str">
        <f>IFERROR(__xludf.DUMMYFUNCTION("GOOGLETRANSLATE(B3629,""en"",""pt-br"")"),"negativo")</f>
        <v>negativo</v>
      </c>
    </row>
    <row r="3630" ht="15.75" customHeight="1">
      <c r="A3630" s="2" t="s">
        <v>3629</v>
      </c>
      <c r="B3630" s="2" t="s">
        <v>3</v>
      </c>
      <c r="C3630" s="1" t="str">
        <f>IFERROR(__xludf.DUMMYFUNCTION("GOOGLETRANSLATE(A3630,""en"",""pt-br"")"),"chocante")</f>
        <v>chocante</v>
      </c>
      <c r="D3630" s="1" t="str">
        <f>IFERROR(__xludf.DUMMYFUNCTION("GOOGLETRANSLATE(B3630,""en"",""pt-br"")"),"negativo")</f>
        <v>negativo</v>
      </c>
    </row>
    <row r="3631" ht="15.75" customHeight="1">
      <c r="A3631" s="2" t="s">
        <v>3630</v>
      </c>
      <c r="B3631" s="2" t="s">
        <v>3</v>
      </c>
      <c r="C3631" s="1" t="str">
        <f>IFERROR(__xludf.DUMMYFUNCTION("GOOGLETRANSLATE(A3631,""en"",""pt-br"")"),"invejoso")</f>
        <v>invejoso</v>
      </c>
      <c r="D3631" s="1" t="str">
        <f>IFERROR(__xludf.DUMMYFUNCTION("GOOGLETRANSLATE(B3631,""en"",""pt-br"")"),"negativo")</f>
        <v>negativo</v>
      </c>
    </row>
    <row r="3632" ht="15.75" customHeight="1">
      <c r="A3632" s="2" t="s">
        <v>3631</v>
      </c>
      <c r="B3632" s="2" t="s">
        <v>14</v>
      </c>
      <c r="C3632" s="1" t="str">
        <f>IFERROR(__xludf.DUMMYFUNCTION("GOOGLETRANSLATE(A3632,""en"",""pt-br"")"),"mandíbula-droping")</f>
        <v>mandíbula-droping</v>
      </c>
      <c r="D3632" s="1" t="str">
        <f>IFERROR(__xludf.DUMMYFUNCTION("GOOGLETRANSLATE(B3632,""en"",""pt-br"")"),"positivo")</f>
        <v>positivo</v>
      </c>
    </row>
    <row r="3633" ht="15.75" customHeight="1">
      <c r="A3633" s="2" t="s">
        <v>3632</v>
      </c>
      <c r="B3633" s="2" t="s">
        <v>14</v>
      </c>
      <c r="C3633" s="1" t="str">
        <f>IFERROR(__xludf.DUMMYFUNCTION("GOOGLETRANSLATE(A3633,""en"",""pt-br"")"),"de cair o queixo")</f>
        <v>de cair o queixo</v>
      </c>
      <c r="D3633" s="1" t="str">
        <f>IFERROR(__xludf.DUMMYFUNCTION("GOOGLETRANSLATE(B3633,""en"",""pt-br"")"),"positivo")</f>
        <v>positivo</v>
      </c>
    </row>
    <row r="3634" ht="15.75" customHeight="1">
      <c r="A3634" s="2" t="s">
        <v>3633</v>
      </c>
      <c r="B3634" s="2" t="s">
        <v>3</v>
      </c>
      <c r="C3634" s="1" t="str">
        <f>IFERROR(__xludf.DUMMYFUNCTION("GOOGLETRANSLATE(A3634,""en"",""pt-br"")"),"com ciumes")</f>
        <v>com ciumes</v>
      </c>
      <c r="D3634" s="1" t="str">
        <f>IFERROR(__xludf.DUMMYFUNCTION("GOOGLETRANSLATE(B3634,""en"",""pt-br"")"),"negativo")</f>
        <v>negativo</v>
      </c>
    </row>
    <row r="3635" ht="15.75" customHeight="1">
      <c r="A3635" s="2" t="s">
        <v>3634</v>
      </c>
      <c r="B3635" s="2" t="s">
        <v>3</v>
      </c>
      <c r="C3635" s="1" t="str">
        <f>IFERROR(__xludf.DUMMYFUNCTION("GOOGLETRANSLATE(A3635,""en"",""pt-br"")"),"ciosamente")</f>
        <v>ciosamente</v>
      </c>
      <c r="D3635" s="1" t="str">
        <f>IFERROR(__xludf.DUMMYFUNCTION("GOOGLETRANSLATE(B3635,""en"",""pt-br"")"),"negativo")</f>
        <v>negativo</v>
      </c>
    </row>
    <row r="3636" ht="15.75" customHeight="1">
      <c r="A3636" s="2" t="s">
        <v>3635</v>
      </c>
      <c r="B3636" s="2" t="s">
        <v>3</v>
      </c>
      <c r="C3636" s="1" t="str">
        <f>IFERROR(__xludf.DUMMYFUNCTION("GOOGLETRANSLATE(A3636,""en"",""pt-br"")"),"jealousness")</f>
        <v>jealousness</v>
      </c>
      <c r="D3636" s="1" t="str">
        <f>IFERROR(__xludf.DUMMYFUNCTION("GOOGLETRANSLATE(B3636,""en"",""pt-br"")"),"negativo")</f>
        <v>negativo</v>
      </c>
    </row>
    <row r="3637" ht="15.75" customHeight="1">
      <c r="A3637" s="2" t="s">
        <v>3636</v>
      </c>
      <c r="B3637" s="2" t="s">
        <v>3</v>
      </c>
      <c r="C3637" s="1" t="str">
        <f>IFERROR(__xludf.DUMMYFUNCTION("GOOGLETRANSLATE(A3637,""en"",""pt-br"")"),"ciúmes")</f>
        <v>ciúmes</v>
      </c>
      <c r="D3637" s="1" t="str">
        <f>IFERROR(__xludf.DUMMYFUNCTION("GOOGLETRANSLATE(B3637,""en"",""pt-br"")"),"negativo")</f>
        <v>negativo</v>
      </c>
    </row>
    <row r="3638" ht="15.75" customHeight="1">
      <c r="A3638" s="2" t="s">
        <v>3637</v>
      </c>
      <c r="B3638" s="2" t="s">
        <v>3</v>
      </c>
      <c r="C3638" s="1" t="str">
        <f>IFERROR(__xludf.DUMMYFUNCTION("GOOGLETRANSLATE(A3638,""en"",""pt-br"")"),"zombaria")</f>
        <v>zombaria</v>
      </c>
      <c r="D3638" s="1" t="str">
        <f>IFERROR(__xludf.DUMMYFUNCTION("GOOGLETRANSLATE(B3638,""en"",""pt-br"")"),"negativo")</f>
        <v>negativo</v>
      </c>
    </row>
    <row r="3639" ht="15.75" customHeight="1">
      <c r="A3639" s="2" t="s">
        <v>3638</v>
      </c>
      <c r="B3639" s="2" t="s">
        <v>3</v>
      </c>
      <c r="C3639" s="1" t="str">
        <f>IFERROR(__xludf.DUMMYFUNCTION("GOOGLETRANSLATE(A3639,""en"",""pt-br"")"),"jeering")</f>
        <v>jeering</v>
      </c>
      <c r="D3639" s="1" t="str">
        <f>IFERROR(__xludf.DUMMYFUNCTION("GOOGLETRANSLATE(B3639,""en"",""pt-br"")"),"negativo")</f>
        <v>negativo</v>
      </c>
    </row>
    <row r="3640" ht="15.75" customHeight="1">
      <c r="A3640" s="2" t="s">
        <v>3639</v>
      </c>
      <c r="B3640" s="2" t="s">
        <v>3</v>
      </c>
      <c r="C3640" s="1" t="str">
        <f>IFERROR(__xludf.DUMMYFUNCTION("GOOGLETRANSLATE(A3640,""en"",""pt-br"")"),"zombeteiramente")</f>
        <v>zombeteiramente</v>
      </c>
      <c r="D3640" s="1" t="str">
        <f>IFERROR(__xludf.DUMMYFUNCTION("GOOGLETRANSLATE(B3640,""en"",""pt-br"")"),"negativo")</f>
        <v>negativo</v>
      </c>
    </row>
    <row r="3641" ht="15.75" customHeight="1">
      <c r="A3641" s="2" t="s">
        <v>3640</v>
      </c>
      <c r="B3641" s="2" t="s">
        <v>3</v>
      </c>
      <c r="C3641" s="1" t="str">
        <f>IFERROR(__xludf.DUMMYFUNCTION("GOOGLETRANSLATE(A3641,""en"",""pt-br"")"),"jeers")</f>
        <v>jeers</v>
      </c>
      <c r="D3641" s="1" t="str">
        <f>IFERROR(__xludf.DUMMYFUNCTION("GOOGLETRANSLATE(B3641,""en"",""pt-br"")"),"negativo")</f>
        <v>negativo</v>
      </c>
    </row>
    <row r="3642" ht="15.75" customHeight="1">
      <c r="A3642" s="2" t="s">
        <v>3641</v>
      </c>
      <c r="B3642" s="2" t="s">
        <v>3</v>
      </c>
      <c r="C3642" s="1" t="str">
        <f>IFERROR(__xludf.DUMMYFUNCTION("GOOGLETRANSLATE(A3642,""en"",""pt-br"")"),"jeopardize")</f>
        <v>jeopardize</v>
      </c>
      <c r="D3642" s="1" t="str">
        <f>IFERROR(__xludf.DUMMYFUNCTION("GOOGLETRANSLATE(B3642,""en"",""pt-br"")"),"negativo")</f>
        <v>negativo</v>
      </c>
    </row>
    <row r="3643" ht="15.75" customHeight="1">
      <c r="A3643" s="2" t="s">
        <v>3642</v>
      </c>
      <c r="B3643" s="2" t="s">
        <v>3</v>
      </c>
      <c r="C3643" s="1" t="str">
        <f>IFERROR(__xludf.DUMMYFUNCTION("GOOGLETRANSLATE(A3643,""en"",""pt-br"")"),"perigo")</f>
        <v>perigo</v>
      </c>
      <c r="D3643" s="1" t="str">
        <f>IFERROR(__xludf.DUMMYFUNCTION("GOOGLETRANSLATE(B3643,""en"",""pt-br"")"),"negativo")</f>
        <v>negativo</v>
      </c>
    </row>
    <row r="3644" ht="15.75" customHeight="1">
      <c r="A3644" s="2" t="s">
        <v>3643</v>
      </c>
      <c r="B3644" s="2" t="s">
        <v>3</v>
      </c>
      <c r="C3644" s="1" t="str">
        <f>IFERROR(__xludf.DUMMYFUNCTION("GOOGLETRANSLATE(A3644,""en"",""pt-br"")"),"empurrão")</f>
        <v>empurrão</v>
      </c>
      <c r="D3644" s="1" t="str">
        <f>IFERROR(__xludf.DUMMYFUNCTION("GOOGLETRANSLATE(B3644,""en"",""pt-br"")"),"negativo")</f>
        <v>negativo</v>
      </c>
    </row>
    <row r="3645" ht="15.75" customHeight="1">
      <c r="A3645" s="2" t="s">
        <v>3644</v>
      </c>
      <c r="B3645" s="2" t="s">
        <v>3</v>
      </c>
      <c r="C3645" s="1" t="str">
        <f>IFERROR(__xludf.DUMMYFUNCTION("GOOGLETRANSLATE(A3645,""en"",""pt-br"")"),"irregular")</f>
        <v>irregular</v>
      </c>
      <c r="D3645" s="1" t="str">
        <f>IFERROR(__xludf.DUMMYFUNCTION("GOOGLETRANSLATE(B3645,""en"",""pt-br"")"),"negativo")</f>
        <v>negativo</v>
      </c>
    </row>
    <row r="3646" ht="15.75" customHeight="1">
      <c r="A3646" s="2" t="s">
        <v>3645</v>
      </c>
      <c r="B3646" s="2" t="s">
        <v>3</v>
      </c>
      <c r="C3646" s="1" t="str">
        <f>IFERROR(__xludf.DUMMYFUNCTION("GOOGLETRANSLATE(A3646,""en"",""pt-br"")"),"jitter")</f>
        <v>jitter</v>
      </c>
      <c r="D3646" s="1" t="str">
        <f>IFERROR(__xludf.DUMMYFUNCTION("GOOGLETRANSLATE(B3646,""en"",""pt-br"")"),"negativo")</f>
        <v>negativo</v>
      </c>
    </row>
    <row r="3647" ht="15.75" customHeight="1">
      <c r="A3647" s="2" t="s">
        <v>3646</v>
      </c>
      <c r="B3647" s="2" t="s">
        <v>3</v>
      </c>
      <c r="C3647" s="1" t="str">
        <f>IFERROR(__xludf.DUMMYFUNCTION("GOOGLETRANSLATE(A3647,""en"",""pt-br"")"),"nervosismo")</f>
        <v>nervosismo</v>
      </c>
      <c r="D3647" s="1" t="str">
        <f>IFERROR(__xludf.DUMMYFUNCTION("GOOGLETRANSLATE(B3647,""en"",""pt-br"")"),"negativo")</f>
        <v>negativo</v>
      </c>
    </row>
    <row r="3648" ht="15.75" customHeight="1">
      <c r="A3648" s="2" t="s">
        <v>3647</v>
      </c>
      <c r="B3648" s="2" t="s">
        <v>3</v>
      </c>
      <c r="C3648" s="1" t="str">
        <f>IFERROR(__xludf.DUMMYFUNCTION("GOOGLETRANSLATE(A3648,""en"",""pt-br"")"),"ansioso")</f>
        <v>ansioso</v>
      </c>
      <c r="D3648" s="1" t="str">
        <f>IFERROR(__xludf.DUMMYFUNCTION("GOOGLETRANSLATE(B3648,""en"",""pt-br"")"),"negativo")</f>
        <v>negativo</v>
      </c>
    </row>
    <row r="3649" ht="15.75" customHeight="1">
      <c r="A3649" s="2" t="s">
        <v>3648</v>
      </c>
      <c r="B3649" s="2" t="s">
        <v>3</v>
      </c>
      <c r="C3649" s="1" t="str">
        <f>IFERROR(__xludf.DUMMYFUNCTION("GOOGLETRANSLATE(A3649,""en"",""pt-br"")"),"trabalho de assassinato")</f>
        <v>trabalho de assassinato</v>
      </c>
      <c r="D3649" s="1" t="str">
        <f>IFERROR(__xludf.DUMMYFUNCTION("GOOGLETRANSLATE(B3649,""en"",""pt-br"")"),"negativo")</f>
        <v>negativo</v>
      </c>
    </row>
    <row r="3650" ht="15.75" customHeight="1">
      <c r="A3650" s="2" t="s">
        <v>3649</v>
      </c>
      <c r="B3650" s="2" t="s">
        <v>3</v>
      </c>
      <c r="C3650" s="1" t="str">
        <f>IFERROR(__xludf.DUMMYFUNCTION("GOOGLETRANSLATE(A3650,""en"",""pt-br"")"),"desempregado")</f>
        <v>desempregado</v>
      </c>
      <c r="D3650" s="1" t="str">
        <f>IFERROR(__xludf.DUMMYFUNCTION("GOOGLETRANSLATE(B3650,""en"",""pt-br"")"),"negativo")</f>
        <v>negativo</v>
      </c>
    </row>
    <row r="3651" ht="15.75" customHeight="1">
      <c r="A3651" s="2" t="s">
        <v>3650</v>
      </c>
      <c r="B3651" s="2" t="s">
        <v>3</v>
      </c>
      <c r="C3651" s="1" t="str">
        <f>IFERROR(__xludf.DUMMYFUNCTION("GOOGLETRANSLATE(A3651,""en"",""pt-br"")"),"Piada")</f>
        <v>Piada</v>
      </c>
      <c r="D3651" s="1" t="str">
        <f>IFERROR(__xludf.DUMMYFUNCTION("GOOGLETRANSLATE(B3651,""en"",""pt-br"")"),"negativo")</f>
        <v>negativo</v>
      </c>
    </row>
    <row r="3652" ht="15.75" customHeight="1">
      <c r="A3652" s="2" t="s">
        <v>3651</v>
      </c>
      <c r="B3652" s="2" t="s">
        <v>3</v>
      </c>
      <c r="C3652" s="1" t="str">
        <f>IFERROR(__xludf.DUMMYFUNCTION("GOOGLETRANSLATE(A3652,""en"",""pt-br"")"),"palhaço")</f>
        <v>palhaço</v>
      </c>
      <c r="D3652" s="1" t="str">
        <f>IFERROR(__xludf.DUMMYFUNCTION("GOOGLETRANSLATE(B3652,""en"",""pt-br"")"),"negativo")</f>
        <v>negativo</v>
      </c>
    </row>
    <row r="3653" ht="15.75" customHeight="1">
      <c r="A3653" s="2" t="s">
        <v>3652</v>
      </c>
      <c r="B3653" s="2" t="s">
        <v>14</v>
      </c>
      <c r="C3653" s="1" t="str">
        <f>IFERROR(__xludf.DUMMYFUNCTION("GOOGLETRANSLATE(A3653,""en"",""pt-br"")"),"fazer uma festança")</f>
        <v>fazer uma festança</v>
      </c>
      <c r="D3653" s="1" t="str">
        <f>IFERROR(__xludf.DUMMYFUNCTION("GOOGLETRANSLATE(B3653,""en"",""pt-br"")"),"positivo")</f>
        <v>positivo</v>
      </c>
    </row>
    <row r="3654" ht="15.75" customHeight="1">
      <c r="A3654" s="2" t="s">
        <v>3653</v>
      </c>
      <c r="B3654" s="2" t="s">
        <v>14</v>
      </c>
      <c r="C3654" s="1" t="str">
        <f>IFERROR(__xludf.DUMMYFUNCTION("GOOGLETRANSLATE(A3654,""en"",""pt-br"")"),"alegre")</f>
        <v>alegre</v>
      </c>
      <c r="D3654" s="1" t="str">
        <f>IFERROR(__xludf.DUMMYFUNCTION("GOOGLETRANSLATE(B3654,""en"",""pt-br"")"),"positivo")</f>
        <v>positivo</v>
      </c>
    </row>
    <row r="3655" ht="15.75" customHeight="1">
      <c r="A3655" s="2" t="s">
        <v>3654</v>
      </c>
      <c r="B3655" s="2" t="s">
        <v>3</v>
      </c>
      <c r="C3655" s="1" t="str">
        <f>IFERROR(__xludf.DUMMYFUNCTION("GOOGLETRANSLATE(A3655,""en"",""pt-br"")"),"solavanco")</f>
        <v>solavanco</v>
      </c>
      <c r="D3655" s="1" t="str">
        <f>IFERROR(__xludf.DUMMYFUNCTION("GOOGLETRANSLATE(B3655,""en"",""pt-br"")"),"negativo")</f>
        <v>negativo</v>
      </c>
    </row>
    <row r="3656" ht="15.75" customHeight="1">
      <c r="A3656" s="2" t="s">
        <v>3655</v>
      </c>
      <c r="B3656" s="2" t="s">
        <v>14</v>
      </c>
      <c r="C3656" s="1" t="str">
        <f>IFERROR(__xludf.DUMMYFUNCTION("GOOGLETRANSLATE(A3656,""en"",""pt-br"")"),"jovial")</f>
        <v>jovial</v>
      </c>
      <c r="D3656" s="1" t="str">
        <f>IFERROR(__xludf.DUMMYFUNCTION("GOOGLETRANSLATE(B3656,""en"",""pt-br"")"),"positivo")</f>
        <v>positivo</v>
      </c>
    </row>
    <row r="3657" ht="15.75" customHeight="1">
      <c r="A3657" s="2" t="s">
        <v>3656</v>
      </c>
      <c r="B3657" s="2" t="s">
        <v>14</v>
      </c>
      <c r="C3657" s="1" t="str">
        <f>IFERROR(__xludf.DUMMYFUNCTION("GOOGLETRANSLATE(A3657,""en"",""pt-br"")"),"alegria")</f>
        <v>alegria</v>
      </c>
      <c r="D3657" s="1" t="str">
        <f>IFERROR(__xludf.DUMMYFUNCTION("GOOGLETRANSLATE(B3657,""en"",""pt-br"")"),"positivo")</f>
        <v>positivo</v>
      </c>
    </row>
    <row r="3658" ht="15.75" customHeight="1">
      <c r="A3658" s="2" t="s">
        <v>3657</v>
      </c>
      <c r="B3658" s="2" t="s">
        <v>14</v>
      </c>
      <c r="C3658" s="1" t="str">
        <f>IFERROR(__xludf.DUMMYFUNCTION("GOOGLETRANSLATE(A3658,""en"",""pt-br"")"),"alegre")</f>
        <v>alegre</v>
      </c>
      <c r="D3658" s="1" t="str">
        <f>IFERROR(__xludf.DUMMYFUNCTION("GOOGLETRANSLATE(B3658,""en"",""pt-br"")"),"positivo")</f>
        <v>positivo</v>
      </c>
    </row>
    <row r="3659" ht="15.75" customHeight="1">
      <c r="A3659" s="2" t="s">
        <v>3658</v>
      </c>
      <c r="B3659" s="2" t="s">
        <v>14</v>
      </c>
      <c r="C3659" s="1" t="str">
        <f>IFERROR(__xludf.DUMMYFUNCTION("GOOGLETRANSLATE(A3659,""en"",""pt-br"")"),"alegremente")</f>
        <v>alegremente</v>
      </c>
      <c r="D3659" s="1" t="str">
        <f>IFERROR(__xludf.DUMMYFUNCTION("GOOGLETRANSLATE(B3659,""en"",""pt-br"")"),"positivo")</f>
        <v>positivo</v>
      </c>
    </row>
    <row r="3660" ht="15.75" customHeight="1">
      <c r="A3660" s="2" t="s">
        <v>3659</v>
      </c>
      <c r="B3660" s="2" t="s">
        <v>14</v>
      </c>
      <c r="C3660" s="1" t="str">
        <f>IFERROR(__xludf.DUMMYFUNCTION("GOOGLETRANSLATE(A3660,""en"",""pt-br"")"),"feliz")</f>
        <v>feliz</v>
      </c>
      <c r="D3660" s="1" t="str">
        <f>IFERROR(__xludf.DUMMYFUNCTION("GOOGLETRANSLATE(B3660,""en"",""pt-br"")"),"positivo")</f>
        <v>positivo</v>
      </c>
    </row>
    <row r="3661" ht="15.75" customHeight="1">
      <c r="A3661" s="2" t="s">
        <v>3660</v>
      </c>
      <c r="B3661" s="2" t="s">
        <v>14</v>
      </c>
      <c r="C3661" s="1" t="str">
        <f>IFERROR(__xludf.DUMMYFUNCTION("GOOGLETRANSLATE(A3661,""en"",""pt-br"")"),"alegremente")</f>
        <v>alegremente</v>
      </c>
      <c r="D3661" s="1" t="str">
        <f>IFERROR(__xludf.DUMMYFUNCTION("GOOGLETRANSLATE(B3661,""en"",""pt-br"")"),"positivo")</f>
        <v>positivo</v>
      </c>
    </row>
    <row r="3662" ht="15.75" customHeight="1">
      <c r="A3662" s="2" t="s">
        <v>3661</v>
      </c>
      <c r="B3662" s="2" t="s">
        <v>14</v>
      </c>
      <c r="C3662" s="1" t="str">
        <f>IFERROR(__xludf.DUMMYFUNCTION("GOOGLETRANSLATE(A3662,""en"",""pt-br"")"),"jubilante")</f>
        <v>jubilante</v>
      </c>
      <c r="D3662" s="1" t="str">
        <f>IFERROR(__xludf.DUMMYFUNCTION("GOOGLETRANSLATE(B3662,""en"",""pt-br"")"),"positivo")</f>
        <v>positivo</v>
      </c>
    </row>
    <row r="3663" ht="15.75" customHeight="1">
      <c r="A3663" s="2" t="s">
        <v>3662</v>
      </c>
      <c r="B3663" s="2" t="s">
        <v>14</v>
      </c>
      <c r="C3663" s="1" t="str">
        <f>IFERROR(__xludf.DUMMYFUNCTION("GOOGLETRANSLATE(A3663,""en"",""pt-br"")"),"jubilantemente")</f>
        <v>jubilantemente</v>
      </c>
      <c r="D3663" s="1" t="str">
        <f>IFERROR(__xludf.DUMMYFUNCTION("GOOGLETRANSLATE(B3663,""en"",""pt-br"")"),"positivo")</f>
        <v>positivo</v>
      </c>
    </row>
    <row r="3664" ht="15.75" customHeight="1">
      <c r="A3664" s="2" t="s">
        <v>3663</v>
      </c>
      <c r="B3664" s="2" t="s">
        <v>14</v>
      </c>
      <c r="C3664" s="1" t="str">
        <f>IFERROR(__xludf.DUMMYFUNCTION("GOOGLETRANSLATE(A3664,""en"",""pt-br"")"),"exultar")</f>
        <v>exultar</v>
      </c>
      <c r="D3664" s="1" t="str">
        <f>IFERROR(__xludf.DUMMYFUNCTION("GOOGLETRANSLATE(B3664,""en"",""pt-br"")"),"positivo")</f>
        <v>positivo</v>
      </c>
    </row>
    <row r="3665" ht="15.75" customHeight="1">
      <c r="A3665" s="2" t="s">
        <v>3664</v>
      </c>
      <c r="B3665" s="2" t="s">
        <v>14</v>
      </c>
      <c r="C3665" s="1" t="str">
        <f>IFERROR(__xludf.DUMMYFUNCTION("GOOGLETRANSLATE(A3665,""en"",""pt-br"")"),"júbilo")</f>
        <v>júbilo</v>
      </c>
      <c r="D3665" s="1" t="str">
        <f>IFERROR(__xludf.DUMMYFUNCTION("GOOGLETRANSLATE(B3665,""en"",""pt-br"")"),"positivo")</f>
        <v>positivo</v>
      </c>
    </row>
    <row r="3666" ht="15.75" customHeight="1">
      <c r="A3666" s="2" t="s">
        <v>3665</v>
      </c>
      <c r="B3666" s="2" t="s">
        <v>14</v>
      </c>
      <c r="C3666" s="1" t="str">
        <f>IFERROR(__xludf.DUMMYFUNCTION("GOOGLETRANSLATE(A3666,""en"",""pt-br"")"),"jubiliant")</f>
        <v>jubiliant</v>
      </c>
      <c r="D3666" s="1" t="str">
        <f>IFERROR(__xludf.DUMMYFUNCTION("GOOGLETRANSLATE(B3666,""en"",""pt-br"")"),"positivo")</f>
        <v>positivo</v>
      </c>
    </row>
    <row r="3667" ht="15.75" customHeight="1">
      <c r="A3667" s="2" t="s">
        <v>3666</v>
      </c>
      <c r="B3667" s="2" t="s">
        <v>3</v>
      </c>
      <c r="C3667" s="1" t="str">
        <f>IFERROR(__xludf.DUMMYFUNCTION("GOOGLETRANSLATE(A3667,""en"",""pt-br"")"),"trepidação")</f>
        <v>trepidação</v>
      </c>
      <c r="D3667" s="1" t="str">
        <f>IFERROR(__xludf.DUMMYFUNCTION("GOOGLETRANSLATE(B3667,""en"",""pt-br"")"),"negativo")</f>
        <v>negativo</v>
      </c>
    </row>
    <row r="3668" ht="15.75" customHeight="1">
      <c r="A3668" s="2" t="s">
        <v>3667</v>
      </c>
      <c r="B3668" s="2" t="s">
        <v>3</v>
      </c>
      <c r="C3668" s="1" t="str">
        <f>IFERROR(__xludf.DUMMYFUNCTION("GOOGLETRANSLATE(A3668,""en"",""pt-br"")"),"trepidação")</f>
        <v>trepidação</v>
      </c>
      <c r="D3668" s="1" t="str">
        <f>IFERROR(__xludf.DUMMYFUNCTION("GOOGLETRANSLATE(B3668,""en"",""pt-br"")"),"negativo")</f>
        <v>negativo</v>
      </c>
    </row>
    <row r="3669" ht="15.75" customHeight="1">
      <c r="A3669" s="2" t="s">
        <v>3668</v>
      </c>
      <c r="B3669" s="2" t="s">
        <v>3</v>
      </c>
      <c r="C3669" s="1" t="str">
        <f>IFERROR(__xludf.DUMMYFUNCTION("GOOGLETRANSLATE(A3669,""en"",""pt-br"")"),"trepidações")</f>
        <v>trepidações</v>
      </c>
      <c r="D3669" s="1" t="str">
        <f>IFERROR(__xludf.DUMMYFUNCTION("GOOGLETRANSLATE(B3669,""en"",""pt-br"")"),"negativo")</f>
        <v>negativo</v>
      </c>
    </row>
    <row r="3670" ht="15.75" customHeight="1">
      <c r="A3670" s="2" t="s">
        <v>3669</v>
      </c>
      <c r="B3670" s="2" t="s">
        <v>14</v>
      </c>
      <c r="C3670" s="1" t="str">
        <f>IFERROR(__xludf.DUMMYFUNCTION("GOOGLETRANSLATE(A3670,""en"",""pt-br"")"),"judicioso")</f>
        <v>judicioso</v>
      </c>
      <c r="D3670" s="1" t="str">
        <f>IFERROR(__xludf.DUMMYFUNCTION("GOOGLETRANSLATE(B3670,""en"",""pt-br"")"),"positivo")</f>
        <v>positivo</v>
      </c>
    </row>
    <row r="3671" ht="15.75" customHeight="1">
      <c r="A3671" s="2" t="s">
        <v>3670</v>
      </c>
      <c r="B3671" s="2" t="s">
        <v>3</v>
      </c>
      <c r="C3671" s="1" t="str">
        <f>IFERROR(__xludf.DUMMYFUNCTION("GOOGLETRANSLATE(A3671,""en"",""pt-br"")"),"saltitante")</f>
        <v>saltitante</v>
      </c>
      <c r="D3671" s="1" t="str">
        <f>IFERROR(__xludf.DUMMYFUNCTION("GOOGLETRANSLATE(B3671,""en"",""pt-br"")"),"negativo")</f>
        <v>negativo</v>
      </c>
    </row>
    <row r="3672" ht="15.75" customHeight="1">
      <c r="A3672" s="2" t="s">
        <v>3671</v>
      </c>
      <c r="B3672" s="2" t="s">
        <v>3</v>
      </c>
      <c r="C3672" s="1" t="str">
        <f>IFERROR(__xludf.DUMMYFUNCTION("GOOGLETRANSLATE(A3672,""en"",""pt-br"")"),"lixo")</f>
        <v>lixo</v>
      </c>
      <c r="D3672" s="1" t="str">
        <f>IFERROR(__xludf.DUMMYFUNCTION("GOOGLETRANSLATE(B3672,""en"",""pt-br"")"),"negativo")</f>
        <v>negativo</v>
      </c>
    </row>
    <row r="3673" ht="15.75" customHeight="1">
      <c r="A3673" s="2" t="s">
        <v>3672</v>
      </c>
      <c r="B3673" s="2" t="s">
        <v>3</v>
      </c>
      <c r="C3673" s="1" t="str">
        <f>IFERROR(__xludf.DUMMYFUNCTION("GOOGLETRANSLATE(A3673,""en"",""pt-br"")"),"junky")</f>
        <v>junky</v>
      </c>
      <c r="D3673" s="1" t="str">
        <f>IFERROR(__xludf.DUMMYFUNCTION("GOOGLETRANSLATE(B3673,""en"",""pt-br"")"),"negativo")</f>
        <v>negativo</v>
      </c>
    </row>
    <row r="3674" ht="15.75" customHeight="1">
      <c r="A3674" s="2" t="s">
        <v>3673</v>
      </c>
      <c r="B3674" s="2" t="s">
        <v>3</v>
      </c>
      <c r="C3674" s="1" t="str">
        <f>IFERROR(__xludf.DUMMYFUNCTION("GOOGLETRANSLATE(A3674,""en"",""pt-br"")"),"ferro velho")</f>
        <v>ferro velho</v>
      </c>
      <c r="D3674" s="1" t="str">
        <f>IFERROR(__xludf.DUMMYFUNCTION("GOOGLETRANSLATE(B3674,""en"",""pt-br"")"),"negativo")</f>
        <v>negativo</v>
      </c>
    </row>
    <row r="3675" ht="15.75" customHeight="1">
      <c r="A3675" s="2" t="s">
        <v>3674</v>
      </c>
      <c r="B3675" s="2" t="s">
        <v>14</v>
      </c>
      <c r="C3675" s="1" t="str">
        <f>IFERROR(__xludf.DUMMYFUNCTION("GOOGLETRANSLATE(A3675,""en"",""pt-br"")"),"justamente")</f>
        <v>justamente</v>
      </c>
      <c r="D3675" s="1" t="str">
        <f>IFERROR(__xludf.DUMMYFUNCTION("GOOGLETRANSLATE(B3675,""en"",""pt-br"")"),"positivo")</f>
        <v>positivo</v>
      </c>
    </row>
    <row r="3676" ht="15.75" customHeight="1">
      <c r="A3676" s="2" t="s">
        <v>3675</v>
      </c>
      <c r="B3676" s="2" t="s">
        <v>3</v>
      </c>
      <c r="C3676" s="1" t="str">
        <f>IFERROR(__xludf.DUMMYFUNCTION("GOOGLETRANSLATE(A3676,""en"",""pt-br"")"),"Jutter")</f>
        <v>Jutter</v>
      </c>
      <c r="D3676" s="1" t="str">
        <f>IFERROR(__xludf.DUMMYFUNCTION("GOOGLETRANSLATE(B3676,""en"",""pt-br"")"),"negativo")</f>
        <v>negativo</v>
      </c>
    </row>
    <row r="3677" ht="15.75" customHeight="1">
      <c r="A3677" s="2" t="s">
        <v>3676</v>
      </c>
      <c r="B3677" s="2" t="s">
        <v>3</v>
      </c>
      <c r="C3677" s="1" t="str">
        <f>IFERROR(__xludf.DUMMYFUNCTION("GOOGLETRANSLATE(A3677,""en"",""pt-br"")"),"Jutters")</f>
        <v>Jutters</v>
      </c>
      <c r="D3677" s="1" t="str">
        <f>IFERROR(__xludf.DUMMYFUNCTION("GOOGLETRANSLATE(B3677,""en"",""pt-br"")"),"negativo")</f>
        <v>negativo</v>
      </c>
    </row>
    <row r="3678" ht="15.75" customHeight="1">
      <c r="A3678" s="2" t="s">
        <v>3677</v>
      </c>
      <c r="B3678" s="2" t="s">
        <v>3</v>
      </c>
      <c r="C3678" s="1" t="str">
        <f>IFERROR(__xludf.DUMMYFUNCTION("GOOGLETRANSLATE(A3678,""en"",""pt-br"")"),"arruinado")</f>
        <v>arruinado</v>
      </c>
      <c r="D3678" s="1" t="str">
        <f>IFERROR(__xludf.DUMMYFUNCTION("GOOGLETRANSLATE(B3678,""en"",""pt-br"")"),"negativo")</f>
        <v>negativo</v>
      </c>
    </row>
    <row r="3679" ht="15.75" customHeight="1">
      <c r="A3679" s="2" t="s">
        <v>3678</v>
      </c>
      <c r="B3679" s="2" t="s">
        <v>14</v>
      </c>
      <c r="C3679" s="1" t="str">
        <f>IFERROR(__xludf.DUMMYFUNCTION("GOOGLETRANSLATE(A3679,""en"",""pt-br"")"),"afiado")</f>
        <v>afiado</v>
      </c>
      <c r="D3679" s="1" t="str">
        <f>IFERROR(__xludf.DUMMYFUNCTION("GOOGLETRANSLATE(B3679,""en"",""pt-br"")"),"positivo")</f>
        <v>positivo</v>
      </c>
    </row>
    <row r="3680" ht="15.75" customHeight="1">
      <c r="A3680" s="2" t="s">
        <v>3679</v>
      </c>
      <c r="B3680" s="2" t="s">
        <v>14</v>
      </c>
      <c r="C3680" s="1" t="str">
        <f>IFERROR(__xludf.DUMMYFUNCTION("GOOGLETRANSLATE(A3680,""en"",""pt-br"")"),"agudamente")</f>
        <v>agudamente</v>
      </c>
      <c r="D3680" s="1" t="str">
        <f>IFERROR(__xludf.DUMMYFUNCTION("GOOGLETRANSLATE(B3680,""en"",""pt-br"")"),"positivo")</f>
        <v>positivo</v>
      </c>
    </row>
    <row r="3681" ht="15.75" customHeight="1">
      <c r="A3681" s="2" t="s">
        <v>3680</v>
      </c>
      <c r="B3681" s="2" t="s">
        <v>14</v>
      </c>
      <c r="C3681" s="1" t="str">
        <f>IFERROR(__xludf.DUMMYFUNCTION("GOOGLETRANSLATE(A3681,""en"",""pt-br"")"),"keenness")</f>
        <v>keenness</v>
      </c>
      <c r="D3681" s="1" t="str">
        <f>IFERROR(__xludf.DUMMYFUNCTION("GOOGLETRANSLATE(B3681,""en"",""pt-br"")"),"positivo")</f>
        <v>positivo</v>
      </c>
    </row>
    <row r="3682" ht="15.75" customHeight="1">
      <c r="A3682" s="2" t="s">
        <v>3681</v>
      </c>
      <c r="B3682" s="2" t="s">
        <v>14</v>
      </c>
      <c r="C3682" s="1" t="str">
        <f>IFERROR(__xludf.DUMMYFUNCTION("GOOGLETRANSLATE(A3682,""en"",""pt-br"")"),"kid-friendly")</f>
        <v>kid-friendly</v>
      </c>
      <c r="D3682" s="1" t="str">
        <f>IFERROR(__xludf.DUMMYFUNCTION("GOOGLETRANSLATE(B3682,""en"",""pt-br"")"),"positivo")</f>
        <v>positivo</v>
      </c>
    </row>
    <row r="3683" ht="15.75" customHeight="1">
      <c r="A3683" s="2" t="s">
        <v>3682</v>
      </c>
      <c r="B3683" s="2" t="s">
        <v>3</v>
      </c>
      <c r="C3683" s="1" t="str">
        <f>IFERROR(__xludf.DUMMYFUNCTION("GOOGLETRANSLATE(A3683,""en"",""pt-br"")"),"mate")</f>
        <v>mate</v>
      </c>
      <c r="D3683" s="1" t="str">
        <f>IFERROR(__xludf.DUMMYFUNCTION("GOOGLETRANSLATE(B3683,""en"",""pt-br"")"),"negativo")</f>
        <v>negativo</v>
      </c>
    </row>
    <row r="3684" ht="15.75" customHeight="1">
      <c r="A3684" s="2" t="s">
        <v>3683</v>
      </c>
      <c r="B3684" s="2" t="s">
        <v>3</v>
      </c>
      <c r="C3684" s="1" t="str">
        <f>IFERROR(__xludf.DUMMYFUNCTION("GOOGLETRANSLATE(A3684,""en"",""pt-br"")"),"assassinado")</f>
        <v>assassinado</v>
      </c>
      <c r="D3684" s="1" t="str">
        <f>IFERROR(__xludf.DUMMYFUNCTION("GOOGLETRANSLATE(B3684,""en"",""pt-br"")"),"negativo")</f>
        <v>negativo</v>
      </c>
    </row>
    <row r="3685" ht="15.75" customHeight="1">
      <c r="A3685" s="2" t="s">
        <v>3684</v>
      </c>
      <c r="B3685" s="2" t="s">
        <v>3</v>
      </c>
      <c r="C3685" s="1" t="str">
        <f>IFERROR(__xludf.DUMMYFUNCTION("GOOGLETRANSLATE(A3685,""en"",""pt-br"")"),"assassino")</f>
        <v>assassino</v>
      </c>
      <c r="D3685" s="1" t="str">
        <f>IFERROR(__xludf.DUMMYFUNCTION("GOOGLETRANSLATE(B3685,""en"",""pt-br"")"),"negativo")</f>
        <v>negativo</v>
      </c>
    </row>
    <row r="3686" ht="15.75" customHeight="1">
      <c r="A3686" s="2" t="s">
        <v>3685</v>
      </c>
      <c r="B3686" s="2" t="s">
        <v>3</v>
      </c>
      <c r="C3686" s="1" t="str">
        <f>IFERROR(__xludf.DUMMYFUNCTION("GOOGLETRANSLATE(A3686,""en"",""pt-br"")"),"matando")</f>
        <v>matando</v>
      </c>
      <c r="D3686" s="1" t="str">
        <f>IFERROR(__xludf.DUMMYFUNCTION("GOOGLETRANSLATE(B3686,""en"",""pt-br"")"),"negativo")</f>
        <v>negativo</v>
      </c>
    </row>
    <row r="3687" ht="15.75" customHeight="1">
      <c r="A3687" s="2" t="s">
        <v>3686</v>
      </c>
      <c r="B3687" s="2" t="s">
        <v>3</v>
      </c>
      <c r="C3687" s="1" t="str">
        <f>IFERROR(__xludf.DUMMYFUNCTION("GOOGLETRANSLATE(A3687,""en"",""pt-br"")"),"desmancha-prazeres")</f>
        <v>desmancha-prazeres</v>
      </c>
      <c r="D3687" s="1" t="str">
        <f>IFERROR(__xludf.DUMMYFUNCTION("GOOGLETRANSLATE(B3687,""en"",""pt-br"")"),"negativo")</f>
        <v>negativo</v>
      </c>
    </row>
    <row r="3688" ht="15.75" customHeight="1">
      <c r="A3688" s="2" t="s">
        <v>3687</v>
      </c>
      <c r="B3688" s="2" t="s">
        <v>3</v>
      </c>
      <c r="C3688" s="1" t="str">
        <f>IFERROR(__xludf.DUMMYFUNCTION("GOOGLETRANSLATE(A3688,""en"",""pt-br"")"),"kills")</f>
        <v>kills</v>
      </c>
      <c r="D3688" s="1" t="str">
        <f>IFERROR(__xludf.DUMMYFUNCTION("GOOGLETRANSLATE(B3688,""en"",""pt-br"")"),"negativo")</f>
        <v>negativo</v>
      </c>
    </row>
    <row r="3689" ht="15.75" customHeight="1">
      <c r="A3689" s="2" t="s">
        <v>3688</v>
      </c>
      <c r="B3689" s="2" t="s">
        <v>14</v>
      </c>
      <c r="C3689" s="1" t="str">
        <f>IFERROR(__xludf.DUMMYFUNCTION("GOOGLETRANSLATE(A3689,""en"",""pt-br"")"),"bondade")</f>
        <v>bondade</v>
      </c>
      <c r="D3689" s="1" t="str">
        <f>IFERROR(__xludf.DUMMYFUNCTION("GOOGLETRANSLATE(B3689,""en"",""pt-br"")"),"positivo")</f>
        <v>positivo</v>
      </c>
    </row>
    <row r="3690" ht="15.75" customHeight="1">
      <c r="A3690" s="2" t="s">
        <v>3689</v>
      </c>
      <c r="B3690" s="2" t="s">
        <v>14</v>
      </c>
      <c r="C3690" s="1" t="str">
        <f>IFERROR(__xludf.DUMMYFUNCTION("GOOGLETRANSLATE(A3690,""en"",""pt-br"")"),"amavelmente")</f>
        <v>amavelmente</v>
      </c>
      <c r="D3690" s="1" t="str">
        <f>IFERROR(__xludf.DUMMYFUNCTION("GOOGLETRANSLATE(B3690,""en"",""pt-br"")"),"positivo")</f>
        <v>positivo</v>
      </c>
    </row>
    <row r="3691" ht="15.75" customHeight="1">
      <c r="A3691" s="2" t="s">
        <v>3690</v>
      </c>
      <c r="B3691" s="2" t="s">
        <v>14</v>
      </c>
      <c r="C3691" s="1" t="str">
        <f>IFERROR(__xludf.DUMMYFUNCTION("GOOGLETRANSLATE(A3691,""en"",""pt-br"")"),"bondade")</f>
        <v>bondade</v>
      </c>
      <c r="D3691" s="1" t="str">
        <f>IFERROR(__xludf.DUMMYFUNCTION("GOOGLETRANSLATE(B3691,""en"",""pt-br"")"),"positivo")</f>
        <v>positivo</v>
      </c>
    </row>
    <row r="3692" ht="15.75" customHeight="1">
      <c r="A3692" s="2" t="s">
        <v>3691</v>
      </c>
      <c r="B3692" s="2" t="s">
        <v>3</v>
      </c>
      <c r="C3692" s="1" t="str">
        <f>IFERROR(__xludf.DUMMYFUNCTION("GOOGLETRANSLATE(A3692,""en"",""pt-br"")"),"valete")</f>
        <v>valete</v>
      </c>
      <c r="D3692" s="1" t="str">
        <f>IFERROR(__xludf.DUMMYFUNCTION("GOOGLETRANSLATE(B3692,""en"",""pt-br"")"),"negativo")</f>
        <v>negativo</v>
      </c>
    </row>
    <row r="3693" ht="15.75" customHeight="1">
      <c r="A3693" s="2" t="s">
        <v>3692</v>
      </c>
      <c r="B3693" s="2" t="s">
        <v>3</v>
      </c>
      <c r="C3693" s="1" t="str">
        <f>IFERROR(__xludf.DUMMYFUNCTION("GOOGLETRANSLATE(A3693,""en"",""pt-br"")"),"faca")</f>
        <v>faca</v>
      </c>
      <c r="D3693" s="1" t="str">
        <f>IFERROR(__xludf.DUMMYFUNCTION("GOOGLETRANSLATE(B3693,""en"",""pt-br"")"),"negativo")</f>
        <v>negativo</v>
      </c>
    </row>
    <row r="3694" ht="15.75" customHeight="1">
      <c r="A3694" s="2" t="s">
        <v>3693</v>
      </c>
      <c r="B3694" s="2" t="s">
        <v>3</v>
      </c>
      <c r="C3694" s="1" t="str">
        <f>IFERROR(__xludf.DUMMYFUNCTION("GOOGLETRANSLATE(A3694,""en"",""pt-br"")"),"batida")</f>
        <v>batida</v>
      </c>
      <c r="D3694" s="1" t="str">
        <f>IFERROR(__xludf.DUMMYFUNCTION("GOOGLETRANSLATE(B3694,""en"",""pt-br"")"),"negativo")</f>
        <v>negativo</v>
      </c>
    </row>
    <row r="3695" ht="15.75" customHeight="1">
      <c r="A3695" s="2" t="s">
        <v>3694</v>
      </c>
      <c r="B3695" s="2" t="s">
        <v>3</v>
      </c>
      <c r="C3695" s="1" t="str">
        <f>IFERROR(__xludf.DUMMYFUNCTION("GOOGLETRANSLATE(A3695,""en"",""pt-br"")"),"nodoso")</f>
        <v>nodoso</v>
      </c>
      <c r="D3695" s="1" t="str">
        <f>IFERROR(__xludf.DUMMYFUNCTION("GOOGLETRANSLATE(B3695,""en"",""pt-br"")"),"negativo")</f>
        <v>negativo</v>
      </c>
    </row>
    <row r="3696" ht="15.75" customHeight="1">
      <c r="A3696" s="2" t="s">
        <v>3695</v>
      </c>
      <c r="B3696" s="2" t="s">
        <v>14</v>
      </c>
      <c r="C3696" s="1" t="str">
        <f>IFERROR(__xludf.DUMMYFUNCTION("GOOGLETRANSLATE(A3696,""en"",""pt-br"")"),"bem informado")</f>
        <v>bem informado</v>
      </c>
      <c r="D3696" s="1" t="str">
        <f>IFERROR(__xludf.DUMMYFUNCTION("GOOGLETRANSLATE(B3696,""en"",""pt-br"")"),"positivo")</f>
        <v>positivo</v>
      </c>
    </row>
    <row r="3697" ht="15.75" customHeight="1">
      <c r="A3697" s="2" t="s">
        <v>3696</v>
      </c>
      <c r="B3697" s="2" t="s">
        <v>3</v>
      </c>
      <c r="C3697" s="1" t="str">
        <f>IFERROR(__xludf.DUMMYFUNCTION("GOOGLETRANSLATE(A3697,""en"",""pt-br"")"),"maluco")</f>
        <v>maluco</v>
      </c>
      <c r="D3697" s="1" t="str">
        <f>IFERROR(__xludf.DUMMYFUNCTION("GOOGLETRANSLATE(B3697,""en"",""pt-br"")"),"negativo")</f>
        <v>negativo</v>
      </c>
    </row>
    <row r="3698" ht="15.75" customHeight="1">
      <c r="A3698" s="2" t="s">
        <v>3697</v>
      </c>
      <c r="B3698" s="2" t="s">
        <v>3</v>
      </c>
      <c r="C3698" s="1" t="str">
        <f>IFERROR(__xludf.DUMMYFUNCTION("GOOGLETRANSLATE(A3698,""en"",""pt-br"")"),"excêntrico")</f>
        <v>excêntrico</v>
      </c>
      <c r="D3698" s="1" t="str">
        <f>IFERROR(__xludf.DUMMYFUNCTION("GOOGLETRANSLATE(B3698,""en"",""pt-br"")"),"negativo")</f>
        <v>negativo</v>
      </c>
    </row>
    <row r="3699" ht="15.75" customHeight="1">
      <c r="A3699" s="2" t="s">
        <v>3698</v>
      </c>
      <c r="B3699" s="2" t="s">
        <v>14</v>
      </c>
      <c r="C3699" s="1" t="str">
        <f>IFERROR(__xludf.DUMMYFUNCTION("GOOGLETRANSLATE(A3699,""en"",""pt-br"")"),"glória")</f>
        <v>glória</v>
      </c>
      <c r="D3699" s="1" t="str">
        <f>IFERROR(__xludf.DUMMYFUNCTION("GOOGLETRANSLATE(B3699,""en"",""pt-br"")"),"positivo")</f>
        <v>positivo</v>
      </c>
    </row>
    <row r="3700" ht="15.75" customHeight="1">
      <c r="A3700" s="2" t="s">
        <v>3699</v>
      </c>
      <c r="B3700" s="2" t="s">
        <v>3</v>
      </c>
      <c r="C3700" s="1" t="str">
        <f>IFERROR(__xludf.DUMMYFUNCTION("GOOGLETRANSLATE(A3700,""en"",""pt-br"")"),"falta")</f>
        <v>falta</v>
      </c>
      <c r="D3700" s="1" t="str">
        <f>IFERROR(__xludf.DUMMYFUNCTION("GOOGLETRANSLATE(B3700,""en"",""pt-br"")"),"negativo")</f>
        <v>negativo</v>
      </c>
    </row>
    <row r="3701" ht="15.75" customHeight="1">
      <c r="A3701" s="2" t="s">
        <v>3700</v>
      </c>
      <c r="B3701" s="2" t="s">
        <v>3</v>
      </c>
      <c r="C3701" s="1" t="str">
        <f>IFERROR(__xludf.DUMMYFUNCTION("GOOGLETRANSLATE(A3701,""en"",""pt-br"")"),"lackadaisical")</f>
        <v>lackadaisical</v>
      </c>
      <c r="D3701" s="1" t="str">
        <f>IFERROR(__xludf.DUMMYFUNCTION("GOOGLETRANSLATE(B3701,""en"",""pt-br"")"),"negativo")</f>
        <v>negativo</v>
      </c>
    </row>
    <row r="3702" ht="15.75" customHeight="1">
      <c r="A3702" s="2" t="s">
        <v>3701</v>
      </c>
      <c r="B3702" s="2" t="s">
        <v>3</v>
      </c>
      <c r="C3702" s="1" t="str">
        <f>IFERROR(__xludf.DUMMYFUNCTION("GOOGLETRANSLATE(A3702,""en"",""pt-br"")"),"faltava")</f>
        <v>faltava</v>
      </c>
      <c r="D3702" s="1" t="str">
        <f>IFERROR(__xludf.DUMMYFUNCTION("GOOGLETRANSLATE(B3702,""en"",""pt-br"")"),"negativo")</f>
        <v>negativo</v>
      </c>
    </row>
    <row r="3703" ht="15.75" customHeight="1">
      <c r="A3703" s="2" t="s">
        <v>3702</v>
      </c>
      <c r="B3703" s="2" t="s">
        <v>3</v>
      </c>
      <c r="C3703" s="1" t="str">
        <f>IFERROR(__xludf.DUMMYFUNCTION("GOOGLETRANSLATE(A3703,""en"",""pt-br"")"),"lacaio")</f>
        <v>lacaio</v>
      </c>
      <c r="D3703" s="1" t="str">
        <f>IFERROR(__xludf.DUMMYFUNCTION("GOOGLETRANSLATE(B3703,""en"",""pt-br"")"),"negativo")</f>
        <v>negativo</v>
      </c>
    </row>
    <row r="3704" ht="15.75" customHeight="1">
      <c r="A3704" s="2" t="s">
        <v>3703</v>
      </c>
      <c r="B3704" s="2" t="s">
        <v>3</v>
      </c>
      <c r="C3704" s="1" t="str">
        <f>IFERROR(__xludf.DUMMYFUNCTION("GOOGLETRANSLATE(A3704,""en"",""pt-br"")"),"lacaios")</f>
        <v>lacaios</v>
      </c>
      <c r="D3704" s="1" t="str">
        <f>IFERROR(__xludf.DUMMYFUNCTION("GOOGLETRANSLATE(B3704,""en"",""pt-br"")"),"negativo")</f>
        <v>negativo</v>
      </c>
    </row>
    <row r="3705" ht="15.75" customHeight="1">
      <c r="A3705" s="2" t="s">
        <v>3704</v>
      </c>
      <c r="B3705" s="2" t="s">
        <v>3</v>
      </c>
      <c r="C3705" s="1" t="str">
        <f>IFERROR(__xludf.DUMMYFUNCTION("GOOGLETRANSLATE(A3705,""en"",""pt-br"")"),"em falta")</f>
        <v>em falta</v>
      </c>
      <c r="D3705" s="1" t="str">
        <f>IFERROR(__xludf.DUMMYFUNCTION("GOOGLETRANSLATE(B3705,""en"",""pt-br"")"),"negativo")</f>
        <v>negativo</v>
      </c>
    </row>
    <row r="3706" ht="15.75" customHeight="1">
      <c r="A3706" s="2" t="s">
        <v>3705</v>
      </c>
      <c r="B3706" s="2" t="s">
        <v>3</v>
      </c>
      <c r="C3706" s="1" t="str">
        <f>IFERROR(__xludf.DUMMYFUNCTION("GOOGLETRANSLATE(A3706,""en"",""pt-br"")"),"desbotado")</f>
        <v>desbotado</v>
      </c>
      <c r="D3706" s="1" t="str">
        <f>IFERROR(__xludf.DUMMYFUNCTION("GOOGLETRANSLATE(B3706,""en"",""pt-br"")"),"negativo")</f>
        <v>negativo</v>
      </c>
    </row>
    <row r="3707" ht="15.75" customHeight="1">
      <c r="A3707" s="2" t="s">
        <v>3706</v>
      </c>
      <c r="B3707" s="2" t="s">
        <v>3</v>
      </c>
      <c r="C3707" s="1" t="str">
        <f>IFERROR(__xludf.DUMMYFUNCTION("GOOGLETRANSLATE(A3707,""en"",""pt-br"")"),"carece")</f>
        <v>carece</v>
      </c>
      <c r="D3707" s="1" t="str">
        <f>IFERROR(__xludf.DUMMYFUNCTION("GOOGLETRANSLATE(B3707,""en"",""pt-br"")"),"negativo")</f>
        <v>negativo</v>
      </c>
    </row>
    <row r="3708" ht="15.75" customHeight="1">
      <c r="A3708" s="2" t="s">
        <v>3707</v>
      </c>
      <c r="B3708" s="2" t="s">
        <v>3</v>
      </c>
      <c r="C3708" s="1" t="str">
        <f>IFERROR(__xludf.DUMMYFUNCTION("GOOGLETRANSLATE(A3708,""en"",""pt-br"")"),"lacônico")</f>
        <v>lacônico</v>
      </c>
      <c r="D3708" s="1" t="str">
        <f>IFERROR(__xludf.DUMMYFUNCTION("GOOGLETRANSLATE(B3708,""en"",""pt-br"")"),"negativo")</f>
        <v>negativo</v>
      </c>
    </row>
    <row r="3709" ht="15.75" customHeight="1">
      <c r="A3709" s="2" t="s">
        <v>3708</v>
      </c>
      <c r="B3709" s="2" t="s">
        <v>3</v>
      </c>
      <c r="C3709" s="1" t="str">
        <f>IFERROR(__xludf.DUMMYFUNCTION("GOOGLETRANSLATE(A3709,""en"",""pt-br"")"),"atraso")</f>
        <v>atraso</v>
      </c>
      <c r="D3709" s="1" t="str">
        <f>IFERROR(__xludf.DUMMYFUNCTION("GOOGLETRANSLATE(B3709,""en"",""pt-br"")"),"negativo")</f>
        <v>negativo</v>
      </c>
    </row>
    <row r="3710" ht="15.75" customHeight="1">
      <c r="A3710" s="2" t="s">
        <v>3709</v>
      </c>
      <c r="B3710" s="2" t="s">
        <v>3</v>
      </c>
      <c r="C3710" s="1" t="str">
        <f>IFERROR(__xludf.DUMMYFUNCTION("GOOGLETRANSLATE(A3710,""en"",""pt-br"")"),"defasada")</f>
        <v>defasada</v>
      </c>
      <c r="D3710" s="1" t="str">
        <f>IFERROR(__xludf.DUMMYFUNCTION("GOOGLETRANSLATE(B3710,""en"",""pt-br"")"),"negativo")</f>
        <v>negativo</v>
      </c>
    </row>
    <row r="3711" ht="15.75" customHeight="1">
      <c r="A3711" s="2" t="s">
        <v>3710</v>
      </c>
      <c r="B3711" s="2" t="s">
        <v>3</v>
      </c>
      <c r="C3711" s="1" t="str">
        <f>IFERROR(__xludf.DUMMYFUNCTION("GOOGLETRANSLATE(A3711,""en"",""pt-br"")"),"atraso")</f>
        <v>atraso</v>
      </c>
      <c r="D3711" s="1" t="str">
        <f>IFERROR(__xludf.DUMMYFUNCTION("GOOGLETRANSLATE(B3711,""en"",""pt-br"")"),"negativo")</f>
        <v>negativo</v>
      </c>
    </row>
    <row r="3712" ht="15.75" customHeight="1">
      <c r="A3712" s="2" t="s">
        <v>3711</v>
      </c>
      <c r="B3712" s="2" t="s">
        <v>3</v>
      </c>
      <c r="C3712" s="1" t="str">
        <f>IFERROR(__xludf.DUMMYFUNCTION("GOOGLETRANSLATE(A3712,""en"",""pt-br"")"),"laggy")</f>
        <v>laggy</v>
      </c>
      <c r="D3712" s="1" t="str">
        <f>IFERROR(__xludf.DUMMYFUNCTION("GOOGLETRANSLATE(B3712,""en"",""pt-br"")"),"negativo")</f>
        <v>negativo</v>
      </c>
    </row>
    <row r="3713" ht="15.75" customHeight="1">
      <c r="A3713" s="2" t="s">
        <v>3712</v>
      </c>
      <c r="B3713" s="2" t="s">
        <v>3</v>
      </c>
      <c r="C3713" s="1" t="str">
        <f>IFERROR(__xludf.DUMMYFUNCTION("GOOGLETRANSLATE(A3713,""en"",""pt-br"")"),"defasagens")</f>
        <v>defasagens</v>
      </c>
      <c r="D3713" s="1" t="str">
        <f>IFERROR(__xludf.DUMMYFUNCTION("GOOGLETRANSLATE(B3713,""en"",""pt-br"")"),"negativo")</f>
        <v>negativo</v>
      </c>
    </row>
    <row r="3714" ht="15.75" customHeight="1">
      <c r="A3714" s="2" t="s">
        <v>3713</v>
      </c>
      <c r="B3714" s="2" t="s">
        <v>3</v>
      </c>
      <c r="C3714" s="1" t="str">
        <f>IFERROR(__xludf.DUMMYFUNCTION("GOOGLETRANSLATE(A3714,""en"",""pt-br"")"),"demitido")</f>
        <v>demitido</v>
      </c>
      <c r="D3714" s="1" t="str">
        <f>IFERROR(__xludf.DUMMYFUNCTION("GOOGLETRANSLATE(B3714,""en"",""pt-br"")"),"negativo")</f>
        <v>negativo</v>
      </c>
    </row>
    <row r="3715" ht="15.75" customHeight="1">
      <c r="A3715" s="2" t="s">
        <v>3714</v>
      </c>
      <c r="B3715" s="2" t="s">
        <v>3</v>
      </c>
      <c r="C3715" s="1" t="str">
        <f>IFERROR(__xludf.DUMMYFUNCTION("GOOGLETRANSLATE(A3715,""en"",""pt-br"")"),"lambast")</f>
        <v>lambast</v>
      </c>
      <c r="D3715" s="1" t="str">
        <f>IFERROR(__xludf.DUMMYFUNCTION("GOOGLETRANSLATE(B3715,""en"",""pt-br"")"),"negativo")</f>
        <v>negativo</v>
      </c>
    </row>
    <row r="3716" ht="15.75" customHeight="1">
      <c r="A3716" s="2" t="s">
        <v>3715</v>
      </c>
      <c r="B3716" s="2" t="s">
        <v>3</v>
      </c>
      <c r="C3716" s="1" t="str">
        <f>IFERROR(__xludf.DUMMYFUNCTION("GOOGLETRANSLATE(A3716,""en"",""pt-br"")"),"espancar")</f>
        <v>espancar</v>
      </c>
      <c r="D3716" s="1" t="str">
        <f>IFERROR(__xludf.DUMMYFUNCTION("GOOGLETRANSLATE(B3716,""en"",""pt-br"")"),"negativo")</f>
        <v>negativo</v>
      </c>
    </row>
    <row r="3717" ht="15.75" customHeight="1">
      <c r="A3717" s="2" t="s">
        <v>3716</v>
      </c>
      <c r="B3717" s="2" t="s">
        <v>3</v>
      </c>
      <c r="C3717" s="1" t="str">
        <f>IFERROR(__xludf.DUMMYFUNCTION("GOOGLETRANSLATE(A3717,""en"",""pt-br"")"),"coxo")</f>
        <v>coxo</v>
      </c>
      <c r="D3717" s="1" t="str">
        <f>IFERROR(__xludf.DUMMYFUNCTION("GOOGLETRANSLATE(B3717,""en"",""pt-br"")"),"negativo")</f>
        <v>negativo</v>
      </c>
    </row>
    <row r="3718" ht="15.75" customHeight="1">
      <c r="A3718" s="2" t="s">
        <v>3717</v>
      </c>
      <c r="B3718" s="2" t="s">
        <v>3</v>
      </c>
      <c r="C3718" s="1" t="str">
        <f>IFERROR(__xludf.DUMMYFUNCTION("GOOGLETRANSLATE(A3718,""en"",""pt-br"")"),"lame-duck")</f>
        <v>lame-duck</v>
      </c>
      <c r="D3718" s="1" t="str">
        <f>IFERROR(__xludf.DUMMYFUNCTION("GOOGLETRANSLATE(B3718,""en"",""pt-br"")"),"negativo")</f>
        <v>negativo</v>
      </c>
    </row>
    <row r="3719" ht="15.75" customHeight="1">
      <c r="A3719" s="2" t="s">
        <v>3718</v>
      </c>
      <c r="B3719" s="2" t="s">
        <v>3</v>
      </c>
      <c r="C3719" s="1" t="str">
        <f>IFERROR(__xludf.DUMMYFUNCTION("GOOGLETRANSLATE(A3719,""en"",""pt-br"")"),"lamento")</f>
        <v>lamento</v>
      </c>
      <c r="D3719" s="1" t="str">
        <f>IFERROR(__xludf.DUMMYFUNCTION("GOOGLETRANSLATE(B3719,""en"",""pt-br"")"),"negativo")</f>
        <v>negativo</v>
      </c>
    </row>
    <row r="3720" ht="15.75" customHeight="1">
      <c r="A3720" s="2" t="s">
        <v>3719</v>
      </c>
      <c r="B3720" s="2" t="s">
        <v>3</v>
      </c>
      <c r="C3720" s="1" t="str">
        <f>IFERROR(__xludf.DUMMYFUNCTION("GOOGLETRANSLATE(A3720,""en"",""pt-br"")"),"lamentável")</f>
        <v>lamentável</v>
      </c>
      <c r="D3720" s="1" t="str">
        <f>IFERROR(__xludf.DUMMYFUNCTION("GOOGLETRANSLATE(B3720,""en"",""pt-br"")"),"negativo")</f>
        <v>negativo</v>
      </c>
    </row>
    <row r="3721" ht="15.75" customHeight="1">
      <c r="A3721" s="2" t="s">
        <v>3720</v>
      </c>
      <c r="B3721" s="2" t="s">
        <v>3</v>
      </c>
      <c r="C3721" s="1" t="str">
        <f>IFERROR(__xludf.DUMMYFUNCTION("GOOGLETRANSLATE(A3721,""en"",""pt-br"")"),"lamentavelmente")</f>
        <v>lamentavelmente</v>
      </c>
      <c r="D3721" s="1" t="str">
        <f>IFERROR(__xludf.DUMMYFUNCTION("GOOGLETRANSLATE(B3721,""en"",""pt-br"")"),"negativo")</f>
        <v>negativo</v>
      </c>
    </row>
    <row r="3722" ht="15.75" customHeight="1">
      <c r="A3722" s="2" t="s">
        <v>3721</v>
      </c>
      <c r="B3722" s="2" t="s">
        <v>3</v>
      </c>
      <c r="C3722" s="1" t="str">
        <f>IFERROR(__xludf.DUMMYFUNCTION("GOOGLETRANSLATE(A3722,""en"",""pt-br"")"),"lânguido")</f>
        <v>lânguido</v>
      </c>
      <c r="D3722" s="1" t="str">
        <f>IFERROR(__xludf.DUMMYFUNCTION("GOOGLETRANSLATE(B3722,""en"",""pt-br"")"),"negativo")</f>
        <v>negativo</v>
      </c>
    </row>
    <row r="3723" ht="15.75" customHeight="1">
      <c r="A3723" s="2" t="s">
        <v>3722</v>
      </c>
      <c r="B3723" s="2" t="s">
        <v>3</v>
      </c>
      <c r="C3723" s="1" t="str">
        <f>IFERROR(__xludf.DUMMYFUNCTION("GOOGLETRANSLATE(A3723,""en"",""pt-br"")"),"definhar")</f>
        <v>definhar</v>
      </c>
      <c r="D3723" s="1" t="str">
        <f>IFERROR(__xludf.DUMMYFUNCTION("GOOGLETRANSLATE(B3723,""en"",""pt-br"")"),"negativo")</f>
        <v>negativo</v>
      </c>
    </row>
    <row r="3724" ht="15.75" customHeight="1">
      <c r="A3724" s="2" t="s">
        <v>3723</v>
      </c>
      <c r="B3724" s="2" t="s">
        <v>3</v>
      </c>
      <c r="C3724" s="1" t="str">
        <f>IFERROR(__xludf.DUMMYFUNCTION("GOOGLETRANSLATE(A3724,""en"",""pt-br"")"),"langor")</f>
        <v>langor</v>
      </c>
      <c r="D3724" s="1" t="str">
        <f>IFERROR(__xludf.DUMMYFUNCTION("GOOGLETRANSLATE(B3724,""en"",""pt-br"")"),"negativo")</f>
        <v>negativo</v>
      </c>
    </row>
    <row r="3725" ht="15.75" customHeight="1">
      <c r="A3725" s="2" t="s">
        <v>3724</v>
      </c>
      <c r="B3725" s="2" t="s">
        <v>3</v>
      </c>
      <c r="C3725" s="1" t="str">
        <f>IFERROR(__xludf.DUMMYFUNCTION("GOOGLETRANSLATE(A3725,""en"",""pt-br"")"),"langoroso")</f>
        <v>langoroso</v>
      </c>
      <c r="D3725" s="1" t="str">
        <f>IFERROR(__xludf.DUMMYFUNCTION("GOOGLETRANSLATE(B3725,""en"",""pt-br"")"),"negativo")</f>
        <v>negativo</v>
      </c>
    </row>
    <row r="3726" ht="15.75" customHeight="1">
      <c r="A3726" s="2" t="s">
        <v>3725</v>
      </c>
      <c r="B3726" s="2" t="s">
        <v>3</v>
      </c>
      <c r="C3726" s="1" t="str">
        <f>IFERROR(__xludf.DUMMYFUNCTION("GOOGLETRANSLATE(A3726,""en"",""pt-br"")"),"languorously")</f>
        <v>languorously</v>
      </c>
      <c r="D3726" s="1" t="str">
        <f>IFERROR(__xludf.DUMMYFUNCTION("GOOGLETRANSLATE(B3726,""en"",""pt-br"")"),"negativo")</f>
        <v>negativo</v>
      </c>
    </row>
    <row r="3727" ht="15.75" customHeight="1">
      <c r="A3727" s="2" t="s">
        <v>3726</v>
      </c>
      <c r="B3727" s="2" t="s">
        <v>3</v>
      </c>
      <c r="C3727" s="1" t="str">
        <f>IFERROR(__xludf.DUMMYFUNCTION("GOOGLETRANSLATE(A3727,""en"",""pt-br"")"),"esguio")</f>
        <v>esguio</v>
      </c>
      <c r="D3727" s="1" t="str">
        <f>IFERROR(__xludf.DUMMYFUNCTION("GOOGLETRANSLATE(B3727,""en"",""pt-br"")"),"negativo")</f>
        <v>negativo</v>
      </c>
    </row>
    <row r="3728" ht="15.75" customHeight="1">
      <c r="A3728" s="2" t="s">
        <v>3727</v>
      </c>
      <c r="B3728" s="2" t="s">
        <v>3</v>
      </c>
      <c r="C3728" s="1" t="str">
        <f>IFERROR(__xludf.DUMMYFUNCTION("GOOGLETRANSLATE(A3728,""en"",""pt-br"")"),"lapso")</f>
        <v>lapso</v>
      </c>
      <c r="D3728" s="1" t="str">
        <f>IFERROR(__xludf.DUMMYFUNCTION("GOOGLETRANSLATE(B3728,""en"",""pt-br"")"),"negativo")</f>
        <v>negativo</v>
      </c>
    </row>
    <row r="3729" ht="15.75" customHeight="1">
      <c r="A3729" s="2" t="s">
        <v>3728</v>
      </c>
      <c r="B3729" s="2" t="s">
        <v>3</v>
      </c>
      <c r="C3729" s="1" t="str">
        <f>IFERROR(__xludf.DUMMYFUNCTION("GOOGLETRANSLATE(A3729,""en"",""pt-br"")"),"caduco")</f>
        <v>caduco</v>
      </c>
      <c r="D3729" s="1" t="str">
        <f>IFERROR(__xludf.DUMMYFUNCTION("GOOGLETRANSLATE(B3729,""en"",""pt-br"")"),"negativo")</f>
        <v>negativo</v>
      </c>
    </row>
    <row r="3730" ht="15.75" customHeight="1">
      <c r="A3730" s="2" t="s">
        <v>3729</v>
      </c>
      <c r="B3730" s="2" t="s">
        <v>3</v>
      </c>
      <c r="C3730" s="1" t="str">
        <f>IFERROR(__xludf.DUMMYFUNCTION("GOOGLETRANSLATE(A3730,""en"",""pt-br"")"),"lapsos")</f>
        <v>lapsos</v>
      </c>
      <c r="D3730" s="1" t="str">
        <f>IFERROR(__xludf.DUMMYFUNCTION("GOOGLETRANSLATE(B3730,""en"",""pt-br"")"),"negativo")</f>
        <v>negativo</v>
      </c>
    </row>
    <row r="3731" ht="15.75" customHeight="1">
      <c r="A3731" s="2" t="s">
        <v>3730</v>
      </c>
      <c r="B3731" s="2" t="s">
        <v>14</v>
      </c>
      <c r="C3731" s="1" t="str">
        <f>IFERROR(__xludf.DUMMYFUNCTION("GOOGLETRANSLATE(A3731,""en"",""pt-br"")"),"De grande capacidade")</f>
        <v>De grande capacidade</v>
      </c>
      <c r="D3731" s="1" t="str">
        <f>IFERROR(__xludf.DUMMYFUNCTION("GOOGLETRANSLATE(B3731,""en"",""pt-br"")"),"positivo")</f>
        <v>positivo</v>
      </c>
    </row>
    <row r="3732" ht="15.75" customHeight="1">
      <c r="A3732" s="2" t="s">
        <v>3731</v>
      </c>
      <c r="B3732" s="2" t="s">
        <v>3</v>
      </c>
      <c r="C3732" s="1" t="str">
        <f>IFERROR(__xludf.DUMMYFUNCTION("GOOGLETRANSLATE(A3732,""en"",""pt-br"")"),"lascivo")</f>
        <v>lascivo</v>
      </c>
      <c r="D3732" s="1" t="str">
        <f>IFERROR(__xludf.DUMMYFUNCTION("GOOGLETRANSLATE(B3732,""en"",""pt-br"")"),"negativo")</f>
        <v>negativo</v>
      </c>
    </row>
    <row r="3733" ht="15.75" customHeight="1">
      <c r="A3733" s="2" t="s">
        <v>3732</v>
      </c>
      <c r="B3733" s="2" t="s">
        <v>3</v>
      </c>
      <c r="C3733" s="1" t="str">
        <f>IFERROR(__xludf.DUMMYFUNCTION("GOOGLETRANSLATE(A3733,""en"",""pt-br"")"),"de última hora")</f>
        <v>de última hora</v>
      </c>
      <c r="D3733" s="1" t="str">
        <f>IFERROR(__xludf.DUMMYFUNCTION("GOOGLETRANSLATE(B3733,""en"",""pt-br"")"),"negativo")</f>
        <v>negativo</v>
      </c>
    </row>
    <row r="3734" ht="15.75" customHeight="1">
      <c r="A3734" s="2" t="s">
        <v>3733</v>
      </c>
      <c r="B3734" s="2" t="s">
        <v>3</v>
      </c>
      <c r="C3734" s="1" t="str">
        <f>IFERROR(__xludf.DUMMYFUNCTION("GOOGLETRANSLATE(A3734,""en"",""pt-br"")"),"latência")</f>
        <v>latência</v>
      </c>
      <c r="D3734" s="1" t="str">
        <f>IFERROR(__xludf.DUMMYFUNCTION("GOOGLETRANSLATE(B3734,""en"",""pt-br"")"),"negativo")</f>
        <v>negativo</v>
      </c>
    </row>
    <row r="3735" ht="15.75" customHeight="1">
      <c r="A3735" s="2" t="s">
        <v>3734</v>
      </c>
      <c r="B3735" s="2" t="s">
        <v>14</v>
      </c>
      <c r="C3735" s="1" t="str">
        <f>IFERROR(__xludf.DUMMYFUNCTION("GOOGLETRANSLATE(A3735,""en"",""pt-br"")"),"laud")</f>
        <v>laud</v>
      </c>
      <c r="D3735" s="1" t="str">
        <f>IFERROR(__xludf.DUMMYFUNCTION("GOOGLETRANSLATE(B3735,""en"",""pt-br"")"),"positivo")</f>
        <v>positivo</v>
      </c>
    </row>
    <row r="3736" ht="15.75" customHeight="1">
      <c r="A3736" s="2" t="s">
        <v>3735</v>
      </c>
      <c r="B3736" s="2" t="s">
        <v>14</v>
      </c>
      <c r="C3736" s="1" t="str">
        <f>IFERROR(__xludf.DUMMYFUNCTION("GOOGLETRANSLATE(A3736,""en"",""pt-br"")"),"louvável")</f>
        <v>louvável</v>
      </c>
      <c r="D3736" s="1" t="str">
        <f>IFERROR(__xludf.DUMMYFUNCTION("GOOGLETRANSLATE(B3736,""en"",""pt-br"")"),"positivo")</f>
        <v>positivo</v>
      </c>
    </row>
    <row r="3737" ht="15.75" customHeight="1">
      <c r="A3737" s="2" t="s">
        <v>3736</v>
      </c>
      <c r="B3737" s="2" t="s">
        <v>14</v>
      </c>
      <c r="C3737" s="1" t="str">
        <f>IFERROR(__xludf.DUMMYFUNCTION("GOOGLETRANSLATE(A3737,""en"",""pt-br"")"),"louvavelmente")</f>
        <v>louvavelmente</v>
      </c>
      <c r="D3737" s="1" t="str">
        <f>IFERROR(__xludf.DUMMYFUNCTION("GOOGLETRANSLATE(B3737,""en"",""pt-br"")"),"positivo")</f>
        <v>positivo</v>
      </c>
    </row>
    <row r="3738" ht="15.75" customHeight="1">
      <c r="A3738" s="2" t="s">
        <v>3737</v>
      </c>
      <c r="B3738" s="2" t="s">
        <v>3</v>
      </c>
      <c r="C3738" s="1" t="str">
        <f>IFERROR(__xludf.DUMMYFUNCTION("GOOGLETRANSLATE(A3738,""en"",""pt-br"")"),"risível")</f>
        <v>risível</v>
      </c>
      <c r="D3738" s="1" t="str">
        <f>IFERROR(__xludf.DUMMYFUNCTION("GOOGLETRANSLATE(B3738,""en"",""pt-br"")"),"negativo")</f>
        <v>negativo</v>
      </c>
    </row>
    <row r="3739" ht="15.75" customHeight="1">
      <c r="A3739" s="2" t="s">
        <v>3738</v>
      </c>
      <c r="B3739" s="2" t="s">
        <v>3</v>
      </c>
      <c r="C3739" s="1" t="str">
        <f>IFERROR(__xludf.DUMMYFUNCTION("GOOGLETRANSLATE(A3739,""en"",""pt-br"")"),"laughably")</f>
        <v>laughably</v>
      </c>
      <c r="D3739" s="1" t="str">
        <f>IFERROR(__xludf.DUMMYFUNCTION("GOOGLETRANSLATE(B3739,""en"",""pt-br"")"),"negativo")</f>
        <v>negativo</v>
      </c>
    </row>
    <row r="3740" ht="15.75" customHeight="1">
      <c r="A3740" s="2" t="s">
        <v>3739</v>
      </c>
      <c r="B3740" s="2" t="s">
        <v>3</v>
      </c>
      <c r="C3740" s="1" t="str">
        <f>IFERROR(__xludf.DUMMYFUNCTION("GOOGLETRANSLATE(A3740,""en"",""pt-br"")"),"chacota")</f>
        <v>chacota</v>
      </c>
      <c r="D3740" s="1" t="str">
        <f>IFERROR(__xludf.DUMMYFUNCTION("GOOGLETRANSLATE(B3740,""en"",""pt-br"")"),"negativo")</f>
        <v>negativo</v>
      </c>
    </row>
    <row r="3741" ht="15.75" customHeight="1">
      <c r="A3741" s="2" t="s">
        <v>3740</v>
      </c>
      <c r="B3741" s="2" t="s">
        <v>14</v>
      </c>
      <c r="C3741" s="1" t="str">
        <f>IFERROR(__xludf.DUMMYFUNCTION("GOOGLETRANSLATE(A3741,""en"",""pt-br"")"),"pródigo")</f>
        <v>pródigo</v>
      </c>
      <c r="D3741" s="1" t="str">
        <f>IFERROR(__xludf.DUMMYFUNCTION("GOOGLETRANSLATE(B3741,""en"",""pt-br"")"),"positivo")</f>
        <v>positivo</v>
      </c>
    </row>
    <row r="3742" ht="15.75" customHeight="1">
      <c r="A3742" s="2" t="s">
        <v>3741</v>
      </c>
      <c r="B3742" s="2" t="s">
        <v>14</v>
      </c>
      <c r="C3742" s="1" t="str">
        <f>IFERROR(__xludf.DUMMYFUNCTION("GOOGLETRANSLATE(A3742,""en"",""pt-br"")"),"ricamente")</f>
        <v>ricamente</v>
      </c>
      <c r="D3742" s="1" t="str">
        <f>IFERROR(__xludf.DUMMYFUNCTION("GOOGLETRANSLATE(B3742,""en"",""pt-br"")"),"positivo")</f>
        <v>positivo</v>
      </c>
    </row>
    <row r="3743" ht="15.75" customHeight="1">
      <c r="A3743" s="2" t="s">
        <v>3742</v>
      </c>
      <c r="B3743" s="2" t="s">
        <v>14</v>
      </c>
      <c r="C3743" s="1" t="str">
        <f>IFERROR(__xludf.DUMMYFUNCTION("GOOGLETRANSLATE(A3743,""en"",""pt-br"")"),"obediente à lei")</f>
        <v>obediente à lei</v>
      </c>
      <c r="D3743" s="1" t="str">
        <f>IFERROR(__xludf.DUMMYFUNCTION("GOOGLETRANSLATE(B3743,""en"",""pt-br"")"),"positivo")</f>
        <v>positivo</v>
      </c>
    </row>
    <row r="3744" ht="15.75" customHeight="1">
      <c r="A3744" s="2" t="s">
        <v>3743</v>
      </c>
      <c r="B3744" s="2" t="s">
        <v>3</v>
      </c>
      <c r="C3744" s="1" t="str">
        <f>IFERROR(__xludf.DUMMYFUNCTION("GOOGLETRANSLATE(A3744,""en"",""pt-br"")"),"transgressor")</f>
        <v>transgressor</v>
      </c>
      <c r="D3744" s="1" t="str">
        <f>IFERROR(__xludf.DUMMYFUNCTION("GOOGLETRANSLATE(B3744,""en"",""pt-br"")"),"negativo")</f>
        <v>negativo</v>
      </c>
    </row>
    <row r="3745" ht="15.75" customHeight="1">
      <c r="A3745" s="2" t="s">
        <v>3744</v>
      </c>
      <c r="B3745" s="2" t="s">
        <v>3</v>
      </c>
      <c r="C3745" s="1" t="str">
        <f>IFERROR(__xludf.DUMMYFUNCTION("GOOGLETRANSLATE(A3745,""en"",""pt-br"")"),"lawbreaking")</f>
        <v>lawbreaking</v>
      </c>
      <c r="D3745" s="1" t="str">
        <f>IFERROR(__xludf.DUMMYFUNCTION("GOOGLETRANSLATE(B3745,""en"",""pt-br"")"),"negativo")</f>
        <v>negativo</v>
      </c>
    </row>
    <row r="3746" ht="15.75" customHeight="1">
      <c r="A3746" s="2" t="s">
        <v>3745</v>
      </c>
      <c r="B3746" s="2" t="s">
        <v>14</v>
      </c>
      <c r="C3746" s="1" t="str">
        <f>IFERROR(__xludf.DUMMYFUNCTION("GOOGLETRANSLATE(A3746,""en"",""pt-br"")"),"legal")</f>
        <v>legal</v>
      </c>
      <c r="D3746" s="1" t="str">
        <f>IFERROR(__xludf.DUMMYFUNCTION("GOOGLETRANSLATE(B3746,""en"",""pt-br"")"),"positivo")</f>
        <v>positivo</v>
      </c>
    </row>
    <row r="3747" ht="15.75" customHeight="1">
      <c r="A3747" s="2" t="s">
        <v>3746</v>
      </c>
      <c r="B3747" s="2" t="s">
        <v>14</v>
      </c>
      <c r="C3747" s="1" t="str">
        <f>IFERROR(__xludf.DUMMYFUNCTION("GOOGLETRANSLATE(A3747,""en"",""pt-br"")"),"legalmente")</f>
        <v>legalmente</v>
      </c>
      <c r="D3747" s="1" t="str">
        <f>IFERROR(__xludf.DUMMYFUNCTION("GOOGLETRANSLATE(B3747,""en"",""pt-br"")"),"positivo")</f>
        <v>positivo</v>
      </c>
    </row>
    <row r="3748" ht="15.75" customHeight="1">
      <c r="A3748" s="2" t="s">
        <v>3747</v>
      </c>
      <c r="B3748" s="2" t="s">
        <v>3</v>
      </c>
      <c r="C3748" s="1" t="str">
        <f>IFERROR(__xludf.DUMMYFUNCTION("GOOGLETRANSLATE(A3748,""en"",""pt-br"")"),"sem lei")</f>
        <v>sem lei</v>
      </c>
      <c r="D3748" s="1" t="str">
        <f>IFERROR(__xludf.DUMMYFUNCTION("GOOGLETRANSLATE(B3748,""en"",""pt-br"")"),"negativo")</f>
        <v>negativo</v>
      </c>
    </row>
    <row r="3749" ht="15.75" customHeight="1">
      <c r="A3749" s="2" t="s">
        <v>3748</v>
      </c>
      <c r="B3749" s="2" t="s">
        <v>3</v>
      </c>
      <c r="C3749" s="1" t="str">
        <f>IFERROR(__xludf.DUMMYFUNCTION("GOOGLETRANSLATE(A3749,""en"",""pt-br"")"),"ilegalidade")</f>
        <v>ilegalidade</v>
      </c>
      <c r="D3749" s="1" t="str">
        <f>IFERROR(__xludf.DUMMYFUNCTION("GOOGLETRANSLATE(B3749,""en"",""pt-br"")"),"negativo")</f>
        <v>negativo</v>
      </c>
    </row>
    <row r="3750" ht="15.75" customHeight="1">
      <c r="A3750" s="2" t="s">
        <v>3749</v>
      </c>
      <c r="B3750" s="2" t="s">
        <v>3</v>
      </c>
      <c r="C3750" s="1" t="str">
        <f>IFERROR(__xludf.DUMMYFUNCTION("GOOGLETRANSLATE(A3750,""en"",""pt-br"")"),"demitir")</f>
        <v>demitir</v>
      </c>
      <c r="D3750" s="1" t="str">
        <f>IFERROR(__xludf.DUMMYFUNCTION("GOOGLETRANSLATE(B3750,""en"",""pt-br"")"),"negativo")</f>
        <v>negativo</v>
      </c>
    </row>
    <row r="3751" ht="15.75" customHeight="1">
      <c r="A3751" s="2" t="s">
        <v>3750</v>
      </c>
      <c r="B3751" s="2" t="s">
        <v>3</v>
      </c>
      <c r="C3751" s="1" t="str">
        <f>IFERROR(__xludf.DUMMYFUNCTION("GOOGLETRANSLATE(A3751,""en"",""pt-br"")"),"layoff-happy")</f>
        <v>layoff-happy</v>
      </c>
      <c r="D3751" s="1" t="str">
        <f>IFERROR(__xludf.DUMMYFUNCTION("GOOGLETRANSLATE(B3751,""en"",""pt-br"")"),"negativo")</f>
        <v>negativo</v>
      </c>
    </row>
    <row r="3752" ht="15.75" customHeight="1">
      <c r="A3752" s="2" t="s">
        <v>3751</v>
      </c>
      <c r="B3752" s="2" t="s">
        <v>3</v>
      </c>
      <c r="C3752" s="1" t="str">
        <f>IFERROR(__xludf.DUMMYFUNCTION("GOOGLETRANSLATE(A3752,""en"",""pt-br"")"),"preguiçoso")</f>
        <v>preguiçoso</v>
      </c>
      <c r="D3752" s="1" t="str">
        <f>IFERROR(__xludf.DUMMYFUNCTION("GOOGLETRANSLATE(B3752,""en"",""pt-br"")"),"negativo")</f>
        <v>negativo</v>
      </c>
    </row>
    <row r="3753" ht="15.75" customHeight="1">
      <c r="A3753" s="2" t="s">
        <v>3752</v>
      </c>
      <c r="B3753" s="2" t="s">
        <v>14</v>
      </c>
      <c r="C3753" s="1" t="str">
        <f>IFERROR(__xludf.DUMMYFUNCTION("GOOGLETRANSLATE(A3753,""en"",""pt-br"")"),"conduzir")</f>
        <v>conduzir</v>
      </c>
      <c r="D3753" s="1" t="str">
        <f>IFERROR(__xludf.DUMMYFUNCTION("GOOGLETRANSLATE(B3753,""en"",""pt-br"")"),"positivo")</f>
        <v>positivo</v>
      </c>
    </row>
    <row r="3754" ht="15.75" customHeight="1">
      <c r="A3754" s="2" t="s">
        <v>3753</v>
      </c>
      <c r="B3754" s="2" t="s">
        <v>14</v>
      </c>
      <c r="C3754" s="1" t="str">
        <f>IFERROR(__xludf.DUMMYFUNCTION("GOOGLETRANSLATE(A3754,""en"",""pt-br"")"),"conduzindo")</f>
        <v>conduzindo</v>
      </c>
      <c r="D3754" s="1" t="str">
        <f>IFERROR(__xludf.DUMMYFUNCTION("GOOGLETRANSLATE(B3754,""en"",""pt-br"")"),"positivo")</f>
        <v>positivo</v>
      </c>
    </row>
    <row r="3755" ht="15.75" customHeight="1">
      <c r="A3755" s="2" t="s">
        <v>3754</v>
      </c>
      <c r="B3755" s="2" t="s">
        <v>14</v>
      </c>
      <c r="C3755" s="1" t="str">
        <f>IFERROR(__xludf.DUMMYFUNCTION("GOOGLETRANSLATE(A3755,""en"",""pt-br"")"),"conduz")</f>
        <v>conduz</v>
      </c>
      <c r="D3755" s="1" t="str">
        <f>IFERROR(__xludf.DUMMYFUNCTION("GOOGLETRANSLATE(B3755,""en"",""pt-br"")"),"positivo")</f>
        <v>positivo</v>
      </c>
    </row>
    <row r="3756" ht="15.75" customHeight="1">
      <c r="A3756" s="2" t="s">
        <v>3755</v>
      </c>
      <c r="B3756" s="2" t="s">
        <v>3</v>
      </c>
      <c r="C3756" s="1" t="str">
        <f>IFERROR(__xludf.DUMMYFUNCTION("GOOGLETRANSLATE(A3756,""en"",""pt-br"")"),"vazamento")</f>
        <v>vazamento</v>
      </c>
      <c r="D3756" s="1" t="str">
        <f>IFERROR(__xludf.DUMMYFUNCTION("GOOGLETRANSLATE(B3756,""en"",""pt-br"")"),"negativo")</f>
        <v>negativo</v>
      </c>
    </row>
    <row r="3757" ht="15.75" customHeight="1">
      <c r="A3757" s="2" t="s">
        <v>3756</v>
      </c>
      <c r="B3757" s="2" t="s">
        <v>3</v>
      </c>
      <c r="C3757" s="1" t="str">
        <f>IFERROR(__xludf.DUMMYFUNCTION("GOOGLETRANSLATE(A3757,""en"",""pt-br"")"),"vazamento")</f>
        <v>vazamento</v>
      </c>
      <c r="D3757" s="1" t="str">
        <f>IFERROR(__xludf.DUMMYFUNCTION("GOOGLETRANSLATE(B3757,""en"",""pt-br"")"),"negativo")</f>
        <v>negativo</v>
      </c>
    </row>
    <row r="3758" ht="15.75" customHeight="1">
      <c r="A3758" s="2" t="s">
        <v>3757</v>
      </c>
      <c r="B3758" s="2" t="s">
        <v>3</v>
      </c>
      <c r="C3758" s="1" t="str">
        <f>IFERROR(__xludf.DUMMYFUNCTION("GOOGLETRANSLATE(A3758,""en"",""pt-br"")"),"vazamentos")</f>
        <v>vazamentos</v>
      </c>
      <c r="D3758" s="1" t="str">
        <f>IFERROR(__xludf.DUMMYFUNCTION("GOOGLETRANSLATE(B3758,""en"",""pt-br"")"),"negativo")</f>
        <v>negativo</v>
      </c>
    </row>
    <row r="3759" ht="15.75" customHeight="1">
      <c r="A3759" s="2" t="s">
        <v>3758</v>
      </c>
      <c r="B3759" s="2" t="s">
        <v>3</v>
      </c>
      <c r="C3759" s="1" t="str">
        <f>IFERROR(__xludf.DUMMYFUNCTION("GOOGLETRANSLATE(A3759,""en"",""pt-br"")"),"vazando")</f>
        <v>vazando</v>
      </c>
      <c r="D3759" s="1" t="str">
        <f>IFERROR(__xludf.DUMMYFUNCTION("GOOGLETRANSLATE(B3759,""en"",""pt-br"")"),"negativo")</f>
        <v>negativo</v>
      </c>
    </row>
    <row r="3760" ht="15.75" customHeight="1">
      <c r="A3760" s="2" t="s">
        <v>3759</v>
      </c>
      <c r="B3760" s="2" t="s">
        <v>3</v>
      </c>
      <c r="C3760" s="1" t="str">
        <f>IFERROR(__xludf.DUMMYFUNCTION("GOOGLETRANSLATE(A3760,""en"",""pt-br"")"),"vazamentos")</f>
        <v>vazamentos</v>
      </c>
      <c r="D3760" s="1" t="str">
        <f>IFERROR(__xludf.DUMMYFUNCTION("GOOGLETRANSLATE(B3760,""en"",""pt-br"")"),"negativo")</f>
        <v>negativo</v>
      </c>
    </row>
    <row r="3761" ht="15.75" customHeight="1">
      <c r="A3761" s="2" t="s">
        <v>3760</v>
      </c>
      <c r="B3761" s="2" t="s">
        <v>3</v>
      </c>
      <c r="C3761" s="1" t="str">
        <f>IFERROR(__xludf.DUMMYFUNCTION("GOOGLETRANSLATE(A3761,""en"",""pt-br"")"),"que vaza")</f>
        <v>que vaza</v>
      </c>
      <c r="D3761" s="1" t="str">
        <f>IFERROR(__xludf.DUMMYFUNCTION("GOOGLETRANSLATE(B3761,""en"",""pt-br"")"),"negativo")</f>
        <v>negativo</v>
      </c>
    </row>
    <row r="3762" ht="15.75" customHeight="1">
      <c r="A3762" s="2" t="s">
        <v>3761</v>
      </c>
      <c r="B3762" s="2" t="s">
        <v>14</v>
      </c>
      <c r="C3762" s="1" t="str">
        <f>IFERROR(__xludf.DUMMYFUNCTION("GOOGLETRANSLATE(A3762,""en"",""pt-br"")"),"magro")</f>
        <v>magro</v>
      </c>
      <c r="D3762" s="1" t="str">
        <f>IFERROR(__xludf.DUMMYFUNCTION("GOOGLETRANSLATE(B3762,""en"",""pt-br"")"),"positivo")</f>
        <v>positivo</v>
      </c>
    </row>
    <row r="3763" ht="15.75" customHeight="1">
      <c r="A3763" s="2" t="s">
        <v>3762</v>
      </c>
      <c r="B3763" s="2" t="s">
        <v>3</v>
      </c>
      <c r="C3763" s="1" t="str">
        <f>IFERROR(__xludf.DUMMYFUNCTION("GOOGLETRANSLATE(A3763,""en"",""pt-br"")"),"Lech")</f>
        <v>Lech</v>
      </c>
      <c r="D3763" s="1" t="str">
        <f>IFERROR(__xludf.DUMMYFUNCTION("GOOGLETRANSLATE(B3763,""en"",""pt-br"")"),"negativo")</f>
        <v>negativo</v>
      </c>
    </row>
    <row r="3764" ht="15.75" customHeight="1">
      <c r="A3764" s="2" t="s">
        <v>3763</v>
      </c>
      <c r="B3764" s="2" t="s">
        <v>3</v>
      </c>
      <c r="C3764" s="1" t="str">
        <f>IFERROR(__xludf.DUMMYFUNCTION("GOOGLETRANSLATE(A3764,""en"",""pt-br"")"),"lascívia")</f>
        <v>lascívia</v>
      </c>
      <c r="D3764" s="1" t="str">
        <f>IFERROR(__xludf.DUMMYFUNCTION("GOOGLETRANSLATE(B3764,""en"",""pt-br"")"),"negativo")</f>
        <v>negativo</v>
      </c>
    </row>
    <row r="3765" ht="15.75" customHeight="1">
      <c r="A3765" s="2" t="s">
        <v>3764</v>
      </c>
      <c r="B3765" s="2" t="s">
        <v>3</v>
      </c>
      <c r="C3765" s="1" t="str">
        <f>IFERROR(__xludf.DUMMYFUNCTION("GOOGLETRANSLATE(A3765,""en"",""pt-br"")"),"lascivo")</f>
        <v>lascivo</v>
      </c>
      <c r="D3765" s="1" t="str">
        <f>IFERROR(__xludf.DUMMYFUNCTION("GOOGLETRANSLATE(B3765,""en"",""pt-br"")"),"negativo")</f>
        <v>negativo</v>
      </c>
    </row>
    <row r="3766" ht="15.75" customHeight="1">
      <c r="A3766" s="2" t="s">
        <v>3765</v>
      </c>
      <c r="B3766" s="2" t="s">
        <v>3</v>
      </c>
      <c r="C3766" s="1" t="str">
        <f>IFERROR(__xludf.DUMMYFUNCTION("GOOGLETRANSLATE(A3766,""en"",""pt-br"")"),"luxúria")</f>
        <v>luxúria</v>
      </c>
      <c r="D3766" s="1" t="str">
        <f>IFERROR(__xludf.DUMMYFUNCTION("GOOGLETRANSLATE(B3766,""en"",""pt-br"")"),"negativo")</f>
        <v>negativo</v>
      </c>
    </row>
    <row r="3767" ht="15.75" customHeight="1">
      <c r="A3767" s="2" t="s">
        <v>3766</v>
      </c>
      <c r="B3767" s="2" t="s">
        <v>14</v>
      </c>
      <c r="C3767" s="1" t="str">
        <f>IFERROR(__xludf.DUMMYFUNCTION("GOOGLETRANSLATE(A3767,""en"",""pt-br"")"),"conduziu")</f>
        <v>conduziu</v>
      </c>
      <c r="D3767" s="1" t="str">
        <f>IFERROR(__xludf.DUMMYFUNCTION("GOOGLETRANSLATE(B3767,""en"",""pt-br"")"),"positivo")</f>
        <v>positivo</v>
      </c>
    </row>
    <row r="3768" ht="15.75" customHeight="1">
      <c r="A3768" s="2" t="s">
        <v>3767</v>
      </c>
      <c r="B3768" s="2" t="s">
        <v>3</v>
      </c>
      <c r="C3768" s="1" t="str">
        <f>IFERROR(__xludf.DUMMYFUNCTION("GOOGLETRANSLATE(A3768,""en"",""pt-br"")"),"sanguessuga")</f>
        <v>sanguessuga</v>
      </c>
      <c r="D3768" s="1" t="str">
        <f>IFERROR(__xludf.DUMMYFUNCTION("GOOGLETRANSLATE(B3768,""en"",""pt-br"")"),"negativo")</f>
        <v>negativo</v>
      </c>
    </row>
    <row r="3769" ht="15.75" customHeight="1">
      <c r="A3769" s="2" t="s">
        <v>3768</v>
      </c>
      <c r="B3769" s="2" t="s">
        <v>3</v>
      </c>
      <c r="C3769" s="1" t="str">
        <f>IFERROR(__xludf.DUMMYFUNCTION("GOOGLETRANSLATE(A3769,""en"",""pt-br"")"),"leer")</f>
        <v>leer</v>
      </c>
      <c r="D3769" s="1" t="str">
        <f>IFERROR(__xludf.DUMMYFUNCTION("GOOGLETRANSLATE(B3769,""en"",""pt-br"")"),"negativo")</f>
        <v>negativo</v>
      </c>
    </row>
    <row r="3770" ht="15.75" customHeight="1">
      <c r="A3770" s="2" t="s">
        <v>3769</v>
      </c>
      <c r="B3770" s="2" t="s">
        <v>3</v>
      </c>
      <c r="C3770" s="1" t="str">
        <f>IFERROR(__xludf.DUMMYFUNCTION("GOOGLETRANSLATE(A3770,""en"",""pt-br"")"),"ardiloso")</f>
        <v>ardiloso</v>
      </c>
      <c r="D3770" s="1" t="str">
        <f>IFERROR(__xludf.DUMMYFUNCTION("GOOGLETRANSLATE(B3770,""en"",""pt-br"")"),"negativo")</f>
        <v>negativo</v>
      </c>
    </row>
    <row r="3771" ht="15.75" customHeight="1">
      <c r="A3771" s="2" t="s">
        <v>3770</v>
      </c>
      <c r="B3771" s="2" t="s">
        <v>3</v>
      </c>
      <c r="C3771" s="1" t="str">
        <f>IFERROR(__xludf.DUMMYFUNCTION("GOOGLETRANSLATE(A3771,""en"",""pt-br"")"),"-esquerda inclinada")</f>
        <v>-esquerda inclinada</v>
      </c>
      <c r="D3771" s="1" t="str">
        <f>IFERROR(__xludf.DUMMYFUNCTION("GOOGLETRANSLATE(B3771,""en"",""pt-br"")"),"negativo")</f>
        <v>negativo</v>
      </c>
    </row>
    <row r="3772" ht="15.75" customHeight="1">
      <c r="A3772" s="2" t="s">
        <v>3771</v>
      </c>
      <c r="B3772" s="2" t="s">
        <v>14</v>
      </c>
      <c r="C3772" s="1" t="str">
        <f>IFERROR(__xludf.DUMMYFUNCTION("GOOGLETRANSLATE(A3772,""en"",""pt-br"")"),"lendário")</f>
        <v>lendário</v>
      </c>
      <c r="D3772" s="1" t="str">
        <f>IFERROR(__xludf.DUMMYFUNCTION("GOOGLETRANSLATE(B3772,""en"",""pt-br"")"),"positivo")</f>
        <v>positivo</v>
      </c>
    </row>
    <row r="3773" ht="15.75" customHeight="1">
      <c r="A3773" s="2" t="s">
        <v>3772</v>
      </c>
      <c r="B3773" s="2" t="s">
        <v>3</v>
      </c>
      <c r="C3773" s="1" t="str">
        <f>IFERROR(__xludf.DUMMYFUNCTION("GOOGLETRANSLATE(A3773,""en"",""pt-br"")"),"limão")</f>
        <v>limão</v>
      </c>
      <c r="D3773" s="1" t="str">
        <f>IFERROR(__xludf.DUMMYFUNCTION("GOOGLETRANSLATE(B3773,""en"",""pt-br"")"),"negativo")</f>
        <v>negativo</v>
      </c>
    </row>
    <row r="3774" ht="15.75" customHeight="1">
      <c r="A3774" s="2" t="s">
        <v>3773</v>
      </c>
      <c r="B3774" s="2" t="s">
        <v>3</v>
      </c>
      <c r="C3774" s="1" t="str">
        <f>IFERROR(__xludf.DUMMYFUNCTION("GOOGLETRANSLATE(A3774,""en"",""pt-br"")"),"longo")</f>
        <v>longo</v>
      </c>
      <c r="D3774" s="1" t="str">
        <f>IFERROR(__xludf.DUMMYFUNCTION("GOOGLETRANSLATE(B3774,""en"",""pt-br"")"),"negativo")</f>
        <v>negativo</v>
      </c>
    </row>
    <row r="3775" ht="15.75" customHeight="1">
      <c r="A3775" s="2" t="s">
        <v>3774</v>
      </c>
      <c r="B3775" s="2" t="s">
        <v>3</v>
      </c>
      <c r="C3775" s="1" t="str">
        <f>IFERROR(__xludf.DUMMYFUNCTION("GOOGLETRANSLATE(A3775,""en"",""pt-br"")"),"menos desenvolvido")</f>
        <v>menos desenvolvido</v>
      </c>
      <c r="D3775" s="1" t="str">
        <f>IFERROR(__xludf.DUMMYFUNCTION("GOOGLETRANSLATE(B3775,""en"",""pt-br"")"),"negativo")</f>
        <v>negativo</v>
      </c>
    </row>
    <row r="3776" ht="15.75" customHeight="1">
      <c r="A3776" s="2" t="s">
        <v>3775</v>
      </c>
      <c r="B3776" s="2" t="s">
        <v>3</v>
      </c>
      <c r="C3776" s="1" t="str">
        <f>IFERROR(__xludf.DUMMYFUNCTION("GOOGLETRANSLATE(A3776,""en"",""pt-br"")"),"menos conhecido")</f>
        <v>menos conhecido</v>
      </c>
      <c r="D3776" s="1" t="str">
        <f>IFERROR(__xludf.DUMMYFUNCTION("GOOGLETRANSLATE(B3776,""en"",""pt-br"")"),"negativo")</f>
        <v>negativo</v>
      </c>
    </row>
    <row r="3777" ht="15.75" customHeight="1">
      <c r="A3777" s="2" t="s">
        <v>3776</v>
      </c>
      <c r="B3777" s="2" t="s">
        <v>3</v>
      </c>
      <c r="C3777" s="1" t="str">
        <f>IFERROR(__xludf.DUMMYFUNCTION("GOOGLETRANSLATE(A3777,""en"",""pt-br"")"),"letch")</f>
        <v>letch</v>
      </c>
      <c r="D3777" s="1" t="str">
        <f>IFERROR(__xludf.DUMMYFUNCTION("GOOGLETRANSLATE(B3777,""en"",""pt-br"")"),"negativo")</f>
        <v>negativo</v>
      </c>
    </row>
    <row r="3778" ht="15.75" customHeight="1">
      <c r="A3778" s="2" t="s">
        <v>3777</v>
      </c>
      <c r="B3778" s="2" t="s">
        <v>3</v>
      </c>
      <c r="C3778" s="1" t="str">
        <f>IFERROR(__xludf.DUMMYFUNCTION("GOOGLETRANSLATE(A3778,""en"",""pt-br"")"),"letal")</f>
        <v>letal</v>
      </c>
      <c r="D3778" s="1" t="str">
        <f>IFERROR(__xludf.DUMMYFUNCTION("GOOGLETRANSLATE(B3778,""en"",""pt-br"")"),"negativo")</f>
        <v>negativo</v>
      </c>
    </row>
    <row r="3779" ht="15.75" customHeight="1">
      <c r="A3779" s="2" t="s">
        <v>3778</v>
      </c>
      <c r="B3779" s="2" t="s">
        <v>3</v>
      </c>
      <c r="C3779" s="1" t="str">
        <f>IFERROR(__xludf.DUMMYFUNCTION("GOOGLETRANSLATE(A3779,""en"",""pt-br"")"),"letárgico")</f>
        <v>letárgico</v>
      </c>
      <c r="D3779" s="1" t="str">
        <f>IFERROR(__xludf.DUMMYFUNCTION("GOOGLETRANSLATE(B3779,""en"",""pt-br"")"),"negativo")</f>
        <v>negativo</v>
      </c>
    </row>
    <row r="3780" ht="15.75" customHeight="1">
      <c r="A3780" s="2" t="s">
        <v>3779</v>
      </c>
      <c r="B3780" s="2" t="s">
        <v>3</v>
      </c>
      <c r="C3780" s="1" t="str">
        <f>IFERROR(__xludf.DUMMYFUNCTION("GOOGLETRANSLATE(A3780,""en"",""pt-br"")"),"letargia")</f>
        <v>letargia</v>
      </c>
      <c r="D3780" s="1" t="str">
        <f>IFERROR(__xludf.DUMMYFUNCTION("GOOGLETRANSLATE(B3780,""en"",""pt-br"")"),"negativo")</f>
        <v>negativo</v>
      </c>
    </row>
    <row r="3781" ht="15.75" customHeight="1">
      <c r="A3781" s="2" t="s">
        <v>3780</v>
      </c>
      <c r="B3781" s="2" t="s">
        <v>14</v>
      </c>
      <c r="C3781" s="1" t="str">
        <f>IFERROR(__xludf.DUMMYFUNCTION("GOOGLETRANSLATE(A3781,""en"",""pt-br"")"),"influência")</f>
        <v>influência</v>
      </c>
      <c r="D3781" s="1" t="str">
        <f>IFERROR(__xludf.DUMMYFUNCTION("GOOGLETRANSLATE(B3781,""en"",""pt-br"")"),"positivo")</f>
        <v>positivo</v>
      </c>
    </row>
    <row r="3782" ht="15.75" customHeight="1">
      <c r="A3782" s="2" t="s">
        <v>3781</v>
      </c>
      <c r="B3782" s="2" t="s">
        <v>14</v>
      </c>
      <c r="C3782" s="1" t="str">
        <f>IFERROR(__xludf.DUMMYFUNCTION("GOOGLETRANSLATE(A3782,""en"",""pt-br"")"),"leviandade")</f>
        <v>leviandade</v>
      </c>
      <c r="D3782" s="1" t="str">
        <f>IFERROR(__xludf.DUMMYFUNCTION("GOOGLETRANSLATE(B3782,""en"",""pt-br"")"),"positivo")</f>
        <v>positivo</v>
      </c>
    </row>
    <row r="3783" ht="15.75" customHeight="1">
      <c r="A3783" s="2" t="s">
        <v>3782</v>
      </c>
      <c r="B3783" s="2" t="s">
        <v>3</v>
      </c>
      <c r="C3783" s="1" t="str">
        <f>IFERROR(__xludf.DUMMYFUNCTION("GOOGLETRANSLATE(A3783,""en"",""pt-br"")"),"sensual")</f>
        <v>sensual</v>
      </c>
      <c r="D3783" s="1" t="str">
        <f>IFERROR(__xludf.DUMMYFUNCTION("GOOGLETRANSLATE(B3783,""en"",""pt-br"")"),"negativo")</f>
        <v>negativo</v>
      </c>
    </row>
    <row r="3784" ht="15.75" customHeight="1">
      <c r="A3784" s="2" t="s">
        <v>3783</v>
      </c>
      <c r="B3784" s="2" t="s">
        <v>3</v>
      </c>
      <c r="C3784" s="1" t="str">
        <f>IFERROR(__xludf.DUMMYFUNCTION("GOOGLETRANSLATE(A3784,""en"",""pt-br"")"),"lewdly")</f>
        <v>lewdly</v>
      </c>
      <c r="D3784" s="1" t="str">
        <f>IFERROR(__xludf.DUMMYFUNCTION("GOOGLETRANSLATE(B3784,""en"",""pt-br"")"),"negativo")</f>
        <v>negativo</v>
      </c>
    </row>
    <row r="3785" ht="15.75" customHeight="1">
      <c r="A3785" s="2" t="s">
        <v>3784</v>
      </c>
      <c r="B3785" s="2" t="s">
        <v>3</v>
      </c>
      <c r="C3785" s="1" t="str">
        <f>IFERROR(__xludf.DUMMYFUNCTION("GOOGLETRANSLATE(A3785,""en"",""pt-br"")"),"lascívia")</f>
        <v>lascívia</v>
      </c>
      <c r="D3785" s="1" t="str">
        <f>IFERROR(__xludf.DUMMYFUNCTION("GOOGLETRANSLATE(B3785,""en"",""pt-br"")"),"negativo")</f>
        <v>negativo</v>
      </c>
    </row>
    <row r="3786" ht="15.75" customHeight="1">
      <c r="A3786" s="2" t="s">
        <v>3785</v>
      </c>
      <c r="B3786" s="2" t="s">
        <v>3</v>
      </c>
      <c r="C3786" s="1" t="str">
        <f>IFERROR(__xludf.DUMMYFUNCTION("GOOGLETRANSLATE(A3786,""en"",""pt-br"")"),"responsabilidade")</f>
        <v>responsabilidade</v>
      </c>
      <c r="D3786" s="1" t="str">
        <f>IFERROR(__xludf.DUMMYFUNCTION("GOOGLETRANSLATE(B3786,""en"",""pt-br"")"),"negativo")</f>
        <v>negativo</v>
      </c>
    </row>
    <row r="3787" ht="15.75" customHeight="1">
      <c r="A3787" s="2" t="s">
        <v>3786</v>
      </c>
      <c r="B3787" s="2" t="s">
        <v>3</v>
      </c>
      <c r="C3787" s="1" t="str">
        <f>IFERROR(__xludf.DUMMYFUNCTION("GOOGLETRANSLATE(A3787,""en"",""pt-br"")"),"passível")</f>
        <v>passível</v>
      </c>
      <c r="D3787" s="1" t="str">
        <f>IFERROR(__xludf.DUMMYFUNCTION("GOOGLETRANSLATE(B3787,""en"",""pt-br"")"),"negativo")</f>
        <v>negativo</v>
      </c>
    </row>
    <row r="3788" ht="15.75" customHeight="1">
      <c r="A3788" s="2" t="s">
        <v>3787</v>
      </c>
      <c r="B3788" s="2" t="s">
        <v>3</v>
      </c>
      <c r="C3788" s="1" t="str">
        <f>IFERROR(__xludf.DUMMYFUNCTION("GOOGLETRANSLATE(A3788,""en"",""pt-br"")"),"mentiroso")</f>
        <v>mentiroso</v>
      </c>
      <c r="D3788" s="1" t="str">
        <f>IFERROR(__xludf.DUMMYFUNCTION("GOOGLETRANSLATE(B3788,""en"",""pt-br"")"),"negativo")</f>
        <v>negativo</v>
      </c>
    </row>
    <row r="3789" ht="15.75" customHeight="1">
      <c r="A3789" s="2" t="s">
        <v>3788</v>
      </c>
      <c r="B3789" s="2" t="s">
        <v>3</v>
      </c>
      <c r="C3789" s="1" t="str">
        <f>IFERROR(__xludf.DUMMYFUNCTION("GOOGLETRANSLATE(A3789,""en"",""pt-br"")"),"mentirosos")</f>
        <v>mentirosos</v>
      </c>
      <c r="D3789" s="1" t="str">
        <f>IFERROR(__xludf.DUMMYFUNCTION("GOOGLETRANSLATE(B3789,""en"",""pt-br"")"),"negativo")</f>
        <v>negativo</v>
      </c>
    </row>
    <row r="3790" ht="15.75" customHeight="1">
      <c r="A3790" s="2" t="s">
        <v>3789</v>
      </c>
      <c r="B3790" s="2" t="s">
        <v>14</v>
      </c>
      <c r="C3790" s="1" t="str">
        <f>IFERROR(__xludf.DUMMYFUNCTION("GOOGLETRANSLATE(A3790,""en"",""pt-br"")"),"libertar")</f>
        <v>libertar</v>
      </c>
      <c r="D3790" s="1" t="str">
        <f>IFERROR(__xludf.DUMMYFUNCTION("GOOGLETRANSLATE(B3790,""en"",""pt-br"")"),"positivo")</f>
        <v>positivo</v>
      </c>
    </row>
    <row r="3791" ht="15.75" customHeight="1">
      <c r="A3791" s="2" t="s">
        <v>3790</v>
      </c>
      <c r="B3791" s="2" t="s">
        <v>14</v>
      </c>
      <c r="C3791" s="1" t="str">
        <f>IFERROR(__xludf.DUMMYFUNCTION("GOOGLETRANSLATE(A3791,""en"",""pt-br"")"),"libertação")</f>
        <v>libertação</v>
      </c>
      <c r="D3791" s="1" t="str">
        <f>IFERROR(__xludf.DUMMYFUNCTION("GOOGLETRANSLATE(B3791,""en"",""pt-br"")"),"positivo")</f>
        <v>positivo</v>
      </c>
    </row>
    <row r="3792" ht="15.75" customHeight="1">
      <c r="A3792" s="2" t="s">
        <v>3791</v>
      </c>
      <c r="B3792" s="2" t="s">
        <v>14</v>
      </c>
      <c r="C3792" s="1" t="str">
        <f>IFERROR(__xludf.DUMMYFUNCTION("GOOGLETRANSLATE(A3792,""en"",""pt-br"")"),"liberdade")</f>
        <v>liberdade</v>
      </c>
      <c r="D3792" s="1" t="str">
        <f>IFERROR(__xludf.DUMMYFUNCTION("GOOGLETRANSLATE(B3792,""en"",""pt-br"")"),"positivo")</f>
        <v>positivo</v>
      </c>
    </row>
    <row r="3793" ht="15.75" customHeight="1">
      <c r="A3793" s="2" t="s">
        <v>3792</v>
      </c>
      <c r="B3793" s="2" t="s">
        <v>3</v>
      </c>
      <c r="C3793" s="1" t="str">
        <f>IFERROR(__xludf.DUMMYFUNCTION("GOOGLETRANSLATE(A3793,""en"",""pt-br"")"),"licencioso")</f>
        <v>licencioso</v>
      </c>
      <c r="D3793" s="1" t="str">
        <f>IFERROR(__xludf.DUMMYFUNCTION("GOOGLETRANSLATE(B3793,""en"",""pt-br"")"),"negativo")</f>
        <v>negativo</v>
      </c>
    </row>
    <row r="3794" ht="15.75" customHeight="1">
      <c r="A3794" s="2" t="s">
        <v>3793</v>
      </c>
      <c r="B3794" s="2" t="s">
        <v>3</v>
      </c>
      <c r="C3794" s="1" t="str">
        <f>IFERROR(__xludf.DUMMYFUNCTION("GOOGLETRANSLATE(A3794,""en"",""pt-br"")"),"licenciosamente")</f>
        <v>licenciosamente</v>
      </c>
      <c r="D3794" s="1" t="str">
        <f>IFERROR(__xludf.DUMMYFUNCTION("GOOGLETRANSLATE(B3794,""en"",""pt-br"")"),"negativo")</f>
        <v>negativo</v>
      </c>
    </row>
    <row r="3795" ht="15.75" customHeight="1">
      <c r="A3795" s="2" t="s">
        <v>3794</v>
      </c>
      <c r="B3795" s="2" t="s">
        <v>3</v>
      </c>
      <c r="C3795" s="1" t="str">
        <f>IFERROR(__xludf.DUMMYFUNCTION("GOOGLETRANSLATE(A3795,""en"",""pt-br"")"),"licenciosidade")</f>
        <v>licenciosidade</v>
      </c>
      <c r="D3795" s="1" t="str">
        <f>IFERROR(__xludf.DUMMYFUNCTION("GOOGLETRANSLATE(B3795,""en"",""pt-br"")"),"negativo")</f>
        <v>negativo</v>
      </c>
    </row>
    <row r="3796" ht="15.75" customHeight="1">
      <c r="A3796" s="2" t="s">
        <v>3795</v>
      </c>
      <c r="B3796" s="2" t="s">
        <v>3</v>
      </c>
      <c r="C3796" s="1" t="str">
        <f>IFERROR(__xludf.DUMMYFUNCTION("GOOGLETRANSLATE(A3796,""en"",""pt-br"")"),"mentira")</f>
        <v>mentira</v>
      </c>
      <c r="D3796" s="1" t="str">
        <f>IFERROR(__xludf.DUMMYFUNCTION("GOOGLETRANSLATE(B3796,""en"",""pt-br"")"),"negativo")</f>
        <v>negativo</v>
      </c>
    </row>
    <row r="3797" ht="15.75" customHeight="1">
      <c r="A3797" s="2" t="s">
        <v>3796</v>
      </c>
      <c r="B3797" s="2" t="s">
        <v>3</v>
      </c>
      <c r="C3797" s="1" t="str">
        <f>IFERROR(__xludf.DUMMYFUNCTION("GOOGLETRANSLATE(A3797,""en"",""pt-br"")"),"mentiu")</f>
        <v>mentiu</v>
      </c>
      <c r="D3797" s="1" t="str">
        <f>IFERROR(__xludf.DUMMYFUNCTION("GOOGLETRANSLATE(B3797,""en"",""pt-br"")"),"negativo")</f>
        <v>negativo</v>
      </c>
    </row>
    <row r="3798" ht="15.75" customHeight="1">
      <c r="A3798" s="2" t="s">
        <v>3797</v>
      </c>
      <c r="B3798" s="2" t="s">
        <v>3</v>
      </c>
      <c r="C3798" s="1" t="str">
        <f>IFERROR(__xludf.DUMMYFUNCTION("GOOGLETRANSLATE(A3798,""en"",""pt-br"")"),"Lier")</f>
        <v>Lier</v>
      </c>
      <c r="D3798" s="1" t="str">
        <f>IFERROR(__xludf.DUMMYFUNCTION("GOOGLETRANSLATE(B3798,""en"",""pt-br"")"),"negativo")</f>
        <v>negativo</v>
      </c>
    </row>
    <row r="3799" ht="15.75" customHeight="1">
      <c r="A3799" s="2" t="s">
        <v>3798</v>
      </c>
      <c r="B3799" s="2" t="s">
        <v>3</v>
      </c>
      <c r="C3799" s="1" t="str">
        <f>IFERROR(__xludf.DUMMYFUNCTION("GOOGLETRANSLATE(A3799,""en"",""pt-br"")"),"mentiras")</f>
        <v>mentiras</v>
      </c>
      <c r="D3799" s="1" t="str">
        <f>IFERROR(__xludf.DUMMYFUNCTION("GOOGLETRANSLATE(B3799,""en"",""pt-br"")"),"negativo")</f>
        <v>negativo</v>
      </c>
    </row>
    <row r="3800" ht="15.75" customHeight="1">
      <c r="A3800" s="2" t="s">
        <v>3799</v>
      </c>
      <c r="B3800" s="2" t="s">
        <v>3</v>
      </c>
      <c r="C3800" s="1" t="str">
        <f>IFERROR(__xludf.DUMMYFUNCTION("GOOGLETRANSLATE(A3800,""en"",""pt-br"")"),"risco de vida")</f>
        <v>risco de vida</v>
      </c>
      <c r="D3800" s="1" t="str">
        <f>IFERROR(__xludf.DUMMYFUNCTION("GOOGLETRANSLATE(B3800,""en"",""pt-br"")"),"negativo")</f>
        <v>negativo</v>
      </c>
    </row>
    <row r="3801" ht="15.75" customHeight="1">
      <c r="A3801" s="2" t="s">
        <v>3800</v>
      </c>
      <c r="B3801" s="2" t="s">
        <v>3</v>
      </c>
      <c r="C3801" s="1" t="str">
        <f>IFERROR(__xludf.DUMMYFUNCTION("GOOGLETRANSLATE(A3801,""en"",""pt-br"")"),"sem vida")</f>
        <v>sem vida</v>
      </c>
      <c r="D3801" s="1" t="str">
        <f>IFERROR(__xludf.DUMMYFUNCTION("GOOGLETRANSLATE(B3801,""en"",""pt-br"")"),"negativo")</f>
        <v>negativo</v>
      </c>
    </row>
    <row r="3802" ht="15.75" customHeight="1">
      <c r="A3802" s="2" t="s">
        <v>3801</v>
      </c>
      <c r="B3802" s="2" t="s">
        <v>14</v>
      </c>
      <c r="C3802" s="1" t="str">
        <f>IFERROR(__xludf.DUMMYFUNCTION("GOOGLETRANSLATE(A3802,""en"",""pt-br"")"),"salva-vidas")</f>
        <v>salva-vidas</v>
      </c>
      <c r="D3802" s="1" t="str">
        <f>IFERROR(__xludf.DUMMYFUNCTION("GOOGLETRANSLATE(B3802,""en"",""pt-br"")"),"positivo")</f>
        <v>positivo</v>
      </c>
    </row>
    <row r="3803" ht="15.75" customHeight="1">
      <c r="A3803" s="2" t="s">
        <v>3802</v>
      </c>
      <c r="B3803" s="2" t="s">
        <v>14</v>
      </c>
      <c r="C3803" s="1" t="str">
        <f>IFERROR(__xludf.DUMMYFUNCTION("GOOGLETRANSLATE(A3803,""en"",""pt-br"")"),"alegre")</f>
        <v>alegre</v>
      </c>
      <c r="D3803" s="1" t="str">
        <f>IFERROR(__xludf.DUMMYFUNCTION("GOOGLETRANSLATE(B3803,""en"",""pt-br"")"),"positivo")</f>
        <v>positivo</v>
      </c>
    </row>
    <row r="3804" ht="15.75" customHeight="1">
      <c r="A3804" s="2" t="s">
        <v>3803</v>
      </c>
      <c r="B3804" s="2" t="s">
        <v>14</v>
      </c>
      <c r="C3804" s="1" t="str">
        <f>IFERROR(__xludf.DUMMYFUNCTION("GOOGLETRANSLATE(A3804,""en"",""pt-br"")"),"mais leve")</f>
        <v>mais leve</v>
      </c>
      <c r="D3804" s="1" t="str">
        <f>IFERROR(__xludf.DUMMYFUNCTION("GOOGLETRANSLATE(B3804,""en"",""pt-br"")"),"positivo")</f>
        <v>positivo</v>
      </c>
    </row>
    <row r="3805" ht="15.75" customHeight="1">
      <c r="A3805" s="2" t="s">
        <v>3804</v>
      </c>
      <c r="B3805" s="2" t="s">
        <v>14</v>
      </c>
      <c r="C3805" s="1" t="str">
        <f>IFERROR(__xludf.DUMMYFUNCTION("GOOGLETRANSLATE(A3805,""en"",""pt-br"")"),"simpático")</f>
        <v>simpático</v>
      </c>
      <c r="D3805" s="1" t="str">
        <f>IFERROR(__xludf.DUMMYFUNCTION("GOOGLETRANSLATE(B3805,""en"",""pt-br"")"),"positivo")</f>
        <v>positivo</v>
      </c>
    </row>
    <row r="3806" ht="15.75" customHeight="1">
      <c r="A3806" s="2" t="s">
        <v>3805</v>
      </c>
      <c r="B3806" s="2" t="s">
        <v>14</v>
      </c>
      <c r="C3806" s="1" t="str">
        <f>IFERROR(__xludf.DUMMYFUNCTION("GOOGLETRANSLATE(A3806,""en"",""pt-br"")"),"gostar")</f>
        <v>gostar</v>
      </c>
      <c r="D3806" s="1" t="str">
        <f>IFERROR(__xludf.DUMMYFUNCTION("GOOGLETRANSLATE(B3806,""en"",""pt-br"")"),"positivo")</f>
        <v>positivo</v>
      </c>
    </row>
    <row r="3807" ht="15.75" customHeight="1">
      <c r="A3807" s="2" t="s">
        <v>3806</v>
      </c>
      <c r="B3807" s="2" t="s">
        <v>14</v>
      </c>
      <c r="C3807" s="1" t="str">
        <f>IFERROR(__xludf.DUMMYFUNCTION("GOOGLETRANSLATE(A3807,""en"",""pt-br"")"),"gostei")</f>
        <v>gostei</v>
      </c>
      <c r="D3807" s="1" t="str">
        <f>IFERROR(__xludf.DUMMYFUNCTION("GOOGLETRANSLATE(B3807,""en"",""pt-br"")"),"positivo")</f>
        <v>positivo</v>
      </c>
    </row>
    <row r="3808" ht="15.75" customHeight="1">
      <c r="A3808" s="2" t="s">
        <v>3807</v>
      </c>
      <c r="B3808" s="2" t="s">
        <v>14</v>
      </c>
      <c r="C3808" s="1" t="str">
        <f>IFERROR(__xludf.DUMMYFUNCTION("GOOGLETRANSLATE(A3808,""en"",""pt-br"")"),"gostos")</f>
        <v>gostos</v>
      </c>
      <c r="D3808" s="1" t="str">
        <f>IFERROR(__xludf.DUMMYFUNCTION("GOOGLETRANSLATE(B3808,""en"",""pt-br"")"),"positivo")</f>
        <v>positivo</v>
      </c>
    </row>
    <row r="3809" ht="15.75" customHeight="1">
      <c r="A3809" s="2" t="s">
        <v>3808</v>
      </c>
      <c r="B3809" s="2" t="s">
        <v>14</v>
      </c>
      <c r="C3809" s="1" t="str">
        <f>IFERROR(__xludf.DUMMYFUNCTION("GOOGLETRANSLATE(A3809,""en"",""pt-br"")"),"gosto")</f>
        <v>gosto</v>
      </c>
      <c r="D3809" s="1" t="str">
        <f>IFERROR(__xludf.DUMMYFUNCTION("GOOGLETRANSLATE(B3809,""en"",""pt-br"")"),"positivo")</f>
        <v>positivo</v>
      </c>
    </row>
    <row r="3810" ht="15.75" customHeight="1">
      <c r="A3810" s="2" t="s">
        <v>3809</v>
      </c>
      <c r="B3810" s="2" t="s">
        <v>3</v>
      </c>
      <c r="C3810" s="1" t="str">
        <f>IFERROR(__xludf.DUMMYFUNCTION("GOOGLETRANSLATE(A3810,""en"",""pt-br"")"),"limite")</f>
        <v>limite</v>
      </c>
      <c r="D3810" s="1" t="str">
        <f>IFERROR(__xludf.DUMMYFUNCTION("GOOGLETRANSLATE(B3810,""en"",""pt-br"")"),"negativo")</f>
        <v>negativo</v>
      </c>
    </row>
    <row r="3811" ht="15.75" customHeight="1">
      <c r="A3811" s="2" t="s">
        <v>3810</v>
      </c>
      <c r="B3811" s="2" t="s">
        <v>3</v>
      </c>
      <c r="C3811" s="1" t="str">
        <f>IFERROR(__xludf.DUMMYFUNCTION("GOOGLETRANSLATE(A3811,""en"",""pt-br"")"),"limitação")</f>
        <v>limitação</v>
      </c>
      <c r="D3811" s="1" t="str">
        <f>IFERROR(__xludf.DUMMYFUNCTION("GOOGLETRANSLATE(B3811,""en"",""pt-br"")"),"negativo")</f>
        <v>negativo</v>
      </c>
    </row>
    <row r="3812" ht="15.75" customHeight="1">
      <c r="A3812" s="2" t="s">
        <v>3811</v>
      </c>
      <c r="B3812" s="2" t="s">
        <v>3</v>
      </c>
      <c r="C3812" s="1" t="str">
        <f>IFERROR(__xludf.DUMMYFUNCTION("GOOGLETRANSLATE(A3812,""en"",""pt-br"")"),"limitações")</f>
        <v>limitações</v>
      </c>
      <c r="D3812" s="1" t="str">
        <f>IFERROR(__xludf.DUMMYFUNCTION("GOOGLETRANSLATE(B3812,""en"",""pt-br"")"),"negativo")</f>
        <v>negativo</v>
      </c>
    </row>
    <row r="3813" ht="15.75" customHeight="1">
      <c r="A3813" s="2" t="s">
        <v>3812</v>
      </c>
      <c r="B3813" s="2" t="s">
        <v>3</v>
      </c>
      <c r="C3813" s="1" t="str">
        <f>IFERROR(__xludf.DUMMYFUNCTION("GOOGLETRANSLATE(A3813,""en"",""pt-br"")"),"limitado")</f>
        <v>limitado</v>
      </c>
      <c r="D3813" s="1" t="str">
        <f>IFERROR(__xludf.DUMMYFUNCTION("GOOGLETRANSLATE(B3813,""en"",""pt-br"")"),"negativo")</f>
        <v>negativo</v>
      </c>
    </row>
    <row r="3814" ht="15.75" customHeight="1">
      <c r="A3814" s="2" t="s">
        <v>3813</v>
      </c>
      <c r="B3814" s="2" t="s">
        <v>3</v>
      </c>
      <c r="C3814" s="1" t="str">
        <f>IFERROR(__xludf.DUMMYFUNCTION("GOOGLETRANSLATE(A3814,""en"",""pt-br"")"),"limites")</f>
        <v>limites</v>
      </c>
      <c r="D3814" s="1" t="str">
        <f>IFERROR(__xludf.DUMMYFUNCTION("GOOGLETRANSLATE(B3814,""en"",""pt-br"")"),"negativo")</f>
        <v>negativo</v>
      </c>
    </row>
    <row r="3815" ht="15.75" customHeight="1">
      <c r="A3815" s="2" t="s">
        <v>3814</v>
      </c>
      <c r="B3815" s="2" t="s">
        <v>3</v>
      </c>
      <c r="C3815" s="1" t="str">
        <f>IFERROR(__xludf.DUMMYFUNCTION("GOOGLETRANSLATE(A3815,""en"",""pt-br"")"),"flácido")</f>
        <v>flácido</v>
      </c>
      <c r="D3815" s="1" t="str">
        <f>IFERROR(__xludf.DUMMYFUNCTION("GOOGLETRANSLATE(B3815,""en"",""pt-br"")"),"negativo")</f>
        <v>negativo</v>
      </c>
    </row>
    <row r="3816" ht="15.75" customHeight="1">
      <c r="A3816" s="2" t="s">
        <v>3815</v>
      </c>
      <c r="B3816" s="2" t="s">
        <v>14</v>
      </c>
      <c r="C3816" s="1" t="str">
        <f>IFERROR(__xludf.DUMMYFUNCTION("GOOGLETRANSLATE(A3816,""en"",""pt-br"")"),"Lionhearted")</f>
        <v>Lionhearted</v>
      </c>
      <c r="D3816" s="1" t="str">
        <f>IFERROR(__xludf.DUMMYFUNCTION("GOOGLETRANSLATE(B3816,""en"",""pt-br"")"),"positivo")</f>
        <v>positivo</v>
      </c>
    </row>
    <row r="3817" ht="15.75" customHeight="1">
      <c r="A3817" s="2" t="s">
        <v>3816</v>
      </c>
      <c r="B3817" s="2" t="s">
        <v>3</v>
      </c>
      <c r="C3817" s="1" t="str">
        <f>IFERROR(__xludf.DUMMYFUNCTION("GOOGLETRANSLATE(A3817,""en"",""pt-br"")"),"apático")</f>
        <v>apático</v>
      </c>
      <c r="D3817" s="1" t="str">
        <f>IFERROR(__xludf.DUMMYFUNCTION("GOOGLETRANSLATE(B3817,""en"",""pt-br"")"),"negativo")</f>
        <v>negativo</v>
      </c>
    </row>
    <row r="3818" ht="15.75" customHeight="1">
      <c r="A3818" s="2" t="s">
        <v>3817</v>
      </c>
      <c r="B3818" s="2" t="s">
        <v>3</v>
      </c>
      <c r="C3818" s="1" t="str">
        <f>IFERROR(__xludf.DUMMYFUNCTION("GOOGLETRANSLATE(A3818,""en"",""pt-br"")"),"litigioso")</f>
        <v>litigioso</v>
      </c>
      <c r="D3818" s="1" t="str">
        <f>IFERROR(__xludf.DUMMYFUNCTION("GOOGLETRANSLATE(B3818,""en"",""pt-br"")"),"negativo")</f>
        <v>negativo</v>
      </c>
    </row>
    <row r="3819" ht="15.75" customHeight="1">
      <c r="A3819" s="2" t="s">
        <v>3818</v>
      </c>
      <c r="B3819" s="2" t="s">
        <v>3</v>
      </c>
      <c r="C3819" s="1" t="str">
        <f>IFERROR(__xludf.DUMMYFUNCTION("GOOGLETRANSLATE(A3819,""en"",""pt-br"")"),"pouco conhecido")</f>
        <v>pouco conhecido</v>
      </c>
      <c r="D3819" s="1" t="str">
        <f>IFERROR(__xludf.DUMMYFUNCTION("GOOGLETRANSLATE(B3819,""en"",""pt-br"")"),"negativo")</f>
        <v>negativo</v>
      </c>
    </row>
    <row r="3820" ht="15.75" customHeight="1">
      <c r="A3820" s="2" t="s">
        <v>3819</v>
      </c>
      <c r="B3820" s="2" t="s">
        <v>14</v>
      </c>
      <c r="C3820" s="1" t="str">
        <f>IFERROR(__xludf.DUMMYFUNCTION("GOOGLETRANSLATE(A3820,""en"",""pt-br"")"),"animado")</f>
        <v>animado</v>
      </c>
      <c r="D3820" s="1" t="str">
        <f>IFERROR(__xludf.DUMMYFUNCTION("GOOGLETRANSLATE(B3820,""en"",""pt-br"")"),"positivo")</f>
        <v>positivo</v>
      </c>
    </row>
    <row r="3821" ht="15.75" customHeight="1">
      <c r="A3821" s="2" t="s">
        <v>3820</v>
      </c>
      <c r="B3821" s="2" t="s">
        <v>3</v>
      </c>
      <c r="C3821" s="1" t="str">
        <f>IFERROR(__xludf.DUMMYFUNCTION("GOOGLETRANSLATE(A3821,""en"",""pt-br"")"),"lívido")</f>
        <v>lívido</v>
      </c>
      <c r="D3821" s="1" t="str">
        <f>IFERROR(__xludf.DUMMYFUNCTION("GOOGLETRANSLATE(B3821,""en"",""pt-br"")"),"negativo")</f>
        <v>negativo</v>
      </c>
    </row>
    <row r="3822" ht="15.75" customHeight="1">
      <c r="A3822" s="2" t="s">
        <v>3821</v>
      </c>
      <c r="B3822" s="2" t="s">
        <v>3</v>
      </c>
      <c r="C3822" s="1" t="str">
        <f>IFERROR(__xludf.DUMMYFUNCTION("GOOGLETRANSLATE(A3822,""en"",""pt-br"")"),"lividamente")</f>
        <v>lividamente</v>
      </c>
      <c r="D3822" s="1" t="str">
        <f>IFERROR(__xludf.DUMMYFUNCTION("GOOGLETRANSLATE(B3822,""en"",""pt-br"")"),"negativo")</f>
        <v>negativo</v>
      </c>
    </row>
    <row r="3823" ht="15.75" customHeight="1">
      <c r="A3823" s="2" t="s">
        <v>3822</v>
      </c>
      <c r="B3823" s="2" t="s">
        <v>3</v>
      </c>
      <c r="C3823" s="1" t="str">
        <f>IFERROR(__xludf.DUMMYFUNCTION("GOOGLETRANSLATE(A3823,""en"",""pt-br"")"),"relutante")</f>
        <v>relutante</v>
      </c>
      <c r="D3823" s="1" t="str">
        <f>IFERROR(__xludf.DUMMYFUNCTION("GOOGLETRANSLATE(B3823,""en"",""pt-br"")"),"negativo")</f>
        <v>negativo</v>
      </c>
    </row>
    <row r="3824" ht="15.75" customHeight="1">
      <c r="A3824" s="2" t="s">
        <v>3823</v>
      </c>
      <c r="B3824" s="2" t="s">
        <v>3</v>
      </c>
      <c r="C3824" s="1" t="str">
        <f>IFERROR(__xludf.DUMMYFUNCTION("GOOGLETRANSLATE(A3824,""en"",""pt-br"")"),"detestar")</f>
        <v>detestar</v>
      </c>
      <c r="D3824" s="1" t="str">
        <f>IFERROR(__xludf.DUMMYFUNCTION("GOOGLETRANSLATE(B3824,""en"",""pt-br"")"),"negativo")</f>
        <v>negativo</v>
      </c>
    </row>
    <row r="3825" ht="15.75" customHeight="1">
      <c r="A3825" s="2" t="s">
        <v>3824</v>
      </c>
      <c r="B3825" s="2" t="s">
        <v>3</v>
      </c>
      <c r="C3825" s="1" t="str">
        <f>IFERROR(__xludf.DUMMYFUNCTION("GOOGLETRANSLATE(A3825,""en"",""pt-br"")"),"repugnância")</f>
        <v>repugnância</v>
      </c>
      <c r="D3825" s="1" t="str">
        <f>IFERROR(__xludf.DUMMYFUNCTION("GOOGLETRANSLATE(B3825,""en"",""pt-br"")"),"negativo")</f>
        <v>negativo</v>
      </c>
    </row>
    <row r="3826" ht="15.75" customHeight="1">
      <c r="A3826" s="2" t="s">
        <v>3825</v>
      </c>
      <c r="B3826" s="2" t="s">
        <v>3</v>
      </c>
      <c r="C3826" s="1" t="str">
        <f>IFERROR(__xludf.DUMMYFUNCTION("GOOGLETRANSLATE(A3826,""en"",""pt-br"")"),"repugnante")</f>
        <v>repugnante</v>
      </c>
      <c r="D3826" s="1" t="str">
        <f>IFERROR(__xludf.DUMMYFUNCTION("GOOGLETRANSLATE(B3826,""en"",""pt-br"")"),"negativo")</f>
        <v>negativo</v>
      </c>
    </row>
    <row r="3827" ht="15.75" customHeight="1">
      <c r="A3827" s="2" t="s">
        <v>3826</v>
      </c>
      <c r="B3827" s="2" t="s">
        <v>3</v>
      </c>
      <c r="C3827" s="1" t="str">
        <f>IFERROR(__xludf.DUMMYFUNCTION("GOOGLETRANSLATE(A3827,""en"",""pt-br"")"),"repugnante")</f>
        <v>repugnante</v>
      </c>
      <c r="D3827" s="1" t="str">
        <f>IFERROR(__xludf.DUMMYFUNCTION("GOOGLETRANSLATE(B3827,""en"",""pt-br"")"),"negativo")</f>
        <v>negativo</v>
      </c>
    </row>
    <row r="3828" ht="15.75" customHeight="1">
      <c r="A3828" s="2" t="s">
        <v>3827</v>
      </c>
      <c r="B3828" s="2" t="s">
        <v>3</v>
      </c>
      <c r="C3828" s="1" t="str">
        <f>IFERROR(__xludf.DUMMYFUNCTION("GOOGLETRANSLATE(A3828,""en"",""pt-br"")"),"repugnantemente")</f>
        <v>repugnantemente</v>
      </c>
      <c r="D3828" s="1" t="str">
        <f>IFERROR(__xludf.DUMMYFUNCTION("GOOGLETRANSLATE(B3828,""en"",""pt-br"")"),"negativo")</f>
        <v>negativo</v>
      </c>
    </row>
    <row r="3829" ht="15.75" customHeight="1">
      <c r="A3829" s="2" t="s">
        <v>3828</v>
      </c>
      <c r="B3829" s="2" t="s">
        <v>14</v>
      </c>
      <c r="C3829" s="1" t="str">
        <f>IFERROR(__xludf.DUMMYFUNCTION("GOOGLETRANSLATE(A3829,""en"",""pt-br"")"),"lógico")</f>
        <v>lógico</v>
      </c>
      <c r="D3829" s="1" t="str">
        <f>IFERROR(__xludf.DUMMYFUNCTION("GOOGLETRANSLATE(B3829,""en"",""pt-br"")"),"positivo")</f>
        <v>positivo</v>
      </c>
    </row>
    <row r="3830" ht="15.75" customHeight="1">
      <c r="A3830" s="2" t="s">
        <v>3829</v>
      </c>
      <c r="B3830" s="2" t="s">
        <v>3</v>
      </c>
      <c r="C3830" s="1" t="str">
        <f>IFERROR(__xludf.DUMMYFUNCTION("GOOGLETRANSLATE(A3830,""en"",""pt-br"")"),"solitário")</f>
        <v>solitário</v>
      </c>
      <c r="D3830" s="1" t="str">
        <f>IFERROR(__xludf.DUMMYFUNCTION("GOOGLETRANSLATE(B3830,""en"",""pt-br"")"),"negativo")</f>
        <v>negativo</v>
      </c>
    </row>
    <row r="3831" ht="15.75" customHeight="1">
      <c r="A3831" s="2" t="s">
        <v>3830</v>
      </c>
      <c r="B3831" s="2" t="s">
        <v>3</v>
      </c>
      <c r="C3831" s="1" t="str">
        <f>IFERROR(__xludf.DUMMYFUNCTION("GOOGLETRANSLATE(A3831,""en"",""pt-br"")"),"solidão")</f>
        <v>solidão</v>
      </c>
      <c r="D3831" s="1" t="str">
        <f>IFERROR(__xludf.DUMMYFUNCTION("GOOGLETRANSLATE(B3831,""en"",""pt-br"")"),"negativo")</f>
        <v>negativo</v>
      </c>
    </row>
    <row r="3832" ht="15.75" customHeight="1">
      <c r="A3832" s="2" t="s">
        <v>3831</v>
      </c>
      <c r="B3832" s="2" t="s">
        <v>3</v>
      </c>
      <c r="C3832" s="1" t="str">
        <f>IFERROR(__xludf.DUMMYFUNCTION("GOOGLETRANSLATE(A3832,""en"",""pt-br"")"),"solitário")</f>
        <v>solitário</v>
      </c>
      <c r="D3832" s="1" t="str">
        <f>IFERROR(__xludf.DUMMYFUNCTION("GOOGLETRANSLATE(B3832,""en"",""pt-br"")"),"negativo")</f>
        <v>negativo</v>
      </c>
    </row>
    <row r="3833" ht="15.75" customHeight="1">
      <c r="A3833" s="2" t="s">
        <v>3832</v>
      </c>
      <c r="B3833" s="2" t="s">
        <v>3</v>
      </c>
      <c r="C3833" s="1" t="str">
        <f>IFERROR(__xludf.DUMMYFUNCTION("GOOGLETRANSLATE(A3833,""en"",""pt-br"")"),"solitário")</f>
        <v>solitário</v>
      </c>
      <c r="D3833" s="1" t="str">
        <f>IFERROR(__xludf.DUMMYFUNCTION("GOOGLETRANSLATE(B3833,""en"",""pt-br"")"),"negativo")</f>
        <v>negativo</v>
      </c>
    </row>
    <row r="3834" ht="15.75" customHeight="1">
      <c r="A3834" s="2" t="s">
        <v>3833</v>
      </c>
      <c r="B3834" s="2" t="s">
        <v>3</v>
      </c>
      <c r="C3834" s="1" t="str">
        <f>IFERROR(__xludf.DUMMYFUNCTION("GOOGLETRANSLATE(A3834,""en"",""pt-br"")"),"solitário")</f>
        <v>solitário</v>
      </c>
      <c r="D3834" s="1" t="str">
        <f>IFERROR(__xludf.DUMMYFUNCTION("GOOGLETRANSLATE(B3834,""en"",""pt-br"")"),"negativo")</f>
        <v>negativo</v>
      </c>
    </row>
    <row r="3835" ht="15.75" customHeight="1">
      <c r="A3835" s="2" t="s">
        <v>3834</v>
      </c>
      <c r="B3835" s="2" t="s">
        <v>14</v>
      </c>
      <c r="C3835" s="1" t="str">
        <f>IFERROR(__xludf.DUMMYFUNCTION("GOOGLETRANSLATE(A3835,""en"",""pt-br"")"),"de longa duração")</f>
        <v>de longa duração</v>
      </c>
      <c r="D3835" s="1" t="str">
        <f>IFERROR(__xludf.DUMMYFUNCTION("GOOGLETRANSLATE(B3835,""en"",""pt-br"")"),"positivo")</f>
        <v>positivo</v>
      </c>
    </row>
    <row r="3836" ht="15.75" customHeight="1">
      <c r="A3836" s="2" t="s">
        <v>3835</v>
      </c>
      <c r="B3836" s="2" t="s">
        <v>3</v>
      </c>
      <c r="C3836" s="1" t="str">
        <f>IFERROR(__xludf.DUMMYFUNCTION("GOOGLETRANSLATE(A3836,""en"",""pt-br"")"),"muito tempo")</f>
        <v>muito tempo</v>
      </c>
      <c r="D3836" s="1" t="str">
        <f>IFERROR(__xludf.DUMMYFUNCTION("GOOGLETRANSLATE(B3836,""en"",""pt-br"")"),"negativo")</f>
        <v>negativo</v>
      </c>
    </row>
    <row r="3837" ht="15.75" customHeight="1">
      <c r="A3837" s="2" t="s">
        <v>3836</v>
      </c>
      <c r="B3837" s="2" t="s">
        <v>3</v>
      </c>
      <c r="C3837" s="1" t="str">
        <f>IFERROR(__xludf.DUMMYFUNCTION("GOOGLETRANSLATE(A3837,""en"",""pt-br"")"),"prolixo")</f>
        <v>prolixo</v>
      </c>
      <c r="D3837" s="1" t="str">
        <f>IFERROR(__xludf.DUMMYFUNCTION("GOOGLETRANSLATE(B3837,""en"",""pt-br"")"),"negativo")</f>
        <v>negativo</v>
      </c>
    </row>
    <row r="3838" ht="15.75" customHeight="1">
      <c r="A3838" s="2" t="s">
        <v>3837</v>
      </c>
      <c r="B3838" s="2" t="s">
        <v>3</v>
      </c>
      <c r="C3838" s="1" t="str">
        <f>IFERROR(__xludf.DUMMYFUNCTION("GOOGLETRANSLATE(A3838,""en"",""pt-br"")"),"anseio")</f>
        <v>anseio</v>
      </c>
      <c r="D3838" s="1" t="str">
        <f>IFERROR(__xludf.DUMMYFUNCTION("GOOGLETRANSLATE(B3838,""en"",""pt-br"")"),"negativo")</f>
        <v>negativo</v>
      </c>
    </row>
    <row r="3839" ht="15.75" customHeight="1">
      <c r="A3839" s="2" t="s">
        <v>3838</v>
      </c>
      <c r="B3839" s="2" t="s">
        <v>3</v>
      </c>
      <c r="C3839" s="1" t="str">
        <f>IFERROR(__xludf.DUMMYFUNCTION("GOOGLETRANSLATE(A3839,""en"",""pt-br"")"),"saudosamente")</f>
        <v>saudosamente</v>
      </c>
      <c r="D3839" s="1" t="str">
        <f>IFERROR(__xludf.DUMMYFUNCTION("GOOGLETRANSLATE(B3839,""en"",""pt-br"")"),"negativo")</f>
        <v>negativo</v>
      </c>
    </row>
    <row r="3840" ht="15.75" customHeight="1">
      <c r="A3840" s="2" t="s">
        <v>3839</v>
      </c>
      <c r="B3840" s="2" t="s">
        <v>3</v>
      </c>
      <c r="C3840" s="1" t="str">
        <f>IFERROR(__xludf.DUMMYFUNCTION("GOOGLETRANSLATE(A3840,""en"",""pt-br"")"),"buraco")</f>
        <v>buraco</v>
      </c>
      <c r="D3840" s="1" t="str">
        <f>IFERROR(__xludf.DUMMYFUNCTION("GOOGLETRANSLATE(B3840,""en"",""pt-br"")"),"negativo")</f>
        <v>negativo</v>
      </c>
    </row>
    <row r="3841" ht="15.75" customHeight="1">
      <c r="A3841" s="2" t="s">
        <v>3840</v>
      </c>
      <c r="B3841" s="2" t="s">
        <v>3</v>
      </c>
      <c r="C3841" s="1" t="str">
        <f>IFERROR(__xludf.DUMMYFUNCTION("GOOGLETRANSLATE(A3841,""en"",""pt-br"")"),"brechas")</f>
        <v>brechas</v>
      </c>
      <c r="D3841" s="1" t="str">
        <f>IFERROR(__xludf.DUMMYFUNCTION("GOOGLETRANSLATE(B3841,""en"",""pt-br"")"),"negativo")</f>
        <v>negativo</v>
      </c>
    </row>
    <row r="3842" ht="15.75" customHeight="1">
      <c r="A3842" s="2" t="s">
        <v>3841</v>
      </c>
      <c r="B3842" s="2" t="s">
        <v>3</v>
      </c>
      <c r="C3842" s="1" t="str">
        <f>IFERROR(__xludf.DUMMYFUNCTION("GOOGLETRANSLATE(A3842,""en"",""pt-br"")"),"solto")</f>
        <v>solto</v>
      </c>
      <c r="D3842" s="1" t="str">
        <f>IFERROR(__xludf.DUMMYFUNCTION("GOOGLETRANSLATE(B3842,""en"",""pt-br"")"),"negativo")</f>
        <v>negativo</v>
      </c>
    </row>
    <row r="3843" ht="15.75" customHeight="1">
      <c r="A3843" s="2" t="s">
        <v>3842</v>
      </c>
      <c r="B3843" s="2" t="s">
        <v>3</v>
      </c>
      <c r="C3843" s="1" t="str">
        <f>IFERROR(__xludf.DUMMYFUNCTION("GOOGLETRANSLATE(A3843,""en"",""pt-br"")"),"saque")</f>
        <v>saque</v>
      </c>
      <c r="D3843" s="1" t="str">
        <f>IFERROR(__xludf.DUMMYFUNCTION("GOOGLETRANSLATE(B3843,""en"",""pt-br"")"),"negativo")</f>
        <v>negativo</v>
      </c>
    </row>
    <row r="3844" ht="15.75" customHeight="1">
      <c r="A3844" s="2" t="s">
        <v>3843</v>
      </c>
      <c r="B3844" s="2" t="s">
        <v>3</v>
      </c>
      <c r="C3844" s="1" t="str">
        <f>IFERROR(__xludf.DUMMYFUNCTION("GOOGLETRANSLATE(A3844,""en"",""pt-br"")"),"abandonado")</f>
        <v>abandonado</v>
      </c>
      <c r="D3844" s="1" t="str">
        <f>IFERROR(__xludf.DUMMYFUNCTION("GOOGLETRANSLATE(B3844,""en"",""pt-br"")"),"negativo")</f>
        <v>negativo</v>
      </c>
    </row>
    <row r="3845" ht="15.75" customHeight="1">
      <c r="A3845" s="2" t="s">
        <v>3844</v>
      </c>
      <c r="B3845" s="2" t="s">
        <v>3</v>
      </c>
      <c r="C3845" s="1" t="str">
        <f>IFERROR(__xludf.DUMMYFUNCTION("GOOGLETRANSLATE(A3845,""en"",""pt-br"")"),"perder")</f>
        <v>perder</v>
      </c>
      <c r="D3845" s="1" t="str">
        <f>IFERROR(__xludf.DUMMYFUNCTION("GOOGLETRANSLATE(B3845,""en"",""pt-br"")"),"negativo")</f>
        <v>negativo</v>
      </c>
    </row>
    <row r="3846" ht="15.75" customHeight="1">
      <c r="A3846" s="2" t="s">
        <v>3845</v>
      </c>
      <c r="B3846" s="2" t="s">
        <v>3</v>
      </c>
      <c r="C3846" s="1" t="str">
        <f>IFERROR(__xludf.DUMMYFUNCTION("GOOGLETRANSLATE(A3846,""en"",""pt-br"")"),"fracassado")</f>
        <v>fracassado</v>
      </c>
      <c r="D3846" s="1" t="str">
        <f>IFERROR(__xludf.DUMMYFUNCTION("GOOGLETRANSLATE(B3846,""en"",""pt-br"")"),"negativo")</f>
        <v>negativo</v>
      </c>
    </row>
    <row r="3847" ht="15.75" customHeight="1">
      <c r="A3847" s="2" t="s">
        <v>3846</v>
      </c>
      <c r="B3847" s="2" t="s">
        <v>3</v>
      </c>
      <c r="C3847" s="1" t="str">
        <f>IFERROR(__xludf.DUMMYFUNCTION("GOOGLETRANSLATE(A3847,""en"",""pt-br"")"),"perdedores")</f>
        <v>perdedores</v>
      </c>
      <c r="D3847" s="1" t="str">
        <f>IFERROR(__xludf.DUMMYFUNCTION("GOOGLETRANSLATE(B3847,""en"",""pt-br"")"),"negativo")</f>
        <v>negativo</v>
      </c>
    </row>
    <row r="3848" ht="15.75" customHeight="1">
      <c r="A3848" s="2" t="s">
        <v>3847</v>
      </c>
      <c r="B3848" s="2" t="s">
        <v>3</v>
      </c>
      <c r="C3848" s="1" t="str">
        <f>IFERROR(__xludf.DUMMYFUNCTION("GOOGLETRANSLATE(A3848,""en"",""pt-br"")"),"perde")</f>
        <v>perde</v>
      </c>
      <c r="D3848" s="1" t="str">
        <f>IFERROR(__xludf.DUMMYFUNCTION("GOOGLETRANSLATE(B3848,""en"",""pt-br"")"),"negativo")</f>
        <v>negativo</v>
      </c>
    </row>
    <row r="3849" ht="15.75" customHeight="1">
      <c r="A3849" s="2" t="s">
        <v>3848</v>
      </c>
      <c r="B3849" s="2" t="s">
        <v>3</v>
      </c>
      <c r="C3849" s="1" t="str">
        <f>IFERROR(__xludf.DUMMYFUNCTION("GOOGLETRANSLATE(A3849,""en"",""pt-br"")"),"perdedor")</f>
        <v>perdedor</v>
      </c>
      <c r="D3849" s="1" t="str">
        <f>IFERROR(__xludf.DUMMYFUNCTION("GOOGLETRANSLATE(B3849,""en"",""pt-br"")"),"negativo")</f>
        <v>negativo</v>
      </c>
    </row>
    <row r="3850" ht="15.75" customHeight="1">
      <c r="A3850" s="2" t="s">
        <v>3849</v>
      </c>
      <c r="B3850" s="2" t="s">
        <v>3</v>
      </c>
      <c r="C3850" s="1" t="str">
        <f>IFERROR(__xludf.DUMMYFUNCTION("GOOGLETRANSLATE(A3850,""en"",""pt-br"")"),"perda")</f>
        <v>perda</v>
      </c>
      <c r="D3850" s="1" t="str">
        <f>IFERROR(__xludf.DUMMYFUNCTION("GOOGLETRANSLATE(B3850,""en"",""pt-br"")"),"negativo")</f>
        <v>negativo</v>
      </c>
    </row>
    <row r="3851" ht="15.75" customHeight="1">
      <c r="A3851" s="2" t="s">
        <v>3850</v>
      </c>
      <c r="B3851" s="2" t="s">
        <v>3</v>
      </c>
      <c r="C3851" s="1" t="str">
        <f>IFERROR(__xludf.DUMMYFUNCTION("GOOGLETRANSLATE(A3851,""en"",""pt-br"")"),"perdas")</f>
        <v>perdas</v>
      </c>
      <c r="D3851" s="1" t="str">
        <f>IFERROR(__xludf.DUMMYFUNCTION("GOOGLETRANSLATE(B3851,""en"",""pt-br"")"),"negativo")</f>
        <v>negativo</v>
      </c>
    </row>
    <row r="3852" ht="15.75" customHeight="1">
      <c r="A3852" s="2" t="s">
        <v>3851</v>
      </c>
      <c r="B3852" s="2" t="s">
        <v>3</v>
      </c>
      <c r="C3852" s="1" t="str">
        <f>IFERROR(__xludf.DUMMYFUNCTION("GOOGLETRANSLATE(A3852,""en"",""pt-br"")"),"perdido")</f>
        <v>perdido</v>
      </c>
      <c r="D3852" s="1" t="str">
        <f>IFERROR(__xludf.DUMMYFUNCTION("GOOGLETRANSLATE(B3852,""en"",""pt-br"")"),"negativo")</f>
        <v>negativo</v>
      </c>
    </row>
    <row r="3853" ht="15.75" customHeight="1">
      <c r="A3853" s="2" t="s">
        <v>3852</v>
      </c>
      <c r="B3853" s="2" t="s">
        <v>3</v>
      </c>
      <c r="C3853" s="1" t="str">
        <f>IFERROR(__xludf.DUMMYFUNCTION("GOOGLETRANSLATE(A3853,""en"",""pt-br"")"),"alto")</f>
        <v>alto</v>
      </c>
      <c r="D3853" s="1" t="str">
        <f>IFERROR(__xludf.DUMMYFUNCTION("GOOGLETRANSLATE(B3853,""en"",""pt-br"")"),"negativo")</f>
        <v>negativo</v>
      </c>
    </row>
    <row r="3854" ht="15.75" customHeight="1">
      <c r="A3854" s="2" t="s">
        <v>3853</v>
      </c>
      <c r="B3854" s="2" t="s">
        <v>3</v>
      </c>
      <c r="C3854" s="1" t="str">
        <f>IFERROR(__xludf.DUMMYFUNCTION("GOOGLETRANSLATE(A3854,""en"",""pt-br"")"),"mais alto")</f>
        <v>mais alto</v>
      </c>
      <c r="D3854" s="1" t="str">
        <f>IFERROR(__xludf.DUMMYFUNCTION("GOOGLETRANSLATE(B3854,""en"",""pt-br"")"),"negativo")</f>
        <v>negativo</v>
      </c>
    </row>
    <row r="3855" ht="15.75" customHeight="1">
      <c r="A3855" s="2" t="s">
        <v>3854</v>
      </c>
      <c r="B3855" s="2" t="s">
        <v>3</v>
      </c>
      <c r="C3855" s="1" t="str">
        <f>IFERROR(__xludf.DUMMYFUNCTION("GOOGLETRANSLATE(A3855,""en"",""pt-br"")"),"nojento")</f>
        <v>nojento</v>
      </c>
      <c r="D3855" s="1" t="str">
        <f>IFERROR(__xludf.DUMMYFUNCTION("GOOGLETRANSLATE(B3855,""en"",""pt-br"")"),"negativo")</f>
        <v>negativo</v>
      </c>
    </row>
    <row r="3856" ht="15.75" customHeight="1">
      <c r="A3856" s="2" t="s">
        <v>3855</v>
      </c>
      <c r="B3856" s="2" t="s">
        <v>14</v>
      </c>
      <c r="C3856" s="1" t="str">
        <f>IFERROR(__xludf.DUMMYFUNCTION("GOOGLETRANSLATE(A3856,""en"",""pt-br"")"),"adorável")</f>
        <v>adorável</v>
      </c>
      <c r="D3856" s="1" t="str">
        <f>IFERROR(__xludf.DUMMYFUNCTION("GOOGLETRANSLATE(B3856,""en"",""pt-br"")"),"positivo")</f>
        <v>positivo</v>
      </c>
    </row>
    <row r="3857" ht="15.75" customHeight="1">
      <c r="A3857" s="2" t="s">
        <v>3856</v>
      </c>
      <c r="B3857" s="2" t="s">
        <v>14</v>
      </c>
      <c r="C3857" s="1" t="str">
        <f>IFERROR(__xludf.DUMMYFUNCTION("GOOGLETRANSLATE(A3857,""en"",""pt-br"")"),"lovably")</f>
        <v>lovably</v>
      </c>
      <c r="D3857" s="1" t="str">
        <f>IFERROR(__xludf.DUMMYFUNCTION("GOOGLETRANSLATE(B3857,""en"",""pt-br"")"),"positivo")</f>
        <v>positivo</v>
      </c>
    </row>
    <row r="3858" ht="15.75" customHeight="1">
      <c r="A3858" s="2" t="s">
        <v>3857</v>
      </c>
      <c r="B3858" s="2" t="s">
        <v>14</v>
      </c>
      <c r="C3858" s="1" t="str">
        <f>IFERROR(__xludf.DUMMYFUNCTION("GOOGLETRANSLATE(A3858,""en"",""pt-br"")"),"amor")</f>
        <v>amor</v>
      </c>
      <c r="D3858" s="1" t="str">
        <f>IFERROR(__xludf.DUMMYFUNCTION("GOOGLETRANSLATE(B3858,""en"",""pt-br"")"),"positivo")</f>
        <v>positivo</v>
      </c>
    </row>
    <row r="3859" ht="15.75" customHeight="1">
      <c r="A3859" s="2" t="s">
        <v>3858</v>
      </c>
      <c r="B3859" s="2" t="s">
        <v>14</v>
      </c>
      <c r="C3859" s="1" t="str">
        <f>IFERROR(__xludf.DUMMYFUNCTION("GOOGLETRANSLATE(A3859,""en"",""pt-br"")"),"Amado")</f>
        <v>Amado</v>
      </c>
      <c r="D3859" s="1" t="str">
        <f>IFERROR(__xludf.DUMMYFUNCTION("GOOGLETRANSLATE(B3859,""en"",""pt-br"")"),"positivo")</f>
        <v>positivo</v>
      </c>
    </row>
    <row r="3860" ht="15.75" customHeight="1">
      <c r="A3860" s="2" t="s">
        <v>3859</v>
      </c>
      <c r="B3860" s="2" t="s">
        <v>3</v>
      </c>
      <c r="C3860" s="1" t="str">
        <f>IFERROR(__xludf.DUMMYFUNCTION("GOOGLETRANSLATE(A3860,""en"",""pt-br"")"),"sem amor")</f>
        <v>sem amor</v>
      </c>
      <c r="D3860" s="1" t="str">
        <f>IFERROR(__xludf.DUMMYFUNCTION("GOOGLETRANSLATE(B3860,""en"",""pt-br"")"),"negativo")</f>
        <v>negativo</v>
      </c>
    </row>
    <row r="3861" ht="15.75" customHeight="1">
      <c r="A3861" s="2" t="s">
        <v>3860</v>
      </c>
      <c r="B3861" s="2" t="s">
        <v>14</v>
      </c>
      <c r="C3861" s="1" t="str">
        <f>IFERROR(__xludf.DUMMYFUNCTION("GOOGLETRANSLATE(A3861,""en"",""pt-br"")"),"beleza")</f>
        <v>beleza</v>
      </c>
      <c r="D3861" s="1" t="str">
        <f>IFERROR(__xludf.DUMMYFUNCTION("GOOGLETRANSLATE(B3861,""en"",""pt-br"")"),"positivo")</f>
        <v>positivo</v>
      </c>
    </row>
    <row r="3862" ht="15.75" customHeight="1">
      <c r="A3862" s="2" t="s">
        <v>3861</v>
      </c>
      <c r="B3862" s="2" t="s">
        <v>3</v>
      </c>
      <c r="C3862" s="1" t="str">
        <f>IFERROR(__xludf.DUMMYFUNCTION("GOOGLETRANSLATE(A3862,""en"",""pt-br"")"),"lovelorn")</f>
        <v>lovelorn</v>
      </c>
      <c r="D3862" s="1" t="str">
        <f>IFERROR(__xludf.DUMMYFUNCTION("GOOGLETRANSLATE(B3862,""en"",""pt-br"")"),"negativo")</f>
        <v>negativo</v>
      </c>
    </row>
    <row r="3863" ht="15.75" customHeight="1">
      <c r="A3863" s="2" t="s">
        <v>3862</v>
      </c>
      <c r="B3863" s="2" t="s">
        <v>14</v>
      </c>
      <c r="C3863" s="1" t="str">
        <f>IFERROR(__xludf.DUMMYFUNCTION("GOOGLETRANSLATE(A3863,""en"",""pt-br"")"),"encantador")</f>
        <v>encantador</v>
      </c>
      <c r="D3863" s="1" t="str">
        <f>IFERROR(__xludf.DUMMYFUNCTION("GOOGLETRANSLATE(B3863,""en"",""pt-br"")"),"positivo")</f>
        <v>positivo</v>
      </c>
    </row>
    <row r="3864" ht="15.75" customHeight="1">
      <c r="A3864" s="2" t="s">
        <v>3863</v>
      </c>
      <c r="B3864" s="2" t="s">
        <v>14</v>
      </c>
      <c r="C3864" s="1" t="str">
        <f>IFERROR(__xludf.DUMMYFUNCTION("GOOGLETRANSLATE(A3864,""en"",""pt-br"")"),"amante")</f>
        <v>amante</v>
      </c>
      <c r="D3864" s="1" t="str">
        <f>IFERROR(__xludf.DUMMYFUNCTION("GOOGLETRANSLATE(B3864,""en"",""pt-br"")"),"positivo")</f>
        <v>positivo</v>
      </c>
    </row>
    <row r="3865" ht="15.75" customHeight="1">
      <c r="A3865" s="2" t="s">
        <v>3864</v>
      </c>
      <c r="B3865" s="2" t="s">
        <v>14</v>
      </c>
      <c r="C3865" s="1" t="str">
        <f>IFERROR(__xludf.DUMMYFUNCTION("GOOGLETRANSLATE(A3865,""en"",""pt-br"")"),"O amor é")</f>
        <v>O amor é</v>
      </c>
      <c r="D3865" s="1" t="str">
        <f>IFERROR(__xludf.DUMMYFUNCTION("GOOGLETRANSLATE(B3865,""en"",""pt-br"")"),"positivo")</f>
        <v>positivo</v>
      </c>
    </row>
    <row r="3866" ht="15.75" customHeight="1">
      <c r="A3866" s="2" t="s">
        <v>3865</v>
      </c>
      <c r="B3866" s="2" t="s">
        <v>14</v>
      </c>
      <c r="C3866" s="1" t="str">
        <f>IFERROR(__xludf.DUMMYFUNCTION("GOOGLETRANSLATE(A3866,""en"",""pt-br"")"),"amoroso")</f>
        <v>amoroso</v>
      </c>
      <c r="D3866" s="1" t="str">
        <f>IFERROR(__xludf.DUMMYFUNCTION("GOOGLETRANSLATE(B3866,""en"",""pt-br"")"),"positivo")</f>
        <v>positivo</v>
      </c>
    </row>
    <row r="3867" ht="15.75" customHeight="1">
      <c r="A3867" s="2" t="s">
        <v>3866</v>
      </c>
      <c r="B3867" s="2" t="s">
        <v>14</v>
      </c>
      <c r="C3867" s="1" t="str">
        <f>IFERROR(__xludf.DUMMYFUNCTION("GOOGLETRANSLATE(A3867,""en"",""pt-br"")"),"baixo custo")</f>
        <v>baixo custo</v>
      </c>
      <c r="D3867" s="1" t="str">
        <f>IFERROR(__xludf.DUMMYFUNCTION("GOOGLETRANSLATE(B3867,""en"",""pt-br"")"),"positivo")</f>
        <v>positivo</v>
      </c>
    </row>
    <row r="3868" ht="15.75" customHeight="1">
      <c r="A3868" s="2" t="s">
        <v>3867</v>
      </c>
      <c r="B3868" s="2" t="s">
        <v>14</v>
      </c>
      <c r="C3868" s="1" t="str">
        <f>IFERROR(__xludf.DUMMYFUNCTION("GOOGLETRANSLATE(A3868,""en"",""pt-br"")"),"preço baixo")</f>
        <v>preço baixo</v>
      </c>
      <c r="D3868" s="1" t="str">
        <f>IFERROR(__xludf.DUMMYFUNCTION("GOOGLETRANSLATE(B3868,""en"",""pt-br"")"),"positivo")</f>
        <v>positivo</v>
      </c>
    </row>
    <row r="3869" ht="15.75" customHeight="1">
      <c r="A3869" s="2" t="s">
        <v>3868</v>
      </c>
      <c r="B3869" s="2" t="s">
        <v>14</v>
      </c>
      <c r="C3869" s="1" t="str">
        <f>IFERROR(__xludf.DUMMYFUNCTION("GOOGLETRANSLATE(A3869,""en"",""pt-br"")"),"-Baixo preço")</f>
        <v>-Baixo preço</v>
      </c>
      <c r="D3869" s="1" t="str">
        <f>IFERROR(__xludf.DUMMYFUNCTION("GOOGLETRANSLATE(B3869,""en"",""pt-br"")"),"positivo")</f>
        <v>positivo</v>
      </c>
    </row>
    <row r="3870" ht="15.75" customHeight="1">
      <c r="A3870" s="2" t="s">
        <v>3869</v>
      </c>
      <c r="B3870" s="2" t="s">
        <v>3</v>
      </c>
      <c r="C3870" s="1" t="str">
        <f>IFERROR(__xludf.DUMMYFUNCTION("GOOGLETRANSLATE(A3870,""en"",""pt-br"")"),"-Baixo classificado")</f>
        <v>-Baixo classificado</v>
      </c>
      <c r="D3870" s="1" t="str">
        <f>IFERROR(__xludf.DUMMYFUNCTION("GOOGLETRANSLATE(B3870,""en"",""pt-br"")"),"negativo")</f>
        <v>negativo</v>
      </c>
    </row>
    <row r="3871" ht="15.75" customHeight="1">
      <c r="A3871" s="2" t="s">
        <v>3870</v>
      </c>
      <c r="B3871" s="2" t="s">
        <v>14</v>
      </c>
      <c r="C3871" s="1" t="str">
        <f>IFERROR(__xludf.DUMMYFUNCTION("GOOGLETRANSLATE(A3871,""en"",""pt-br"")"),"baixo risco")</f>
        <v>baixo risco</v>
      </c>
      <c r="D3871" s="1" t="str">
        <f>IFERROR(__xludf.DUMMYFUNCTION("GOOGLETRANSLATE(B3871,""en"",""pt-br"")"),"positivo")</f>
        <v>positivo</v>
      </c>
    </row>
    <row r="3872" ht="15.75" customHeight="1">
      <c r="A3872" s="2" t="s">
        <v>3871</v>
      </c>
      <c r="B3872" s="2" t="s">
        <v>14</v>
      </c>
      <c r="C3872" s="1" t="str">
        <f>IFERROR(__xludf.DUMMYFUNCTION("GOOGLETRANSLATE(A3872,""en"",""pt-br"")"),"com preços mais baixos")</f>
        <v>com preços mais baixos</v>
      </c>
      <c r="D3872" s="1" t="str">
        <f>IFERROR(__xludf.DUMMYFUNCTION("GOOGLETRANSLATE(B3872,""en"",""pt-br"")"),"positivo")</f>
        <v>positivo</v>
      </c>
    </row>
    <row r="3873" ht="15.75" customHeight="1">
      <c r="A3873" s="2" t="s">
        <v>3872</v>
      </c>
      <c r="B3873" s="2" t="s">
        <v>3</v>
      </c>
      <c r="C3873" s="1" t="str">
        <f>IFERROR(__xludf.DUMMYFUNCTION("GOOGLETRANSLATE(A3873,""en"",""pt-br"")"),"humilde")</f>
        <v>humilde</v>
      </c>
      <c r="D3873" s="1" t="str">
        <f>IFERROR(__xludf.DUMMYFUNCTION("GOOGLETRANSLATE(B3873,""en"",""pt-br"")"),"negativo")</f>
        <v>negativo</v>
      </c>
    </row>
    <row r="3874" ht="15.75" customHeight="1">
      <c r="A3874" s="2" t="s">
        <v>3873</v>
      </c>
      <c r="B3874" s="2" t="s">
        <v>14</v>
      </c>
      <c r="C3874" s="1" t="str">
        <f>IFERROR(__xludf.DUMMYFUNCTION("GOOGLETRANSLATE(A3874,""en"",""pt-br"")"),"fiel")</f>
        <v>fiel</v>
      </c>
      <c r="D3874" s="1" t="str">
        <f>IFERROR(__xludf.DUMMYFUNCTION("GOOGLETRANSLATE(B3874,""en"",""pt-br"")"),"positivo")</f>
        <v>positivo</v>
      </c>
    </row>
    <row r="3875" ht="15.75" customHeight="1">
      <c r="A3875" s="2" t="s">
        <v>3874</v>
      </c>
      <c r="B3875" s="2" t="s">
        <v>14</v>
      </c>
      <c r="C3875" s="1" t="str">
        <f>IFERROR(__xludf.DUMMYFUNCTION("GOOGLETRANSLATE(A3875,""en"",""pt-br"")"),"fidelidade")</f>
        <v>fidelidade</v>
      </c>
      <c r="D3875" s="1" t="str">
        <f>IFERROR(__xludf.DUMMYFUNCTION("GOOGLETRANSLATE(B3875,""en"",""pt-br"")"),"positivo")</f>
        <v>positivo</v>
      </c>
    </row>
    <row r="3876" ht="15.75" customHeight="1">
      <c r="A3876" s="2" t="s">
        <v>3875</v>
      </c>
      <c r="B3876" s="2" t="s">
        <v>14</v>
      </c>
      <c r="C3876" s="1" t="str">
        <f>IFERROR(__xludf.DUMMYFUNCTION("GOOGLETRANSLATE(A3876,""en"",""pt-br"")"),"lúcido")</f>
        <v>lúcido</v>
      </c>
      <c r="D3876" s="1" t="str">
        <f>IFERROR(__xludf.DUMMYFUNCTION("GOOGLETRANSLATE(B3876,""en"",""pt-br"")"),"positivo")</f>
        <v>positivo</v>
      </c>
    </row>
    <row r="3877" ht="15.75" customHeight="1">
      <c r="A3877" s="2" t="s">
        <v>3876</v>
      </c>
      <c r="B3877" s="2" t="s">
        <v>14</v>
      </c>
      <c r="C3877" s="1" t="str">
        <f>IFERROR(__xludf.DUMMYFUNCTION("GOOGLETRANSLATE(A3877,""en"",""pt-br"")"),"lucidamente")</f>
        <v>lucidamente</v>
      </c>
      <c r="D3877" s="1" t="str">
        <f>IFERROR(__xludf.DUMMYFUNCTION("GOOGLETRANSLATE(B3877,""en"",""pt-br"")"),"positivo")</f>
        <v>positivo</v>
      </c>
    </row>
    <row r="3878" ht="15.75" customHeight="1">
      <c r="A3878" s="2" t="s">
        <v>3877</v>
      </c>
      <c r="B3878" s="2" t="s">
        <v>14</v>
      </c>
      <c r="C3878" s="1" t="str">
        <f>IFERROR(__xludf.DUMMYFUNCTION("GOOGLETRANSLATE(A3878,""en"",""pt-br"")"),"sorte")</f>
        <v>sorte</v>
      </c>
      <c r="D3878" s="1" t="str">
        <f>IFERROR(__xludf.DUMMYFUNCTION("GOOGLETRANSLATE(B3878,""en"",""pt-br"")"),"positivo")</f>
        <v>positivo</v>
      </c>
    </row>
    <row r="3879" ht="15.75" customHeight="1">
      <c r="A3879" s="2" t="s">
        <v>3878</v>
      </c>
      <c r="B3879" s="2" t="s">
        <v>14</v>
      </c>
      <c r="C3879" s="1" t="str">
        <f>IFERROR(__xludf.DUMMYFUNCTION("GOOGLETRANSLATE(A3879,""en"",""pt-br"")"),"mais sorte")</f>
        <v>mais sorte</v>
      </c>
      <c r="D3879" s="1" t="str">
        <f>IFERROR(__xludf.DUMMYFUNCTION("GOOGLETRANSLATE(B3879,""en"",""pt-br"")"),"positivo")</f>
        <v>positivo</v>
      </c>
    </row>
    <row r="3880" ht="15.75" customHeight="1">
      <c r="A3880" s="2" t="s">
        <v>3879</v>
      </c>
      <c r="B3880" s="2" t="s">
        <v>14</v>
      </c>
      <c r="C3880" s="1" t="str">
        <f>IFERROR(__xludf.DUMMYFUNCTION("GOOGLETRANSLATE(A3880,""en"",""pt-br"")"),"mais sortudas")</f>
        <v>mais sortudas</v>
      </c>
      <c r="D3880" s="1" t="str">
        <f>IFERROR(__xludf.DUMMYFUNCTION("GOOGLETRANSLATE(B3880,""en"",""pt-br"")"),"positivo")</f>
        <v>positivo</v>
      </c>
    </row>
    <row r="3881" ht="15.75" customHeight="1">
      <c r="A3881" s="2" t="s">
        <v>3880</v>
      </c>
      <c r="B3881" s="2" t="s">
        <v>14</v>
      </c>
      <c r="C3881" s="1" t="str">
        <f>IFERROR(__xludf.DUMMYFUNCTION("GOOGLETRANSLATE(A3881,""en"",""pt-br"")"),"ventura")</f>
        <v>ventura</v>
      </c>
      <c r="D3881" s="1" t="str">
        <f>IFERROR(__xludf.DUMMYFUNCTION("GOOGLETRANSLATE(B3881,""en"",""pt-br"")"),"positivo")</f>
        <v>positivo</v>
      </c>
    </row>
    <row r="3882" ht="15.75" customHeight="1">
      <c r="A3882" s="2" t="s">
        <v>3881</v>
      </c>
      <c r="B3882" s="2" t="s">
        <v>14</v>
      </c>
      <c r="C3882" s="1" t="str">
        <f>IFERROR(__xludf.DUMMYFUNCTION("GOOGLETRANSLATE(A3882,""en"",""pt-br"")"),"por sorte")</f>
        <v>por sorte</v>
      </c>
      <c r="D3882" s="1" t="str">
        <f>IFERROR(__xludf.DUMMYFUNCTION("GOOGLETRANSLATE(B3882,""en"",""pt-br"")"),"positivo")</f>
        <v>positivo</v>
      </c>
    </row>
    <row r="3883" ht="15.75" customHeight="1">
      <c r="A3883" s="2" t="s">
        <v>3882</v>
      </c>
      <c r="B3883" s="2" t="s">
        <v>14</v>
      </c>
      <c r="C3883" s="1" t="str">
        <f>IFERROR(__xludf.DUMMYFUNCTION("GOOGLETRANSLATE(A3883,""en"",""pt-br"")"),"lucrativo")</f>
        <v>lucrativo</v>
      </c>
      <c r="D3883" s="1" t="str">
        <f>IFERROR(__xludf.DUMMYFUNCTION("GOOGLETRANSLATE(B3883,""en"",""pt-br"")"),"positivo")</f>
        <v>positivo</v>
      </c>
    </row>
    <row r="3884" ht="15.75" customHeight="1">
      <c r="A3884" s="2" t="s">
        <v>3883</v>
      </c>
      <c r="B3884" s="2" t="s">
        <v>3</v>
      </c>
      <c r="C3884" s="1" t="str">
        <f>IFERROR(__xludf.DUMMYFUNCTION("GOOGLETRANSLATE(A3884,""en"",""pt-br"")"),"ridículo")</f>
        <v>ridículo</v>
      </c>
      <c r="D3884" s="1" t="str">
        <f>IFERROR(__xludf.DUMMYFUNCTION("GOOGLETRANSLATE(B3884,""en"",""pt-br"")"),"negativo")</f>
        <v>negativo</v>
      </c>
    </row>
    <row r="3885" ht="15.75" customHeight="1">
      <c r="A3885" s="2" t="s">
        <v>3884</v>
      </c>
      <c r="B3885" s="2" t="s">
        <v>3</v>
      </c>
      <c r="C3885" s="1" t="str">
        <f>IFERROR(__xludf.DUMMYFUNCTION("GOOGLETRANSLATE(A3885,""en"",""pt-br"")"),"ridiculamente")</f>
        <v>ridiculamente</v>
      </c>
      <c r="D3885" s="1" t="str">
        <f>IFERROR(__xludf.DUMMYFUNCTION("GOOGLETRANSLATE(B3885,""en"",""pt-br"")"),"negativo")</f>
        <v>negativo</v>
      </c>
    </row>
    <row r="3886" ht="15.75" customHeight="1">
      <c r="A3886" s="2" t="s">
        <v>3885</v>
      </c>
      <c r="B3886" s="2" t="s">
        <v>3</v>
      </c>
      <c r="C3886" s="1" t="str">
        <f>IFERROR(__xludf.DUMMYFUNCTION("GOOGLETRANSLATE(A3886,""en"",""pt-br"")"),"lúgubre")</f>
        <v>lúgubre</v>
      </c>
      <c r="D3886" s="1" t="str">
        <f>IFERROR(__xludf.DUMMYFUNCTION("GOOGLETRANSLATE(B3886,""en"",""pt-br"")"),"negativo")</f>
        <v>negativo</v>
      </c>
    </row>
    <row r="3887" ht="15.75" customHeight="1">
      <c r="A3887" s="2" t="s">
        <v>3886</v>
      </c>
      <c r="B3887" s="2" t="s">
        <v>3</v>
      </c>
      <c r="C3887" s="1" t="str">
        <f>IFERROR(__xludf.DUMMYFUNCTION("GOOGLETRANSLATE(A3887,""en"",""pt-br"")"),"morno")</f>
        <v>morno</v>
      </c>
      <c r="D3887" s="1" t="str">
        <f>IFERROR(__xludf.DUMMYFUNCTION("GOOGLETRANSLATE(B3887,""en"",""pt-br"")"),"negativo")</f>
        <v>negativo</v>
      </c>
    </row>
    <row r="3888" ht="15.75" customHeight="1">
      <c r="A3888" s="2" t="s">
        <v>3887</v>
      </c>
      <c r="B3888" s="2" t="s">
        <v>3</v>
      </c>
      <c r="C3888" s="1" t="str">
        <f>IFERROR(__xludf.DUMMYFUNCTION("GOOGLETRANSLATE(A3888,""en"",""pt-br"")"),"calmaria")</f>
        <v>calmaria</v>
      </c>
      <c r="D3888" s="1" t="str">
        <f>IFERROR(__xludf.DUMMYFUNCTION("GOOGLETRANSLATE(B3888,""en"",""pt-br"")"),"negativo")</f>
        <v>negativo</v>
      </c>
    </row>
    <row r="3889" ht="15.75" customHeight="1">
      <c r="A3889" s="2" t="s">
        <v>3888</v>
      </c>
      <c r="B3889" s="2" t="s">
        <v>14</v>
      </c>
      <c r="C3889" s="1" t="str">
        <f>IFERROR(__xludf.DUMMYFUNCTION("GOOGLETRANSLATE(A3889,""en"",""pt-br"")"),"luminoso")</f>
        <v>luminoso</v>
      </c>
      <c r="D3889" s="1" t="str">
        <f>IFERROR(__xludf.DUMMYFUNCTION("GOOGLETRANSLATE(B3889,""en"",""pt-br"")"),"positivo")</f>
        <v>positivo</v>
      </c>
    </row>
    <row r="3890" ht="15.75" customHeight="1">
      <c r="A3890" s="2" t="s">
        <v>3889</v>
      </c>
      <c r="B3890" s="2" t="s">
        <v>3</v>
      </c>
      <c r="C3890" s="1" t="str">
        <f>IFERROR(__xludf.DUMMYFUNCTION("GOOGLETRANSLATE(A3890,""en"",""pt-br"")"),"grumoso")</f>
        <v>grumoso</v>
      </c>
      <c r="D3890" s="1" t="str">
        <f>IFERROR(__xludf.DUMMYFUNCTION("GOOGLETRANSLATE(B3890,""en"",""pt-br"")"),"negativo")</f>
        <v>negativo</v>
      </c>
    </row>
    <row r="3891" ht="15.75" customHeight="1">
      <c r="A3891" s="2" t="s">
        <v>3890</v>
      </c>
      <c r="B3891" s="2" t="s">
        <v>3</v>
      </c>
      <c r="C3891" s="1" t="str">
        <f>IFERROR(__xludf.DUMMYFUNCTION("GOOGLETRANSLATE(A3891,""en"",""pt-br"")"),"lunático")</f>
        <v>lunático</v>
      </c>
      <c r="D3891" s="1" t="str">
        <f>IFERROR(__xludf.DUMMYFUNCTION("GOOGLETRANSLATE(B3891,""en"",""pt-br"")"),"negativo")</f>
        <v>negativo</v>
      </c>
    </row>
    <row r="3892" ht="15.75" customHeight="1">
      <c r="A3892" s="2" t="s">
        <v>3891</v>
      </c>
      <c r="B3892" s="2" t="s">
        <v>3</v>
      </c>
      <c r="C3892" s="1" t="str">
        <f>IFERROR(__xludf.DUMMYFUNCTION("GOOGLETRANSLATE(A3892,""en"",""pt-br"")"),"lunaticism")</f>
        <v>lunaticism</v>
      </c>
      <c r="D3892" s="1" t="str">
        <f>IFERROR(__xludf.DUMMYFUNCTION("GOOGLETRANSLATE(B3892,""en"",""pt-br"")"),"negativo")</f>
        <v>negativo</v>
      </c>
    </row>
    <row r="3893" ht="15.75" customHeight="1">
      <c r="A3893" s="2" t="s">
        <v>3892</v>
      </c>
      <c r="B3893" s="2" t="s">
        <v>3</v>
      </c>
      <c r="C3893" s="1" t="str">
        <f>IFERROR(__xludf.DUMMYFUNCTION("GOOGLETRANSLATE(A3893,""en"",""pt-br"")"),"guinada")</f>
        <v>guinada</v>
      </c>
      <c r="D3893" s="1" t="str">
        <f>IFERROR(__xludf.DUMMYFUNCTION("GOOGLETRANSLATE(B3893,""en"",""pt-br"")"),"negativo")</f>
        <v>negativo</v>
      </c>
    </row>
    <row r="3894" ht="15.75" customHeight="1">
      <c r="A3894" s="2" t="s">
        <v>3893</v>
      </c>
      <c r="B3894" s="2" t="s">
        <v>3</v>
      </c>
      <c r="C3894" s="1" t="str">
        <f>IFERROR(__xludf.DUMMYFUNCTION("GOOGLETRANSLATE(A3894,""en"",""pt-br"")"),"atrair")</f>
        <v>atrair</v>
      </c>
      <c r="D3894" s="1" t="str">
        <f>IFERROR(__xludf.DUMMYFUNCTION("GOOGLETRANSLATE(B3894,""en"",""pt-br"")"),"negativo")</f>
        <v>negativo</v>
      </c>
    </row>
    <row r="3895" ht="15.75" customHeight="1">
      <c r="A3895" s="2" t="s">
        <v>3894</v>
      </c>
      <c r="B3895" s="2" t="s">
        <v>3</v>
      </c>
      <c r="C3895" s="1" t="str">
        <f>IFERROR(__xludf.DUMMYFUNCTION("GOOGLETRANSLATE(A3895,""en"",""pt-br"")"),"lúgubre")</f>
        <v>lúgubre</v>
      </c>
      <c r="D3895" s="1" t="str">
        <f>IFERROR(__xludf.DUMMYFUNCTION("GOOGLETRANSLATE(B3895,""en"",""pt-br"")"),"negativo")</f>
        <v>negativo</v>
      </c>
    </row>
    <row r="3896" ht="15.75" customHeight="1">
      <c r="A3896" s="2" t="s">
        <v>3895</v>
      </c>
      <c r="B3896" s="2" t="s">
        <v>3</v>
      </c>
      <c r="C3896" s="1" t="str">
        <f>IFERROR(__xludf.DUMMYFUNCTION("GOOGLETRANSLATE(A3896,""en"",""pt-br"")"),"espreitar")</f>
        <v>espreitar</v>
      </c>
      <c r="D3896" s="1" t="str">
        <f>IFERROR(__xludf.DUMMYFUNCTION("GOOGLETRANSLATE(B3896,""en"",""pt-br"")"),"negativo")</f>
        <v>negativo</v>
      </c>
    </row>
    <row r="3897" ht="15.75" customHeight="1">
      <c r="A3897" s="2" t="s">
        <v>3896</v>
      </c>
      <c r="B3897" s="2" t="s">
        <v>3</v>
      </c>
      <c r="C3897" s="1" t="str">
        <f>IFERROR(__xludf.DUMMYFUNCTION("GOOGLETRANSLATE(A3897,""en"",""pt-br"")"),"espreita")</f>
        <v>espreita</v>
      </c>
      <c r="D3897" s="1" t="str">
        <f>IFERROR(__xludf.DUMMYFUNCTION("GOOGLETRANSLATE(B3897,""en"",""pt-br"")"),"negativo")</f>
        <v>negativo</v>
      </c>
    </row>
    <row r="3898" ht="15.75" customHeight="1">
      <c r="A3898" s="2" t="s">
        <v>3897</v>
      </c>
      <c r="B3898" s="2" t="s">
        <v>14</v>
      </c>
      <c r="C3898" s="1" t="str">
        <f>IFERROR(__xludf.DUMMYFUNCTION("GOOGLETRANSLATE(A3898,""en"",""pt-br"")"),"exuberante")</f>
        <v>exuberante</v>
      </c>
      <c r="D3898" s="1" t="str">
        <f>IFERROR(__xludf.DUMMYFUNCTION("GOOGLETRANSLATE(B3898,""en"",""pt-br"")"),"positivo")</f>
        <v>positivo</v>
      </c>
    </row>
    <row r="3899" ht="15.75" customHeight="1">
      <c r="A3899" s="2" t="s">
        <v>3898</v>
      </c>
      <c r="B3899" s="2" t="s">
        <v>14</v>
      </c>
      <c r="C3899" s="1" t="str">
        <f>IFERROR(__xludf.DUMMYFUNCTION("GOOGLETRANSLATE(A3899,""en"",""pt-br"")"),"brilho")</f>
        <v>brilho</v>
      </c>
      <c r="D3899" s="1" t="str">
        <f>IFERROR(__xludf.DUMMYFUNCTION("GOOGLETRANSLATE(B3899,""en"",""pt-br"")"),"positivo")</f>
        <v>positivo</v>
      </c>
    </row>
    <row r="3900" ht="15.75" customHeight="1">
      <c r="A3900" s="2" t="s">
        <v>3899</v>
      </c>
      <c r="B3900" s="2" t="s">
        <v>14</v>
      </c>
      <c r="C3900" s="1" t="str">
        <f>IFERROR(__xludf.DUMMYFUNCTION("GOOGLETRANSLATE(A3900,""en"",""pt-br"")"),"brilhante")</f>
        <v>brilhante</v>
      </c>
      <c r="D3900" s="1" t="str">
        <f>IFERROR(__xludf.DUMMYFUNCTION("GOOGLETRANSLATE(B3900,""en"",""pt-br"")"),"positivo")</f>
        <v>positivo</v>
      </c>
    </row>
    <row r="3901" ht="15.75" customHeight="1">
      <c r="A3901" s="2" t="s">
        <v>3900</v>
      </c>
      <c r="B3901" s="2" t="s">
        <v>14</v>
      </c>
      <c r="C3901" s="1" t="str">
        <f>IFERROR(__xludf.DUMMYFUNCTION("GOOGLETRANSLATE(A3901,""en"",""pt-br"")"),"luxuriante")</f>
        <v>luxuriante</v>
      </c>
      <c r="D3901" s="1" t="str">
        <f>IFERROR(__xludf.DUMMYFUNCTION("GOOGLETRANSLATE(B3901,""en"",""pt-br"")"),"positivo")</f>
        <v>positivo</v>
      </c>
    </row>
    <row r="3902" ht="15.75" customHeight="1">
      <c r="A3902" s="2" t="s">
        <v>3901</v>
      </c>
      <c r="B3902" s="2" t="s">
        <v>14</v>
      </c>
      <c r="C3902" s="1" t="str">
        <f>IFERROR(__xludf.DUMMYFUNCTION("GOOGLETRANSLATE(A3902,""en"",""pt-br"")"),"luxuriate")</f>
        <v>luxuriate</v>
      </c>
      <c r="D3902" s="1" t="str">
        <f>IFERROR(__xludf.DUMMYFUNCTION("GOOGLETRANSLATE(B3902,""en"",""pt-br"")"),"positivo")</f>
        <v>positivo</v>
      </c>
    </row>
    <row r="3903" ht="15.75" customHeight="1">
      <c r="A3903" s="2" t="s">
        <v>3902</v>
      </c>
      <c r="B3903" s="2" t="s">
        <v>14</v>
      </c>
      <c r="C3903" s="1" t="str">
        <f>IFERROR(__xludf.DUMMYFUNCTION("GOOGLETRANSLATE(A3903,""en"",""pt-br"")"),"luxuoso")</f>
        <v>luxuoso</v>
      </c>
      <c r="D3903" s="1" t="str">
        <f>IFERROR(__xludf.DUMMYFUNCTION("GOOGLETRANSLATE(B3903,""en"",""pt-br"")"),"positivo")</f>
        <v>positivo</v>
      </c>
    </row>
    <row r="3904" ht="15.75" customHeight="1">
      <c r="A3904" s="2" t="s">
        <v>3903</v>
      </c>
      <c r="B3904" s="2" t="s">
        <v>14</v>
      </c>
      <c r="C3904" s="1" t="str">
        <f>IFERROR(__xludf.DUMMYFUNCTION("GOOGLETRANSLATE(A3904,""en"",""pt-br"")"),"luxuosamente")</f>
        <v>luxuosamente</v>
      </c>
      <c r="D3904" s="1" t="str">
        <f>IFERROR(__xludf.DUMMYFUNCTION("GOOGLETRANSLATE(B3904,""en"",""pt-br"")"),"positivo")</f>
        <v>positivo</v>
      </c>
    </row>
    <row r="3905" ht="15.75" customHeight="1">
      <c r="A3905" s="2" t="s">
        <v>3904</v>
      </c>
      <c r="B3905" s="2" t="s">
        <v>14</v>
      </c>
      <c r="C3905" s="1" t="str">
        <f>IFERROR(__xludf.DUMMYFUNCTION("GOOGLETRANSLATE(A3905,""en"",""pt-br"")"),"luxo")</f>
        <v>luxo</v>
      </c>
      <c r="D3905" s="1" t="str">
        <f>IFERROR(__xludf.DUMMYFUNCTION("GOOGLETRANSLATE(B3905,""en"",""pt-br"")"),"positivo")</f>
        <v>positivo</v>
      </c>
    </row>
    <row r="3906" ht="15.75" customHeight="1">
      <c r="A3906" s="2" t="s">
        <v>3905</v>
      </c>
      <c r="B3906" s="2" t="s">
        <v>3</v>
      </c>
      <c r="C3906" s="1" t="str">
        <f>IFERROR(__xludf.DUMMYFUNCTION("GOOGLETRANSLATE(A3906,""en"",""pt-br"")"),"mentindo")</f>
        <v>mentindo</v>
      </c>
      <c r="D3906" s="1" t="str">
        <f>IFERROR(__xludf.DUMMYFUNCTION("GOOGLETRANSLATE(B3906,""en"",""pt-br"")"),"negativo")</f>
        <v>negativo</v>
      </c>
    </row>
    <row r="3907" ht="15.75" customHeight="1">
      <c r="A3907" s="2" t="s">
        <v>3906</v>
      </c>
      <c r="B3907" s="2" t="s">
        <v>14</v>
      </c>
      <c r="C3907" s="1" t="str">
        <f>IFERROR(__xludf.DUMMYFUNCTION("GOOGLETRANSLATE(A3907,""en"",""pt-br"")"),"lírico")</f>
        <v>lírico</v>
      </c>
      <c r="D3907" s="1" t="str">
        <f>IFERROR(__xludf.DUMMYFUNCTION("GOOGLETRANSLATE(B3907,""en"",""pt-br"")"),"positivo")</f>
        <v>positivo</v>
      </c>
    </row>
    <row r="3908" ht="15.75" customHeight="1">
      <c r="A3908" s="2" t="s">
        <v>3907</v>
      </c>
      <c r="B3908" s="2" t="s">
        <v>3</v>
      </c>
      <c r="C3908" s="1" t="str">
        <f>IFERROR(__xludf.DUMMYFUNCTION("GOOGLETRANSLATE(A3908,""en"",""pt-br"")"),"macabro")</f>
        <v>macabro</v>
      </c>
      <c r="D3908" s="1" t="str">
        <f>IFERROR(__xludf.DUMMYFUNCTION("GOOGLETRANSLATE(B3908,""en"",""pt-br"")"),"negativo")</f>
        <v>negativo</v>
      </c>
    </row>
    <row r="3909" ht="15.75" customHeight="1">
      <c r="A3909" s="2" t="s">
        <v>3908</v>
      </c>
      <c r="B3909" s="2" t="s">
        <v>3</v>
      </c>
      <c r="C3909" s="1" t="str">
        <f>IFERROR(__xludf.DUMMYFUNCTION("GOOGLETRANSLATE(A3909,""en"",""pt-br"")"),"louco")</f>
        <v>louco</v>
      </c>
      <c r="D3909" s="1" t="str">
        <f>IFERROR(__xludf.DUMMYFUNCTION("GOOGLETRANSLATE(B3909,""en"",""pt-br"")"),"negativo")</f>
        <v>negativo</v>
      </c>
    </row>
    <row r="3910" ht="15.75" customHeight="1">
      <c r="A3910" s="2" t="s">
        <v>3909</v>
      </c>
      <c r="B3910" s="2" t="s">
        <v>3</v>
      </c>
      <c r="C3910" s="1" t="str">
        <f>IFERROR(__xludf.DUMMYFUNCTION("GOOGLETRANSLATE(A3910,""en"",""pt-br"")"),"enlouquecer")</f>
        <v>enlouquecer</v>
      </c>
      <c r="D3910" s="1" t="str">
        <f>IFERROR(__xludf.DUMMYFUNCTION("GOOGLETRANSLATE(B3910,""en"",""pt-br"")"),"negativo")</f>
        <v>negativo</v>
      </c>
    </row>
    <row r="3911" ht="15.75" customHeight="1">
      <c r="A3911" s="2" t="s">
        <v>3910</v>
      </c>
      <c r="B3911" s="2" t="s">
        <v>3</v>
      </c>
      <c r="C3911" s="1" t="str">
        <f>IFERROR(__xludf.DUMMYFUNCTION("GOOGLETRANSLATE(A3911,""en"",""pt-br"")"),"enlouquecedor")</f>
        <v>enlouquecedor</v>
      </c>
      <c r="D3911" s="1" t="str">
        <f>IFERROR(__xludf.DUMMYFUNCTION("GOOGLETRANSLATE(B3911,""en"",""pt-br"")"),"negativo")</f>
        <v>negativo</v>
      </c>
    </row>
    <row r="3912" ht="15.75" customHeight="1">
      <c r="A3912" s="2" t="s">
        <v>3911</v>
      </c>
      <c r="B3912" s="2" t="s">
        <v>3</v>
      </c>
      <c r="C3912" s="1" t="str">
        <f>IFERROR(__xludf.DUMMYFUNCTION("GOOGLETRANSLATE(A3912,""en"",""pt-br"")"),"maddeningly")</f>
        <v>maddeningly</v>
      </c>
      <c r="D3912" s="1" t="str">
        <f>IFERROR(__xludf.DUMMYFUNCTION("GOOGLETRANSLATE(B3912,""en"",""pt-br"")"),"negativo")</f>
        <v>negativo</v>
      </c>
    </row>
    <row r="3913" ht="15.75" customHeight="1">
      <c r="A3913" s="2" t="s">
        <v>3912</v>
      </c>
      <c r="B3913" s="2" t="s">
        <v>3</v>
      </c>
      <c r="C3913" s="1" t="str">
        <f>IFERROR(__xludf.DUMMYFUNCTION("GOOGLETRANSLATE(A3913,""en"",""pt-br"")"),"garança")</f>
        <v>garança</v>
      </c>
      <c r="D3913" s="1" t="str">
        <f>IFERROR(__xludf.DUMMYFUNCTION("GOOGLETRANSLATE(B3913,""en"",""pt-br"")"),"negativo")</f>
        <v>negativo</v>
      </c>
    </row>
    <row r="3914" ht="15.75" customHeight="1">
      <c r="A3914" s="2" t="s">
        <v>3913</v>
      </c>
      <c r="B3914" s="2" t="s">
        <v>3</v>
      </c>
      <c r="C3914" s="1" t="str">
        <f>IFERROR(__xludf.DUMMYFUNCTION("GOOGLETRANSLATE(A3914,""en"",""pt-br"")"),"loucamente")</f>
        <v>loucamente</v>
      </c>
      <c r="D3914" s="1" t="str">
        <f>IFERROR(__xludf.DUMMYFUNCTION("GOOGLETRANSLATE(B3914,""en"",""pt-br"")"),"negativo")</f>
        <v>negativo</v>
      </c>
    </row>
    <row r="3915" ht="15.75" customHeight="1">
      <c r="A3915" s="2" t="s">
        <v>3914</v>
      </c>
      <c r="B3915" s="2" t="s">
        <v>3</v>
      </c>
      <c r="C3915" s="1" t="str">
        <f>IFERROR(__xludf.DUMMYFUNCTION("GOOGLETRANSLATE(A3915,""en"",""pt-br"")"),"louco")</f>
        <v>louco</v>
      </c>
      <c r="D3915" s="1" t="str">
        <f>IFERROR(__xludf.DUMMYFUNCTION("GOOGLETRANSLATE(B3915,""en"",""pt-br"")"),"negativo")</f>
        <v>negativo</v>
      </c>
    </row>
    <row r="3916" ht="15.75" customHeight="1">
      <c r="A3916" s="2" t="s">
        <v>3915</v>
      </c>
      <c r="B3916" s="2" t="s">
        <v>3</v>
      </c>
      <c r="C3916" s="1" t="str">
        <f>IFERROR(__xludf.DUMMYFUNCTION("GOOGLETRANSLATE(A3916,""en"",""pt-br"")"),"loucura")</f>
        <v>loucura</v>
      </c>
      <c r="D3916" s="1" t="str">
        <f>IFERROR(__xludf.DUMMYFUNCTION("GOOGLETRANSLATE(B3916,""en"",""pt-br"")"),"negativo")</f>
        <v>negativo</v>
      </c>
    </row>
    <row r="3917" ht="15.75" customHeight="1">
      <c r="A3917" s="2" t="s">
        <v>3916</v>
      </c>
      <c r="B3917" s="2" t="s">
        <v>14</v>
      </c>
      <c r="C3917" s="1" t="str">
        <f>IFERROR(__xludf.DUMMYFUNCTION("GOOGLETRANSLATE(A3917,""en"",""pt-br"")"),"Magia")</f>
        <v>Magia</v>
      </c>
      <c r="D3917" s="1" t="str">
        <f>IFERROR(__xludf.DUMMYFUNCTION("GOOGLETRANSLATE(B3917,""en"",""pt-br"")"),"positivo")</f>
        <v>positivo</v>
      </c>
    </row>
    <row r="3918" ht="15.75" customHeight="1">
      <c r="A3918" s="2" t="s">
        <v>3917</v>
      </c>
      <c r="B3918" s="2" t="s">
        <v>14</v>
      </c>
      <c r="C3918" s="1" t="str">
        <f>IFERROR(__xludf.DUMMYFUNCTION("GOOGLETRANSLATE(A3918,""en"",""pt-br"")"),"mágico")</f>
        <v>mágico</v>
      </c>
      <c r="D3918" s="1" t="str">
        <f>IFERROR(__xludf.DUMMYFUNCTION("GOOGLETRANSLATE(B3918,""en"",""pt-br"")"),"positivo")</f>
        <v>positivo</v>
      </c>
    </row>
    <row r="3919" ht="15.75" customHeight="1">
      <c r="A3919" s="2" t="s">
        <v>3918</v>
      </c>
      <c r="B3919" s="2" t="s">
        <v>14</v>
      </c>
      <c r="C3919" s="1" t="str">
        <f>IFERROR(__xludf.DUMMYFUNCTION("GOOGLETRANSLATE(A3919,""en"",""pt-br"")"),"magnânimo")</f>
        <v>magnânimo</v>
      </c>
      <c r="D3919" s="1" t="str">
        <f>IFERROR(__xludf.DUMMYFUNCTION("GOOGLETRANSLATE(B3919,""en"",""pt-br"")"),"positivo")</f>
        <v>positivo</v>
      </c>
    </row>
    <row r="3920" ht="15.75" customHeight="1">
      <c r="A3920" s="2" t="s">
        <v>3919</v>
      </c>
      <c r="B3920" s="2" t="s">
        <v>14</v>
      </c>
      <c r="C3920" s="1" t="str">
        <f>IFERROR(__xludf.DUMMYFUNCTION("GOOGLETRANSLATE(A3920,""en"",""pt-br"")"),"magnanimamente")</f>
        <v>magnanimamente</v>
      </c>
      <c r="D3920" s="1" t="str">
        <f>IFERROR(__xludf.DUMMYFUNCTION("GOOGLETRANSLATE(B3920,""en"",""pt-br"")"),"positivo")</f>
        <v>positivo</v>
      </c>
    </row>
    <row r="3921" ht="15.75" customHeight="1">
      <c r="A3921" s="2" t="s">
        <v>3920</v>
      </c>
      <c r="B3921" s="2" t="s">
        <v>14</v>
      </c>
      <c r="C3921" s="1" t="str">
        <f>IFERROR(__xludf.DUMMYFUNCTION("GOOGLETRANSLATE(A3921,""en"",""pt-br"")"),"magnificência")</f>
        <v>magnificência</v>
      </c>
      <c r="D3921" s="1" t="str">
        <f>IFERROR(__xludf.DUMMYFUNCTION("GOOGLETRANSLATE(B3921,""en"",""pt-br"")"),"positivo")</f>
        <v>positivo</v>
      </c>
    </row>
    <row r="3922" ht="15.75" customHeight="1">
      <c r="A3922" s="2" t="s">
        <v>3921</v>
      </c>
      <c r="B3922" s="2" t="s">
        <v>14</v>
      </c>
      <c r="C3922" s="1" t="str">
        <f>IFERROR(__xludf.DUMMYFUNCTION("GOOGLETRANSLATE(A3922,""en"",""pt-br"")"),"magnífico")</f>
        <v>magnífico</v>
      </c>
      <c r="D3922" s="1" t="str">
        <f>IFERROR(__xludf.DUMMYFUNCTION("GOOGLETRANSLATE(B3922,""en"",""pt-br"")"),"positivo")</f>
        <v>positivo</v>
      </c>
    </row>
    <row r="3923" ht="15.75" customHeight="1">
      <c r="A3923" s="2" t="s">
        <v>3922</v>
      </c>
      <c r="B3923" s="2" t="s">
        <v>14</v>
      </c>
      <c r="C3923" s="1" t="str">
        <f>IFERROR(__xludf.DUMMYFUNCTION("GOOGLETRANSLATE(A3923,""en"",""pt-br"")"),"magnificamente")</f>
        <v>magnificamente</v>
      </c>
      <c r="D3923" s="1" t="str">
        <f>IFERROR(__xludf.DUMMYFUNCTION("GOOGLETRANSLATE(B3923,""en"",""pt-br"")"),"positivo")</f>
        <v>positivo</v>
      </c>
    </row>
    <row r="3924" ht="15.75" customHeight="1">
      <c r="A3924" s="2" t="s">
        <v>3923</v>
      </c>
      <c r="B3924" s="2" t="s">
        <v>14</v>
      </c>
      <c r="C3924" s="1" t="str">
        <f>IFERROR(__xludf.DUMMYFUNCTION("GOOGLETRANSLATE(A3924,""en"",""pt-br"")"),"majestoso")</f>
        <v>majestoso</v>
      </c>
      <c r="D3924" s="1" t="str">
        <f>IFERROR(__xludf.DUMMYFUNCTION("GOOGLETRANSLATE(B3924,""en"",""pt-br"")"),"positivo")</f>
        <v>positivo</v>
      </c>
    </row>
    <row r="3925" ht="15.75" customHeight="1">
      <c r="A3925" s="2" t="s">
        <v>3924</v>
      </c>
      <c r="B3925" s="2" t="s">
        <v>14</v>
      </c>
      <c r="C3925" s="1" t="str">
        <f>IFERROR(__xludf.DUMMYFUNCTION("GOOGLETRANSLATE(A3925,""en"",""pt-br"")"),"majestade")</f>
        <v>majestade</v>
      </c>
      <c r="D3925" s="1" t="str">
        <f>IFERROR(__xludf.DUMMYFUNCTION("GOOGLETRANSLATE(B3925,""en"",""pt-br"")"),"positivo")</f>
        <v>positivo</v>
      </c>
    </row>
    <row r="3926" ht="15.75" customHeight="1">
      <c r="A3926" s="2" t="s">
        <v>3925</v>
      </c>
      <c r="B3926" s="2" t="s">
        <v>3</v>
      </c>
      <c r="C3926" s="1" t="str">
        <f>IFERROR(__xludf.DUMMYFUNCTION("GOOGLETRANSLATE(A3926,""en"",""pt-br"")"),"mal ajustado")</f>
        <v>mal ajustado</v>
      </c>
      <c r="D3926" s="1" t="str">
        <f>IFERROR(__xludf.DUMMYFUNCTION("GOOGLETRANSLATE(B3926,""en"",""pt-br"")"),"negativo")</f>
        <v>negativo</v>
      </c>
    </row>
    <row r="3927" ht="15.75" customHeight="1">
      <c r="A3927" s="2" t="s">
        <v>3926</v>
      </c>
      <c r="B3927" s="2" t="s">
        <v>3</v>
      </c>
      <c r="C3927" s="1" t="str">
        <f>IFERROR(__xludf.DUMMYFUNCTION("GOOGLETRANSLATE(A3927,""en"",""pt-br"")"),"desajustamento")</f>
        <v>desajustamento</v>
      </c>
      <c r="D3927" s="1" t="str">
        <f>IFERROR(__xludf.DUMMYFUNCTION("GOOGLETRANSLATE(B3927,""en"",""pt-br"")"),"negativo")</f>
        <v>negativo</v>
      </c>
    </row>
    <row r="3928" ht="15.75" customHeight="1">
      <c r="A3928" s="2" t="s">
        <v>3927</v>
      </c>
      <c r="B3928" s="2" t="s">
        <v>3</v>
      </c>
      <c r="C3928" s="1" t="str">
        <f>IFERROR(__xludf.DUMMYFUNCTION("GOOGLETRANSLATE(A3928,""en"",""pt-br"")"),"doença")</f>
        <v>doença</v>
      </c>
      <c r="D3928" s="1" t="str">
        <f>IFERROR(__xludf.DUMMYFUNCTION("GOOGLETRANSLATE(B3928,""en"",""pt-br"")"),"negativo")</f>
        <v>negativo</v>
      </c>
    </row>
    <row r="3929" ht="15.75" customHeight="1">
      <c r="A3929" s="2" t="s">
        <v>3928</v>
      </c>
      <c r="B3929" s="2" t="s">
        <v>3</v>
      </c>
      <c r="C3929" s="1" t="str">
        <f>IFERROR(__xludf.DUMMYFUNCTION("GOOGLETRANSLATE(A3929,""en"",""pt-br"")"),"Mal-estar")</f>
        <v>Mal-estar</v>
      </c>
      <c r="D3929" s="1" t="str">
        <f>IFERROR(__xludf.DUMMYFUNCTION("GOOGLETRANSLATE(B3929,""en"",""pt-br"")"),"negativo")</f>
        <v>negativo</v>
      </c>
    </row>
    <row r="3930" ht="15.75" customHeight="1">
      <c r="A3930" s="2" t="s">
        <v>3929</v>
      </c>
      <c r="B3930" s="2" t="s">
        <v>3</v>
      </c>
      <c r="C3930" s="1" t="str">
        <f>IFERROR(__xludf.DUMMYFUNCTION("GOOGLETRANSLATE(A3930,""en"",""pt-br"")"),"descontente")</f>
        <v>descontente</v>
      </c>
      <c r="D3930" s="1" t="str">
        <f>IFERROR(__xludf.DUMMYFUNCTION("GOOGLETRANSLATE(B3930,""en"",""pt-br"")"),"negativo")</f>
        <v>negativo</v>
      </c>
    </row>
    <row r="3931" ht="15.75" customHeight="1">
      <c r="A3931" s="2" t="s">
        <v>3930</v>
      </c>
      <c r="B3931" s="2" t="s">
        <v>3</v>
      </c>
      <c r="C3931" s="1" t="str">
        <f>IFERROR(__xludf.DUMMYFUNCTION("GOOGLETRANSLATE(A3931,""en"",""pt-br"")"),"malversada")</f>
        <v>malversada</v>
      </c>
      <c r="D3931" s="1" t="str">
        <f>IFERROR(__xludf.DUMMYFUNCTION("GOOGLETRANSLATE(B3931,""en"",""pt-br"")"),"negativo")</f>
        <v>negativo</v>
      </c>
    </row>
    <row r="3932" ht="15.75" customHeight="1">
      <c r="A3932" s="2" t="s">
        <v>3931</v>
      </c>
      <c r="B3932" s="2" t="s">
        <v>3</v>
      </c>
      <c r="C3932" s="1" t="str">
        <f>IFERROR(__xludf.DUMMYFUNCTION("GOOGLETRANSLATE(A3932,""en"",""pt-br"")"),"maledict")</f>
        <v>maledict</v>
      </c>
      <c r="D3932" s="1" t="str">
        <f>IFERROR(__xludf.DUMMYFUNCTION("GOOGLETRANSLATE(B3932,""en"",""pt-br"")"),"negativo")</f>
        <v>negativo</v>
      </c>
    </row>
    <row r="3933" ht="15.75" customHeight="1">
      <c r="A3933" s="2" t="s">
        <v>3932</v>
      </c>
      <c r="B3933" s="2" t="s">
        <v>3</v>
      </c>
      <c r="C3933" s="1" t="str">
        <f>IFERROR(__xludf.DUMMYFUNCTION("GOOGLETRANSLATE(A3933,""en"",""pt-br"")"),"malevolência")</f>
        <v>malevolência</v>
      </c>
      <c r="D3933" s="1" t="str">
        <f>IFERROR(__xludf.DUMMYFUNCTION("GOOGLETRANSLATE(B3933,""en"",""pt-br"")"),"negativo")</f>
        <v>negativo</v>
      </c>
    </row>
    <row r="3934" ht="15.75" customHeight="1">
      <c r="A3934" s="2" t="s">
        <v>3933</v>
      </c>
      <c r="B3934" s="2" t="s">
        <v>3</v>
      </c>
      <c r="C3934" s="1" t="str">
        <f>IFERROR(__xludf.DUMMYFUNCTION("GOOGLETRANSLATE(A3934,""en"",""pt-br"")"),"malevolente")</f>
        <v>malevolente</v>
      </c>
      <c r="D3934" s="1" t="str">
        <f>IFERROR(__xludf.DUMMYFUNCTION("GOOGLETRANSLATE(B3934,""en"",""pt-br"")"),"negativo")</f>
        <v>negativo</v>
      </c>
    </row>
    <row r="3935" ht="15.75" customHeight="1">
      <c r="A3935" s="2" t="s">
        <v>3934</v>
      </c>
      <c r="B3935" s="2" t="s">
        <v>3</v>
      </c>
      <c r="C3935" s="1" t="str">
        <f>IFERROR(__xludf.DUMMYFUNCTION("GOOGLETRANSLATE(A3935,""en"",""pt-br"")"),"malevolamente")</f>
        <v>malevolamente</v>
      </c>
      <c r="D3935" s="1" t="str">
        <f>IFERROR(__xludf.DUMMYFUNCTION("GOOGLETRANSLATE(B3935,""en"",""pt-br"")"),"negativo")</f>
        <v>negativo</v>
      </c>
    </row>
    <row r="3936" ht="15.75" customHeight="1">
      <c r="A3936" s="2" t="s">
        <v>3935</v>
      </c>
      <c r="B3936" s="2" t="s">
        <v>3</v>
      </c>
      <c r="C3936" s="1" t="str">
        <f>IFERROR(__xludf.DUMMYFUNCTION("GOOGLETRANSLATE(A3936,""en"",""pt-br"")"),"malícia")</f>
        <v>malícia</v>
      </c>
      <c r="D3936" s="1" t="str">
        <f>IFERROR(__xludf.DUMMYFUNCTION("GOOGLETRANSLATE(B3936,""en"",""pt-br"")"),"negativo")</f>
        <v>negativo</v>
      </c>
    </row>
    <row r="3937" ht="15.75" customHeight="1">
      <c r="A3937" s="2" t="s">
        <v>3936</v>
      </c>
      <c r="B3937" s="2" t="s">
        <v>3</v>
      </c>
      <c r="C3937" s="1" t="str">
        <f>IFERROR(__xludf.DUMMYFUNCTION("GOOGLETRANSLATE(A3937,""en"",""pt-br"")"),"malicioso")</f>
        <v>malicioso</v>
      </c>
      <c r="D3937" s="1" t="str">
        <f>IFERROR(__xludf.DUMMYFUNCTION("GOOGLETRANSLATE(B3937,""en"",""pt-br"")"),"negativo")</f>
        <v>negativo</v>
      </c>
    </row>
    <row r="3938" ht="15.75" customHeight="1">
      <c r="A3938" s="2" t="s">
        <v>3937</v>
      </c>
      <c r="B3938" s="2" t="s">
        <v>3</v>
      </c>
      <c r="C3938" s="1" t="str">
        <f>IFERROR(__xludf.DUMMYFUNCTION("GOOGLETRANSLATE(A3938,""en"",""pt-br"")"),"maliciosamente")</f>
        <v>maliciosamente</v>
      </c>
      <c r="D3938" s="1" t="str">
        <f>IFERROR(__xludf.DUMMYFUNCTION("GOOGLETRANSLATE(B3938,""en"",""pt-br"")"),"negativo")</f>
        <v>negativo</v>
      </c>
    </row>
    <row r="3939" ht="15.75" customHeight="1">
      <c r="A3939" s="2" t="s">
        <v>3938</v>
      </c>
      <c r="B3939" s="2" t="s">
        <v>3</v>
      </c>
      <c r="C3939" s="1" t="str">
        <f>IFERROR(__xludf.DUMMYFUNCTION("GOOGLETRANSLATE(A3939,""en"",""pt-br"")"),"malícia")</f>
        <v>malícia</v>
      </c>
      <c r="D3939" s="1" t="str">
        <f>IFERROR(__xludf.DUMMYFUNCTION("GOOGLETRANSLATE(B3939,""en"",""pt-br"")"),"negativo")</f>
        <v>negativo</v>
      </c>
    </row>
    <row r="3940" ht="15.75" customHeight="1">
      <c r="A3940" s="2" t="s">
        <v>3939</v>
      </c>
      <c r="B3940" s="2" t="s">
        <v>3</v>
      </c>
      <c r="C3940" s="1" t="str">
        <f>IFERROR(__xludf.DUMMYFUNCTION("GOOGLETRANSLATE(A3940,""en"",""pt-br"")"),"maligno")</f>
        <v>maligno</v>
      </c>
      <c r="D3940" s="1" t="str">
        <f>IFERROR(__xludf.DUMMYFUNCTION("GOOGLETRANSLATE(B3940,""en"",""pt-br"")"),"negativo")</f>
        <v>negativo</v>
      </c>
    </row>
    <row r="3941" ht="15.75" customHeight="1">
      <c r="A3941" s="2" t="s">
        <v>3940</v>
      </c>
      <c r="B3941" s="2" t="s">
        <v>3</v>
      </c>
      <c r="C3941" s="1" t="str">
        <f>IFERROR(__xludf.DUMMYFUNCTION("GOOGLETRANSLATE(A3941,""en"",""pt-br"")"),"maligno")</f>
        <v>maligno</v>
      </c>
      <c r="D3941" s="1" t="str">
        <f>IFERROR(__xludf.DUMMYFUNCTION("GOOGLETRANSLATE(B3941,""en"",""pt-br"")"),"negativo")</f>
        <v>negativo</v>
      </c>
    </row>
    <row r="3942" ht="15.75" customHeight="1">
      <c r="A3942" s="2" t="s">
        <v>3941</v>
      </c>
      <c r="B3942" s="2" t="s">
        <v>3</v>
      </c>
      <c r="C3942" s="1" t="str">
        <f>IFERROR(__xludf.DUMMYFUNCTION("GOOGLETRANSLATE(A3942,""en"",""pt-br"")"),"malcheiroso")</f>
        <v>malcheiroso</v>
      </c>
      <c r="D3942" s="1" t="str">
        <f>IFERROR(__xludf.DUMMYFUNCTION("GOOGLETRANSLATE(B3942,""en"",""pt-br"")"),"negativo")</f>
        <v>negativo</v>
      </c>
    </row>
    <row r="3943" ht="15.75" customHeight="1">
      <c r="A3943" s="2" t="s">
        <v>3942</v>
      </c>
      <c r="B3943" s="2" t="s">
        <v>3</v>
      </c>
      <c r="C3943" s="1" t="str">
        <f>IFERROR(__xludf.DUMMYFUNCTION("GOOGLETRANSLATE(A3943,""en"",""pt-br"")"),"mau trato")</f>
        <v>mau trato</v>
      </c>
      <c r="D3943" s="1" t="str">
        <f>IFERROR(__xludf.DUMMYFUNCTION("GOOGLETRANSLATE(B3943,""en"",""pt-br"")"),"negativo")</f>
        <v>negativo</v>
      </c>
    </row>
    <row r="3944" ht="15.75" customHeight="1">
      <c r="A3944" s="2" t="s">
        <v>3943</v>
      </c>
      <c r="B3944" s="2" t="s">
        <v>14</v>
      </c>
      <c r="C3944" s="1" t="str">
        <f>IFERROR(__xludf.DUMMYFUNCTION("GOOGLETRANSLATE(A3944,""en"",""pt-br"")"),"manejável")</f>
        <v>manejável</v>
      </c>
      <c r="D3944" s="1" t="str">
        <f>IFERROR(__xludf.DUMMYFUNCTION("GOOGLETRANSLATE(B3944,""en"",""pt-br"")"),"positivo")</f>
        <v>positivo</v>
      </c>
    </row>
    <row r="3945" ht="15.75" customHeight="1">
      <c r="A3945" s="2" t="s">
        <v>3944</v>
      </c>
      <c r="B3945" s="2" t="s">
        <v>14</v>
      </c>
      <c r="C3945" s="1" t="str">
        <f>IFERROR(__xludf.DUMMYFUNCTION("GOOGLETRANSLATE(A3945,""en"",""pt-br"")"),"manobrável")</f>
        <v>manobrável</v>
      </c>
      <c r="D3945" s="1" t="str">
        <f>IFERROR(__xludf.DUMMYFUNCTION("GOOGLETRANSLATE(B3945,""en"",""pt-br"")"),"positivo")</f>
        <v>positivo</v>
      </c>
    </row>
    <row r="3946" ht="15.75" customHeight="1">
      <c r="A3946" s="2" t="s">
        <v>3945</v>
      </c>
      <c r="B3946" s="2" t="s">
        <v>3</v>
      </c>
      <c r="C3946" s="1" t="str">
        <f>IFERROR(__xludf.DUMMYFUNCTION("GOOGLETRANSLATE(A3946,""en"",""pt-br"")"),"calandra")</f>
        <v>calandra</v>
      </c>
      <c r="D3946" s="1" t="str">
        <f>IFERROR(__xludf.DUMMYFUNCTION("GOOGLETRANSLATE(B3946,""en"",""pt-br"")"),"negativo")</f>
        <v>negativo</v>
      </c>
    </row>
    <row r="3947" ht="15.75" customHeight="1">
      <c r="A3947" s="2" t="s">
        <v>3946</v>
      </c>
      <c r="B3947" s="2" t="s">
        <v>3</v>
      </c>
      <c r="C3947" s="1" t="str">
        <f>IFERROR(__xludf.DUMMYFUNCTION("GOOGLETRANSLATE(A3947,""en"",""pt-br"")"),"mutilado")</f>
        <v>mutilado</v>
      </c>
      <c r="D3947" s="1" t="str">
        <f>IFERROR(__xludf.DUMMYFUNCTION("GOOGLETRANSLATE(B3947,""en"",""pt-br"")"),"negativo")</f>
        <v>negativo</v>
      </c>
    </row>
    <row r="3948" ht="15.75" customHeight="1">
      <c r="A3948" s="2" t="s">
        <v>3947</v>
      </c>
      <c r="B3948" s="2" t="s">
        <v>3</v>
      </c>
      <c r="C3948" s="1" t="str">
        <f>IFERROR(__xludf.DUMMYFUNCTION("GOOGLETRANSLATE(A3948,""en"",""pt-br"")"),"mangles")</f>
        <v>mangles</v>
      </c>
      <c r="D3948" s="1" t="str">
        <f>IFERROR(__xludf.DUMMYFUNCTION("GOOGLETRANSLATE(B3948,""en"",""pt-br"")"),"negativo")</f>
        <v>negativo</v>
      </c>
    </row>
    <row r="3949" ht="15.75" customHeight="1">
      <c r="A3949" s="2" t="s">
        <v>3948</v>
      </c>
      <c r="B3949" s="2" t="s">
        <v>3</v>
      </c>
      <c r="C3949" s="1" t="str">
        <f>IFERROR(__xludf.DUMMYFUNCTION("GOOGLETRANSLATE(A3949,""en"",""pt-br"")"),"mangling")</f>
        <v>mangling</v>
      </c>
      <c r="D3949" s="1" t="str">
        <f>IFERROR(__xludf.DUMMYFUNCTION("GOOGLETRANSLATE(B3949,""en"",""pt-br"")"),"negativo")</f>
        <v>negativo</v>
      </c>
    </row>
    <row r="3950" ht="15.75" customHeight="1">
      <c r="A3950" s="2" t="s">
        <v>3949</v>
      </c>
      <c r="B3950" s="2" t="s">
        <v>3</v>
      </c>
      <c r="C3950" s="1" t="str">
        <f>IFERROR(__xludf.DUMMYFUNCTION("GOOGLETRANSLATE(A3950,""en"",""pt-br"")"),"mania")</f>
        <v>mania</v>
      </c>
      <c r="D3950" s="1" t="str">
        <f>IFERROR(__xludf.DUMMYFUNCTION("GOOGLETRANSLATE(B3950,""en"",""pt-br"")"),"negativo")</f>
        <v>negativo</v>
      </c>
    </row>
    <row r="3951" ht="15.75" customHeight="1">
      <c r="A3951" s="2" t="s">
        <v>3950</v>
      </c>
      <c r="B3951" s="2" t="s">
        <v>3</v>
      </c>
      <c r="C3951" s="1" t="str">
        <f>IFERROR(__xludf.DUMMYFUNCTION("GOOGLETRANSLATE(A3951,""en"",""pt-br"")"),"maníaco")</f>
        <v>maníaco</v>
      </c>
      <c r="D3951" s="1" t="str">
        <f>IFERROR(__xludf.DUMMYFUNCTION("GOOGLETRANSLATE(B3951,""en"",""pt-br"")"),"negativo")</f>
        <v>negativo</v>
      </c>
    </row>
    <row r="3952" ht="15.75" customHeight="1">
      <c r="A3952" s="2" t="s">
        <v>3951</v>
      </c>
      <c r="B3952" s="2" t="s">
        <v>3</v>
      </c>
      <c r="C3952" s="1" t="str">
        <f>IFERROR(__xludf.DUMMYFUNCTION("GOOGLETRANSLATE(A3952,""en"",""pt-br"")"),"maníaco")</f>
        <v>maníaco</v>
      </c>
      <c r="D3952" s="1" t="str">
        <f>IFERROR(__xludf.DUMMYFUNCTION("GOOGLETRANSLATE(B3952,""en"",""pt-br"")"),"negativo")</f>
        <v>negativo</v>
      </c>
    </row>
    <row r="3953" ht="15.75" customHeight="1">
      <c r="A3953" s="2" t="s">
        <v>3952</v>
      </c>
      <c r="B3953" s="2" t="s">
        <v>3</v>
      </c>
      <c r="C3953" s="1" t="str">
        <f>IFERROR(__xludf.DUMMYFUNCTION("GOOGLETRANSLATE(A3953,""en"",""pt-br"")"),"maníaco")</f>
        <v>maníaco</v>
      </c>
      <c r="D3953" s="1" t="str">
        <f>IFERROR(__xludf.DUMMYFUNCTION("GOOGLETRANSLATE(B3953,""en"",""pt-br"")"),"negativo")</f>
        <v>negativo</v>
      </c>
    </row>
    <row r="3954" ht="15.75" customHeight="1">
      <c r="A3954" s="2" t="s">
        <v>3953</v>
      </c>
      <c r="B3954" s="2" t="s">
        <v>3</v>
      </c>
      <c r="C3954" s="1" t="str">
        <f>IFERROR(__xludf.DUMMYFUNCTION("GOOGLETRANSLATE(A3954,""en"",""pt-br"")"),"manipular")</f>
        <v>manipular</v>
      </c>
      <c r="D3954" s="1" t="str">
        <f>IFERROR(__xludf.DUMMYFUNCTION("GOOGLETRANSLATE(B3954,""en"",""pt-br"")"),"negativo")</f>
        <v>negativo</v>
      </c>
    </row>
    <row r="3955" ht="15.75" customHeight="1">
      <c r="A3955" s="2" t="s">
        <v>3954</v>
      </c>
      <c r="B3955" s="2" t="s">
        <v>3</v>
      </c>
      <c r="C3955" s="1" t="str">
        <f>IFERROR(__xludf.DUMMYFUNCTION("GOOGLETRANSLATE(A3955,""en"",""pt-br"")"),"manipulação")</f>
        <v>manipulação</v>
      </c>
      <c r="D3955" s="1" t="str">
        <f>IFERROR(__xludf.DUMMYFUNCTION("GOOGLETRANSLATE(B3955,""en"",""pt-br"")"),"negativo")</f>
        <v>negativo</v>
      </c>
    </row>
    <row r="3956" ht="15.75" customHeight="1">
      <c r="A3956" s="2" t="s">
        <v>3955</v>
      </c>
      <c r="B3956" s="2" t="s">
        <v>3</v>
      </c>
      <c r="C3956" s="1" t="str">
        <f>IFERROR(__xludf.DUMMYFUNCTION("GOOGLETRANSLATE(A3956,""en"",""pt-br"")"),"manipuladora")</f>
        <v>manipuladora</v>
      </c>
      <c r="D3956" s="1" t="str">
        <f>IFERROR(__xludf.DUMMYFUNCTION("GOOGLETRANSLATE(B3956,""en"",""pt-br"")"),"negativo")</f>
        <v>negativo</v>
      </c>
    </row>
    <row r="3957" ht="15.75" customHeight="1">
      <c r="A3957" s="2" t="s">
        <v>3956</v>
      </c>
      <c r="B3957" s="2" t="s">
        <v>3</v>
      </c>
      <c r="C3957" s="1" t="str">
        <f>IFERROR(__xludf.DUMMYFUNCTION("GOOGLETRANSLATE(A3957,""en"",""pt-br"")"),"manipuladores")</f>
        <v>manipuladores</v>
      </c>
      <c r="D3957" s="1" t="str">
        <f>IFERROR(__xludf.DUMMYFUNCTION("GOOGLETRANSLATE(B3957,""en"",""pt-br"")"),"negativo")</f>
        <v>negativo</v>
      </c>
    </row>
    <row r="3958" ht="15.75" customHeight="1">
      <c r="A3958" s="2" t="s">
        <v>3957</v>
      </c>
      <c r="B3958" s="2" t="s">
        <v>3</v>
      </c>
      <c r="C3958" s="1" t="str">
        <f>IFERROR(__xludf.DUMMYFUNCTION("GOOGLETRANSLATE(A3958,""en"",""pt-br"")"),"estragar")</f>
        <v>estragar</v>
      </c>
      <c r="D3958" s="1" t="str">
        <f>IFERROR(__xludf.DUMMYFUNCTION("GOOGLETRANSLATE(B3958,""en"",""pt-br"")"),"negativo")</f>
        <v>negativo</v>
      </c>
    </row>
    <row r="3959" ht="15.75" customHeight="1">
      <c r="A3959" s="2" t="s">
        <v>3958</v>
      </c>
      <c r="B3959" s="2" t="s">
        <v>3</v>
      </c>
      <c r="C3959" s="1" t="str">
        <f>IFERROR(__xludf.DUMMYFUNCTION("GOOGLETRANSLATE(A3959,""en"",""pt-br"")"),"marginal")</f>
        <v>marginal</v>
      </c>
      <c r="D3959" s="1" t="str">
        <f>IFERROR(__xludf.DUMMYFUNCTION("GOOGLETRANSLATE(B3959,""en"",""pt-br"")"),"negativo")</f>
        <v>negativo</v>
      </c>
    </row>
    <row r="3960" ht="15.75" customHeight="1">
      <c r="A3960" s="2" t="s">
        <v>3959</v>
      </c>
      <c r="B3960" s="2" t="s">
        <v>3</v>
      </c>
      <c r="C3960" s="1" t="str">
        <f>IFERROR(__xludf.DUMMYFUNCTION("GOOGLETRANSLATE(A3960,""en"",""pt-br"")"),"marginalmente")</f>
        <v>marginalmente</v>
      </c>
      <c r="D3960" s="1" t="str">
        <f>IFERROR(__xludf.DUMMYFUNCTION("GOOGLETRANSLATE(B3960,""en"",""pt-br"")"),"negativo")</f>
        <v>negativo</v>
      </c>
    </row>
    <row r="3961" ht="15.75" customHeight="1">
      <c r="A3961" s="2" t="s">
        <v>3960</v>
      </c>
      <c r="B3961" s="2" t="s">
        <v>3</v>
      </c>
      <c r="C3961" s="1" t="str">
        <f>IFERROR(__xludf.DUMMYFUNCTION("GOOGLETRANSLATE(A3961,""en"",""pt-br"")"),"martírio")</f>
        <v>martírio</v>
      </c>
      <c r="D3961" s="1" t="str">
        <f>IFERROR(__xludf.DUMMYFUNCTION("GOOGLETRANSLATE(B3961,""en"",""pt-br"")"),"negativo")</f>
        <v>negativo</v>
      </c>
    </row>
    <row r="3962" ht="15.75" customHeight="1">
      <c r="A3962" s="2" t="s">
        <v>3961</v>
      </c>
      <c r="B3962" s="2" t="s">
        <v>3</v>
      </c>
      <c r="C3962" s="1" t="str">
        <f>IFERROR(__xludf.DUMMYFUNCTION("GOOGLETRANSLATE(A3962,""en"",""pt-br"")"),"martírio-seeking")</f>
        <v>martírio-seeking</v>
      </c>
      <c r="D3962" s="1" t="str">
        <f>IFERROR(__xludf.DUMMYFUNCTION("GOOGLETRANSLATE(B3962,""en"",""pt-br"")"),"negativo")</f>
        <v>negativo</v>
      </c>
    </row>
    <row r="3963" ht="15.75" customHeight="1">
      <c r="A3963" s="2" t="s">
        <v>3962</v>
      </c>
      <c r="B3963" s="2" t="s">
        <v>14</v>
      </c>
      <c r="C3963" s="1" t="str">
        <f>IFERROR(__xludf.DUMMYFUNCTION("GOOGLETRANSLATE(A3963,""en"",""pt-br"")"),"maravilha")</f>
        <v>maravilha</v>
      </c>
      <c r="D3963" s="1" t="str">
        <f>IFERROR(__xludf.DUMMYFUNCTION("GOOGLETRANSLATE(B3963,""en"",""pt-br"")"),"positivo")</f>
        <v>positivo</v>
      </c>
    </row>
    <row r="3964" ht="15.75" customHeight="1">
      <c r="A3964" s="2" t="s">
        <v>3963</v>
      </c>
      <c r="B3964" s="2" t="s">
        <v>14</v>
      </c>
      <c r="C3964" s="1" t="str">
        <f>IFERROR(__xludf.DUMMYFUNCTION("GOOGLETRANSLATE(A3964,""en"",""pt-br"")"),"maravilhou")</f>
        <v>maravilhou</v>
      </c>
      <c r="D3964" s="1" t="str">
        <f>IFERROR(__xludf.DUMMYFUNCTION("GOOGLETRANSLATE(B3964,""en"",""pt-br"")"),"positivo")</f>
        <v>positivo</v>
      </c>
    </row>
    <row r="3965" ht="15.75" customHeight="1">
      <c r="A3965" s="2" t="s">
        <v>3964</v>
      </c>
      <c r="B3965" s="2" t="s">
        <v>14</v>
      </c>
      <c r="C3965" s="1" t="str">
        <f>IFERROR(__xludf.DUMMYFUNCTION("GOOGLETRANSLATE(A3965,""en"",""pt-br"")"),"maravilhou")</f>
        <v>maravilhou</v>
      </c>
      <c r="D3965" s="1" t="str">
        <f>IFERROR(__xludf.DUMMYFUNCTION("GOOGLETRANSLATE(B3965,""en"",""pt-br"")"),"positivo")</f>
        <v>positivo</v>
      </c>
    </row>
    <row r="3966" ht="15.75" customHeight="1">
      <c r="A3966" s="2" t="s">
        <v>3965</v>
      </c>
      <c r="B3966" s="2" t="s">
        <v>14</v>
      </c>
      <c r="C3966" s="1" t="str">
        <f>IFERROR(__xludf.DUMMYFUNCTION("GOOGLETRANSLATE(A3966,""en"",""pt-br"")"),"maravilhoso")</f>
        <v>maravilhoso</v>
      </c>
      <c r="D3966" s="1" t="str">
        <f>IFERROR(__xludf.DUMMYFUNCTION("GOOGLETRANSLATE(B3966,""en"",""pt-br"")"),"positivo")</f>
        <v>positivo</v>
      </c>
    </row>
    <row r="3967" ht="15.75" customHeight="1">
      <c r="A3967" s="2" t="s">
        <v>3966</v>
      </c>
      <c r="B3967" s="2" t="s">
        <v>14</v>
      </c>
      <c r="C3967" s="1" t="str">
        <f>IFERROR(__xludf.DUMMYFUNCTION("GOOGLETRANSLATE(A3967,""en"",""pt-br"")"),"maravilhoso")</f>
        <v>maravilhoso</v>
      </c>
      <c r="D3967" s="1" t="str">
        <f>IFERROR(__xludf.DUMMYFUNCTION("GOOGLETRANSLATE(B3967,""en"",""pt-br"")"),"positivo")</f>
        <v>positivo</v>
      </c>
    </row>
    <row r="3968" ht="15.75" customHeight="1">
      <c r="A3968" s="2" t="s">
        <v>3967</v>
      </c>
      <c r="B3968" s="2" t="s">
        <v>14</v>
      </c>
      <c r="C3968" s="1" t="str">
        <f>IFERROR(__xludf.DUMMYFUNCTION("GOOGLETRANSLATE(A3968,""en"",""pt-br"")"),"maravilhosamente")</f>
        <v>maravilhosamente</v>
      </c>
      <c r="D3968" s="1" t="str">
        <f>IFERROR(__xludf.DUMMYFUNCTION("GOOGLETRANSLATE(B3968,""en"",""pt-br"")"),"positivo")</f>
        <v>positivo</v>
      </c>
    </row>
    <row r="3969" ht="15.75" customHeight="1">
      <c r="A3969" s="2" t="s">
        <v>3968</v>
      </c>
      <c r="B3969" s="2" t="s">
        <v>14</v>
      </c>
      <c r="C3969" s="1" t="str">
        <f>IFERROR(__xludf.DUMMYFUNCTION("GOOGLETRANSLATE(A3969,""en"",""pt-br"")"),"deslumbramento")</f>
        <v>deslumbramento</v>
      </c>
      <c r="D3969" s="1" t="str">
        <f>IFERROR(__xludf.DUMMYFUNCTION("GOOGLETRANSLATE(B3969,""en"",""pt-br"")"),"positivo")</f>
        <v>positivo</v>
      </c>
    </row>
    <row r="3970" ht="15.75" customHeight="1">
      <c r="A3970" s="2" t="s">
        <v>3969</v>
      </c>
      <c r="B3970" s="2" t="s">
        <v>14</v>
      </c>
      <c r="C3970" s="1" t="str">
        <f>IFERROR(__xludf.DUMMYFUNCTION("GOOGLETRANSLATE(A3970,""en"",""pt-br"")"),"maravilhas")</f>
        <v>maravilhas</v>
      </c>
      <c r="D3970" s="1" t="str">
        <f>IFERROR(__xludf.DUMMYFUNCTION("GOOGLETRANSLATE(B3970,""en"",""pt-br"")"),"positivo")</f>
        <v>positivo</v>
      </c>
    </row>
    <row r="3971" ht="15.75" customHeight="1">
      <c r="A3971" s="2" t="s">
        <v>3970</v>
      </c>
      <c r="B3971" s="2" t="s">
        <v>3</v>
      </c>
      <c r="C3971" s="1" t="str">
        <f>IFERROR(__xludf.DUMMYFUNCTION("GOOGLETRANSLATE(A3971,""en"",""pt-br"")"),"purê")</f>
        <v>purê</v>
      </c>
      <c r="D3971" s="1" t="str">
        <f>IFERROR(__xludf.DUMMYFUNCTION("GOOGLETRANSLATE(B3971,""en"",""pt-br"")"),"negativo")</f>
        <v>negativo</v>
      </c>
    </row>
    <row r="3972" ht="15.75" customHeight="1">
      <c r="A3972" s="2" t="s">
        <v>3971</v>
      </c>
      <c r="B3972" s="2" t="s">
        <v>3</v>
      </c>
      <c r="C3972" s="1" t="str">
        <f>IFERROR(__xludf.DUMMYFUNCTION("GOOGLETRANSLATE(A3972,""en"",""pt-br"")"),"massacre")</f>
        <v>massacre</v>
      </c>
      <c r="D3972" s="1" t="str">
        <f>IFERROR(__xludf.DUMMYFUNCTION("GOOGLETRANSLATE(B3972,""en"",""pt-br"")"),"negativo")</f>
        <v>negativo</v>
      </c>
    </row>
    <row r="3973" ht="15.75" customHeight="1">
      <c r="A3973" s="2" t="s">
        <v>3972</v>
      </c>
      <c r="B3973" s="2" t="s">
        <v>3</v>
      </c>
      <c r="C3973" s="1" t="str">
        <f>IFERROR(__xludf.DUMMYFUNCTION("GOOGLETRANSLATE(A3973,""en"",""pt-br"")"),"massacres")</f>
        <v>massacres</v>
      </c>
      <c r="D3973" s="1" t="str">
        <f>IFERROR(__xludf.DUMMYFUNCTION("GOOGLETRANSLATE(B3973,""en"",""pt-br"")"),"negativo")</f>
        <v>negativo</v>
      </c>
    </row>
    <row r="3974" ht="15.75" customHeight="1">
      <c r="A3974" s="2" t="s">
        <v>3973</v>
      </c>
      <c r="B3974" s="2" t="s">
        <v>14</v>
      </c>
      <c r="C3974" s="1" t="str">
        <f>IFERROR(__xludf.DUMMYFUNCTION("GOOGLETRANSLATE(A3974,""en"",""pt-br"")"),"mestre")</f>
        <v>mestre</v>
      </c>
      <c r="D3974" s="1" t="str">
        <f>IFERROR(__xludf.DUMMYFUNCTION("GOOGLETRANSLATE(B3974,""en"",""pt-br"")"),"positivo")</f>
        <v>positivo</v>
      </c>
    </row>
    <row r="3975" ht="15.75" customHeight="1">
      <c r="A3975" s="2" t="s">
        <v>3974</v>
      </c>
      <c r="B3975" s="2" t="s">
        <v>14</v>
      </c>
      <c r="C3975" s="1" t="str">
        <f>IFERROR(__xludf.DUMMYFUNCTION("GOOGLETRANSLATE(A3975,""en"",""pt-br"")"),"magistral")</f>
        <v>magistral</v>
      </c>
      <c r="D3975" s="1" t="str">
        <f>IFERROR(__xludf.DUMMYFUNCTION("GOOGLETRANSLATE(B3975,""en"",""pt-br"")"),"positivo")</f>
        <v>positivo</v>
      </c>
    </row>
    <row r="3976" ht="15.75" customHeight="1">
      <c r="A3976" s="2" t="s">
        <v>3975</v>
      </c>
      <c r="B3976" s="2" t="s">
        <v>14</v>
      </c>
      <c r="C3976" s="1" t="str">
        <f>IFERROR(__xludf.DUMMYFUNCTION("GOOGLETRANSLATE(A3976,""en"",""pt-br"")"),"magistralmente")</f>
        <v>magistralmente</v>
      </c>
      <c r="D3976" s="1" t="str">
        <f>IFERROR(__xludf.DUMMYFUNCTION("GOOGLETRANSLATE(B3976,""en"",""pt-br"")"),"positivo")</f>
        <v>positivo</v>
      </c>
    </row>
    <row r="3977" ht="15.75" customHeight="1">
      <c r="A3977" s="2" t="s">
        <v>3976</v>
      </c>
      <c r="B3977" s="2" t="s">
        <v>14</v>
      </c>
      <c r="C3977" s="1" t="str">
        <f>IFERROR(__xludf.DUMMYFUNCTION("GOOGLETRANSLATE(A3977,""en"",""pt-br"")"),"obra-prima")</f>
        <v>obra-prima</v>
      </c>
      <c r="D3977" s="1" t="str">
        <f>IFERROR(__xludf.DUMMYFUNCTION("GOOGLETRANSLATE(B3977,""en"",""pt-br"")"),"positivo")</f>
        <v>positivo</v>
      </c>
    </row>
    <row r="3978" ht="15.75" customHeight="1">
      <c r="A3978" s="2" t="s">
        <v>3977</v>
      </c>
      <c r="B3978" s="2" t="s">
        <v>14</v>
      </c>
      <c r="C3978" s="1" t="str">
        <f>IFERROR(__xludf.DUMMYFUNCTION("GOOGLETRANSLATE(A3978,""en"",""pt-br"")"),"obras-primas")</f>
        <v>obras-primas</v>
      </c>
      <c r="D3978" s="1" t="str">
        <f>IFERROR(__xludf.DUMMYFUNCTION("GOOGLETRANSLATE(B3978,""en"",""pt-br"")"),"positivo")</f>
        <v>positivo</v>
      </c>
    </row>
    <row r="3979" ht="15.75" customHeight="1">
      <c r="A3979" s="2" t="s">
        <v>3978</v>
      </c>
      <c r="B3979" s="2" t="s">
        <v>14</v>
      </c>
      <c r="C3979" s="1" t="str">
        <f>IFERROR(__xludf.DUMMYFUNCTION("GOOGLETRANSLATE(A3979,""en"",""pt-br"")"),"mestres")</f>
        <v>mestres</v>
      </c>
      <c r="D3979" s="1" t="str">
        <f>IFERROR(__xludf.DUMMYFUNCTION("GOOGLETRANSLATE(B3979,""en"",""pt-br"")"),"positivo")</f>
        <v>positivo</v>
      </c>
    </row>
    <row r="3980" ht="15.75" customHeight="1">
      <c r="A3980" s="2" t="s">
        <v>3979</v>
      </c>
      <c r="B3980" s="2" t="s">
        <v>14</v>
      </c>
      <c r="C3980" s="1" t="str">
        <f>IFERROR(__xludf.DUMMYFUNCTION("GOOGLETRANSLATE(A3980,""en"",""pt-br"")"),"domínio")</f>
        <v>domínio</v>
      </c>
      <c r="D3980" s="1" t="str">
        <f>IFERROR(__xludf.DUMMYFUNCTION("GOOGLETRANSLATE(B3980,""en"",""pt-br"")"),"positivo")</f>
        <v>positivo</v>
      </c>
    </row>
    <row r="3981" ht="15.75" customHeight="1">
      <c r="A3981" s="2" t="s">
        <v>3980</v>
      </c>
      <c r="B3981" s="2" t="s">
        <v>14</v>
      </c>
      <c r="C3981" s="1" t="str">
        <f>IFERROR(__xludf.DUMMYFUNCTION("GOOGLETRANSLATE(A3981,""en"",""pt-br"")"),"incomparável")</f>
        <v>incomparável</v>
      </c>
      <c r="D3981" s="1" t="str">
        <f>IFERROR(__xludf.DUMMYFUNCTION("GOOGLETRANSLATE(B3981,""en"",""pt-br"")"),"positivo")</f>
        <v>positivo</v>
      </c>
    </row>
    <row r="3982" ht="15.75" customHeight="1">
      <c r="A3982" s="2" t="s">
        <v>3981</v>
      </c>
      <c r="B3982" s="2" t="s">
        <v>3</v>
      </c>
      <c r="C3982" s="1" t="str">
        <f>IFERROR(__xludf.DUMMYFUNCTION("GOOGLETRANSLATE(A3982,""en"",""pt-br"")"),"fosco")</f>
        <v>fosco</v>
      </c>
      <c r="D3982" s="1" t="str">
        <f>IFERROR(__xludf.DUMMYFUNCTION("GOOGLETRANSLATE(B3982,""en"",""pt-br"")"),"negativo")</f>
        <v>negativo</v>
      </c>
    </row>
    <row r="3983" ht="15.75" customHeight="1">
      <c r="A3983" s="2" t="s">
        <v>3982</v>
      </c>
      <c r="B3983" s="2" t="s">
        <v>14</v>
      </c>
      <c r="C3983" s="1" t="str">
        <f>IFERROR(__xludf.DUMMYFUNCTION("GOOGLETRANSLATE(A3983,""en"",""pt-br"")"),"maduro")</f>
        <v>maduro</v>
      </c>
      <c r="D3983" s="1" t="str">
        <f>IFERROR(__xludf.DUMMYFUNCTION("GOOGLETRANSLATE(B3983,""en"",""pt-br"")"),"positivo")</f>
        <v>positivo</v>
      </c>
    </row>
    <row r="3984" ht="15.75" customHeight="1">
      <c r="A3984" s="2" t="s">
        <v>3983</v>
      </c>
      <c r="B3984" s="2" t="s">
        <v>14</v>
      </c>
      <c r="C3984" s="1" t="str">
        <f>IFERROR(__xludf.DUMMYFUNCTION("GOOGLETRANSLATE(A3984,""en"",""pt-br"")"),"madura")</f>
        <v>madura</v>
      </c>
      <c r="D3984" s="1" t="str">
        <f>IFERROR(__xludf.DUMMYFUNCTION("GOOGLETRANSLATE(B3984,""en"",""pt-br"")"),"positivo")</f>
        <v>positivo</v>
      </c>
    </row>
    <row r="3985" ht="15.75" customHeight="1">
      <c r="A3985" s="2" t="s">
        <v>3984</v>
      </c>
      <c r="B3985" s="2" t="s">
        <v>14</v>
      </c>
      <c r="C3985" s="1" t="str">
        <f>IFERROR(__xludf.DUMMYFUNCTION("GOOGLETRANSLATE(A3985,""en"",""pt-br"")"),"maturidade")</f>
        <v>maturidade</v>
      </c>
      <c r="D3985" s="1" t="str">
        <f>IFERROR(__xludf.DUMMYFUNCTION("GOOGLETRANSLATE(B3985,""en"",""pt-br"")"),"positivo")</f>
        <v>positivo</v>
      </c>
    </row>
    <row r="3986" ht="15.75" customHeight="1">
      <c r="A3986" s="2" t="s">
        <v>3985</v>
      </c>
      <c r="B3986" s="2" t="s">
        <v>3</v>
      </c>
      <c r="C3986" s="1" t="str">
        <f>IFERROR(__xludf.DUMMYFUNCTION("GOOGLETRANSLATE(A3986,""en"",""pt-br"")"),"insípido")</f>
        <v>insípido</v>
      </c>
      <c r="D3986" s="1" t="str">
        <f>IFERROR(__xludf.DUMMYFUNCTION("GOOGLETRANSLATE(B3986,""en"",""pt-br"")"),"negativo")</f>
        <v>negativo</v>
      </c>
    </row>
    <row r="3987" ht="15.75" customHeight="1">
      <c r="A3987" s="2" t="s">
        <v>3986</v>
      </c>
      <c r="B3987" s="2" t="s">
        <v>3</v>
      </c>
      <c r="C3987" s="1" t="str">
        <f>IFERROR(__xludf.DUMMYFUNCTION("GOOGLETRANSLATE(A3987,""en"",""pt-br"")"),"mawkishly")</f>
        <v>mawkishly</v>
      </c>
      <c r="D3987" s="1" t="str">
        <f>IFERROR(__xludf.DUMMYFUNCTION("GOOGLETRANSLATE(B3987,""en"",""pt-br"")"),"negativo")</f>
        <v>negativo</v>
      </c>
    </row>
    <row r="3988" ht="15.75" customHeight="1">
      <c r="A3988" s="2" t="s">
        <v>3987</v>
      </c>
      <c r="B3988" s="2" t="s">
        <v>3</v>
      </c>
      <c r="C3988" s="1" t="str">
        <f>IFERROR(__xludf.DUMMYFUNCTION("GOOGLETRANSLATE(A3988,""en"",""pt-br"")"),"pieguice")</f>
        <v>pieguice</v>
      </c>
      <c r="D3988" s="1" t="str">
        <f>IFERROR(__xludf.DUMMYFUNCTION("GOOGLETRANSLATE(B3988,""en"",""pt-br"")"),"negativo")</f>
        <v>negativo</v>
      </c>
    </row>
    <row r="3989" ht="15.75" customHeight="1">
      <c r="A3989" s="2" t="s">
        <v>3988</v>
      </c>
      <c r="B3989" s="2" t="s">
        <v>3</v>
      </c>
      <c r="C3989" s="1" t="str">
        <f>IFERROR(__xludf.DUMMYFUNCTION("GOOGLETRANSLATE(A3989,""en"",""pt-br"")"),"escasso")</f>
        <v>escasso</v>
      </c>
      <c r="D3989" s="1" t="str">
        <f>IFERROR(__xludf.DUMMYFUNCTION("GOOGLETRANSLATE(B3989,""en"",""pt-br"")"),"negativo")</f>
        <v>negativo</v>
      </c>
    </row>
    <row r="3990" ht="15.75" customHeight="1">
      <c r="A3990" s="2" t="s">
        <v>3989</v>
      </c>
      <c r="B3990" s="2" t="s">
        <v>14</v>
      </c>
      <c r="C3990" s="1" t="str">
        <f>IFERROR(__xludf.DUMMYFUNCTION("GOOGLETRANSLATE(A3990,""en"",""pt-br"")"),"significativo")</f>
        <v>significativo</v>
      </c>
      <c r="D3990" s="1" t="str">
        <f>IFERROR(__xludf.DUMMYFUNCTION("GOOGLETRANSLATE(B3990,""en"",""pt-br"")"),"positivo")</f>
        <v>positivo</v>
      </c>
    </row>
    <row r="3991" ht="15.75" customHeight="1">
      <c r="A3991" s="2" t="s">
        <v>3990</v>
      </c>
      <c r="B3991" s="2" t="s">
        <v>3</v>
      </c>
      <c r="C3991" s="1" t="str">
        <f>IFERROR(__xludf.DUMMYFUNCTION("GOOGLETRANSLATE(A3991,""en"",""pt-br"")"),"sem significado")</f>
        <v>sem significado</v>
      </c>
      <c r="D3991" s="1" t="str">
        <f>IFERROR(__xludf.DUMMYFUNCTION("GOOGLETRANSLATE(B3991,""en"",""pt-br"")"),"negativo")</f>
        <v>negativo</v>
      </c>
    </row>
    <row r="3992" ht="15.75" customHeight="1">
      <c r="A3992" s="2" t="s">
        <v>3991</v>
      </c>
      <c r="B3992" s="2" t="s">
        <v>3</v>
      </c>
      <c r="C3992" s="1" t="str">
        <f>IFERROR(__xludf.DUMMYFUNCTION("GOOGLETRANSLATE(A3992,""en"",""pt-br"")"),"mesquinharia")</f>
        <v>mesquinharia</v>
      </c>
      <c r="D3992" s="1" t="str">
        <f>IFERROR(__xludf.DUMMYFUNCTION("GOOGLETRANSLATE(B3992,""en"",""pt-br"")"),"negativo")</f>
        <v>negativo</v>
      </c>
    </row>
    <row r="3993" ht="15.75" customHeight="1">
      <c r="A3993" s="2" t="s">
        <v>3992</v>
      </c>
      <c r="B3993" s="2" t="s">
        <v>3</v>
      </c>
      <c r="C3993" s="1" t="str">
        <f>IFERROR(__xludf.DUMMYFUNCTION("GOOGLETRANSLATE(A3993,""en"",""pt-br"")"),"com sarampo")</f>
        <v>com sarampo</v>
      </c>
      <c r="D3993" s="1" t="str">
        <f>IFERROR(__xludf.DUMMYFUNCTION("GOOGLETRANSLATE(B3993,""en"",""pt-br"")"),"negativo")</f>
        <v>negativo</v>
      </c>
    </row>
    <row r="3994" ht="15.75" customHeight="1">
      <c r="A3994" s="2" t="s">
        <v>3993</v>
      </c>
      <c r="B3994" s="2" t="s">
        <v>3</v>
      </c>
      <c r="C3994" s="1" t="str">
        <f>IFERROR(__xludf.DUMMYFUNCTION("GOOGLETRANSLATE(A3994,""en"",""pt-br"")"),"Meddle")</f>
        <v>Meddle</v>
      </c>
      <c r="D3994" s="1" t="str">
        <f>IFERROR(__xludf.DUMMYFUNCTION("GOOGLETRANSLATE(B3994,""en"",""pt-br"")"),"negativo")</f>
        <v>negativo</v>
      </c>
    </row>
    <row r="3995" ht="15.75" customHeight="1">
      <c r="A3995" s="2" t="s">
        <v>3994</v>
      </c>
      <c r="B3995" s="2" t="s">
        <v>3</v>
      </c>
      <c r="C3995" s="1" t="str">
        <f>IFERROR(__xludf.DUMMYFUNCTION("GOOGLETRANSLATE(A3995,""en"",""pt-br"")"),"enxerido")</f>
        <v>enxerido</v>
      </c>
      <c r="D3995" s="1" t="str">
        <f>IFERROR(__xludf.DUMMYFUNCTION("GOOGLETRANSLATE(B3995,""en"",""pt-br"")"),"negativo")</f>
        <v>negativo</v>
      </c>
    </row>
    <row r="3996" ht="15.75" customHeight="1">
      <c r="A3996" s="2" t="s">
        <v>3995</v>
      </c>
      <c r="B3996" s="2" t="s">
        <v>3</v>
      </c>
      <c r="C3996" s="1" t="str">
        <f>IFERROR(__xludf.DUMMYFUNCTION("GOOGLETRANSLATE(A3996,""en"",""pt-br"")"),"medíocre")</f>
        <v>medíocre</v>
      </c>
      <c r="D3996" s="1" t="str">
        <f>IFERROR(__xludf.DUMMYFUNCTION("GOOGLETRANSLATE(B3996,""en"",""pt-br"")"),"negativo")</f>
        <v>negativo</v>
      </c>
    </row>
    <row r="3997" ht="15.75" customHeight="1">
      <c r="A3997" s="2" t="s">
        <v>3996</v>
      </c>
      <c r="B3997" s="2" t="s">
        <v>3</v>
      </c>
      <c r="C3997" s="1" t="str">
        <f>IFERROR(__xludf.DUMMYFUNCTION("GOOGLETRANSLATE(A3997,""en"",""pt-br"")"),"mediocridade")</f>
        <v>mediocridade</v>
      </c>
      <c r="D3997" s="1" t="str">
        <f>IFERROR(__xludf.DUMMYFUNCTION("GOOGLETRANSLATE(B3997,""en"",""pt-br"")"),"negativo")</f>
        <v>negativo</v>
      </c>
    </row>
    <row r="3998" ht="15.75" customHeight="1">
      <c r="A3998" s="2" t="s">
        <v>3997</v>
      </c>
      <c r="B3998" s="2" t="s">
        <v>3</v>
      </c>
      <c r="C3998" s="1" t="str">
        <f>IFERROR(__xludf.DUMMYFUNCTION("GOOGLETRANSLATE(A3998,""en"",""pt-br"")"),"melancólico")</f>
        <v>melancólico</v>
      </c>
      <c r="D3998" s="1" t="str">
        <f>IFERROR(__xludf.DUMMYFUNCTION("GOOGLETRANSLATE(B3998,""en"",""pt-br"")"),"negativo")</f>
        <v>negativo</v>
      </c>
    </row>
    <row r="3999" ht="15.75" customHeight="1">
      <c r="A3999" s="2" t="s">
        <v>3998</v>
      </c>
      <c r="B3999" s="2" t="s">
        <v>3</v>
      </c>
      <c r="C3999" s="1" t="str">
        <f>IFERROR(__xludf.DUMMYFUNCTION("GOOGLETRANSLATE(A3999,""en"",""pt-br"")"),"melodramático")</f>
        <v>melodramático</v>
      </c>
      <c r="D3999" s="1" t="str">
        <f>IFERROR(__xludf.DUMMYFUNCTION("GOOGLETRANSLATE(B3999,""en"",""pt-br"")"),"negativo")</f>
        <v>negativo</v>
      </c>
    </row>
    <row r="4000" ht="15.75" customHeight="1">
      <c r="A4000" s="2" t="s">
        <v>3999</v>
      </c>
      <c r="B4000" s="2" t="s">
        <v>3</v>
      </c>
      <c r="C4000" s="1" t="str">
        <f>IFERROR(__xludf.DUMMYFUNCTION("GOOGLETRANSLATE(A4000,""en"",""pt-br"")"),"melodramatically")</f>
        <v>melodramatically</v>
      </c>
      <c r="D4000" s="1" t="str">
        <f>IFERROR(__xludf.DUMMYFUNCTION("GOOGLETRANSLATE(B4000,""en"",""pt-br"")"),"negativo")</f>
        <v>negativo</v>
      </c>
    </row>
    <row r="4001" ht="15.75" customHeight="1">
      <c r="A4001" s="2" t="s">
        <v>4000</v>
      </c>
      <c r="B4001" s="2" t="s">
        <v>3</v>
      </c>
      <c r="C4001" s="1" t="str">
        <f>IFERROR(__xludf.DUMMYFUNCTION("GOOGLETRANSLATE(A4001,""en"",""pt-br"")"),"fusão")</f>
        <v>fusão</v>
      </c>
      <c r="D4001" s="1" t="str">
        <f>IFERROR(__xludf.DUMMYFUNCTION("GOOGLETRANSLATE(B4001,""en"",""pt-br"")"),"negativo")</f>
        <v>negativo</v>
      </c>
    </row>
    <row r="4002" ht="15.75" customHeight="1">
      <c r="A4002" s="2" t="s">
        <v>4001</v>
      </c>
      <c r="B4002" s="2" t="s">
        <v>14</v>
      </c>
      <c r="C4002" s="1" t="str">
        <f>IFERROR(__xludf.DUMMYFUNCTION("GOOGLETRANSLATE(A4002,""en"",""pt-br"")"),"memorável")</f>
        <v>memorável</v>
      </c>
      <c r="D4002" s="1" t="str">
        <f>IFERROR(__xludf.DUMMYFUNCTION("GOOGLETRANSLATE(B4002,""en"",""pt-br"")"),"positivo")</f>
        <v>positivo</v>
      </c>
    </row>
    <row r="4003" ht="15.75" customHeight="1">
      <c r="A4003" s="2" t="s">
        <v>4002</v>
      </c>
      <c r="B4003" s="2" t="s">
        <v>3</v>
      </c>
      <c r="C4003" s="1" t="str">
        <f>IFERROR(__xludf.DUMMYFUNCTION("GOOGLETRANSLATE(A4003,""en"",""pt-br"")"),"ameaça")</f>
        <v>ameaça</v>
      </c>
      <c r="D4003" s="1" t="str">
        <f>IFERROR(__xludf.DUMMYFUNCTION("GOOGLETRANSLATE(B4003,""en"",""pt-br"")"),"negativo")</f>
        <v>negativo</v>
      </c>
    </row>
    <row r="4004" ht="15.75" customHeight="1">
      <c r="A4004" s="2" t="s">
        <v>4003</v>
      </c>
      <c r="B4004" s="2" t="s">
        <v>3</v>
      </c>
      <c r="C4004" s="1" t="str">
        <f>IFERROR(__xludf.DUMMYFUNCTION("GOOGLETRANSLATE(A4004,""en"",""pt-br"")"),"ameaçador")</f>
        <v>ameaçador</v>
      </c>
      <c r="D4004" s="1" t="str">
        <f>IFERROR(__xludf.DUMMYFUNCTION("GOOGLETRANSLATE(B4004,""en"",""pt-br"")"),"negativo")</f>
        <v>negativo</v>
      </c>
    </row>
    <row r="4005" ht="15.75" customHeight="1">
      <c r="A4005" s="2" t="s">
        <v>4004</v>
      </c>
      <c r="B4005" s="2" t="s">
        <v>3</v>
      </c>
      <c r="C4005" s="1" t="str">
        <f>IFERROR(__xludf.DUMMYFUNCTION("GOOGLETRANSLATE(A4005,""en"",""pt-br"")"),"ameaçadoramente")</f>
        <v>ameaçadoramente</v>
      </c>
      <c r="D4005" s="1" t="str">
        <f>IFERROR(__xludf.DUMMYFUNCTION("GOOGLETRANSLATE(B4005,""en"",""pt-br"")"),"negativo")</f>
        <v>negativo</v>
      </c>
    </row>
    <row r="4006" ht="15.75" customHeight="1">
      <c r="A4006" s="2" t="s">
        <v>4005</v>
      </c>
      <c r="B4006" s="2" t="s">
        <v>3</v>
      </c>
      <c r="C4006" s="1" t="str">
        <f>IFERROR(__xludf.DUMMYFUNCTION("GOOGLETRANSLATE(A4006,""en"",""pt-br"")"),"mendaz")</f>
        <v>mendaz</v>
      </c>
      <c r="D4006" s="1" t="str">
        <f>IFERROR(__xludf.DUMMYFUNCTION("GOOGLETRANSLATE(B4006,""en"",""pt-br"")"),"negativo")</f>
        <v>negativo</v>
      </c>
    </row>
    <row r="4007" ht="15.75" customHeight="1">
      <c r="A4007" s="2" t="s">
        <v>4006</v>
      </c>
      <c r="B4007" s="2" t="s">
        <v>3</v>
      </c>
      <c r="C4007" s="1" t="str">
        <f>IFERROR(__xludf.DUMMYFUNCTION("GOOGLETRANSLATE(A4007,""en"",""pt-br"")"),"mentira")</f>
        <v>mentira</v>
      </c>
      <c r="D4007" s="1" t="str">
        <f>IFERROR(__xludf.DUMMYFUNCTION("GOOGLETRANSLATE(B4007,""en"",""pt-br"")"),"negativo")</f>
        <v>negativo</v>
      </c>
    </row>
    <row r="4008" ht="15.75" customHeight="1">
      <c r="A4008" s="2" t="s">
        <v>4007</v>
      </c>
      <c r="B4008" s="2" t="s">
        <v>3</v>
      </c>
      <c r="C4008" s="1" t="str">
        <f>IFERROR(__xludf.DUMMYFUNCTION("GOOGLETRANSLATE(A4008,""en"",""pt-br"")"),"servil")</f>
        <v>servil</v>
      </c>
      <c r="D4008" s="1" t="str">
        <f>IFERROR(__xludf.DUMMYFUNCTION("GOOGLETRANSLATE(B4008,""en"",""pt-br"")"),"negativo")</f>
        <v>negativo</v>
      </c>
    </row>
    <row r="4009" ht="15.75" customHeight="1">
      <c r="A4009" s="2" t="s">
        <v>4008</v>
      </c>
      <c r="B4009" s="2" t="s">
        <v>14</v>
      </c>
      <c r="C4009" s="1" t="str">
        <f>IFERROR(__xludf.DUMMYFUNCTION("GOOGLETRANSLATE(A4009,""en"",""pt-br"")"),"misericordioso")</f>
        <v>misericordioso</v>
      </c>
      <c r="D4009" s="1" t="str">
        <f>IFERROR(__xludf.DUMMYFUNCTION("GOOGLETRANSLATE(B4009,""en"",""pt-br"")"),"positivo")</f>
        <v>positivo</v>
      </c>
    </row>
    <row r="4010" ht="15.75" customHeight="1">
      <c r="A4010" s="2" t="s">
        <v>4009</v>
      </c>
      <c r="B4010" s="2" t="s">
        <v>14</v>
      </c>
      <c r="C4010" s="1" t="str">
        <f>IFERROR(__xludf.DUMMYFUNCTION("GOOGLETRANSLATE(A4010,""en"",""pt-br"")"),"misericordiosamente")</f>
        <v>misericordiosamente</v>
      </c>
      <c r="D4010" s="1" t="str">
        <f>IFERROR(__xludf.DUMMYFUNCTION("GOOGLETRANSLATE(B4010,""en"",""pt-br"")"),"positivo")</f>
        <v>positivo</v>
      </c>
    </row>
    <row r="4011" ht="15.75" customHeight="1">
      <c r="A4011" s="2" t="s">
        <v>4010</v>
      </c>
      <c r="B4011" s="2" t="s">
        <v>3</v>
      </c>
      <c r="C4011" s="1" t="str">
        <f>IFERROR(__xludf.DUMMYFUNCTION("GOOGLETRANSLATE(A4011,""en"",""pt-br"")"),"impiedoso")</f>
        <v>impiedoso</v>
      </c>
      <c r="D4011" s="1" t="str">
        <f>IFERROR(__xludf.DUMMYFUNCTION("GOOGLETRANSLATE(B4011,""en"",""pt-br"")"),"negativo")</f>
        <v>negativo</v>
      </c>
    </row>
    <row r="4012" ht="15.75" customHeight="1">
      <c r="A4012" s="2" t="s">
        <v>4011</v>
      </c>
      <c r="B4012" s="2" t="s">
        <v>3</v>
      </c>
      <c r="C4012" s="1" t="str">
        <f>IFERROR(__xludf.DUMMYFUNCTION("GOOGLETRANSLATE(A4012,""en"",""pt-br"")"),"impiedosamente")</f>
        <v>impiedosamente</v>
      </c>
      <c r="D4012" s="1" t="str">
        <f>IFERROR(__xludf.DUMMYFUNCTION("GOOGLETRANSLATE(B4012,""en"",""pt-br"")"),"negativo")</f>
        <v>negativo</v>
      </c>
    </row>
    <row r="4013" ht="15.75" customHeight="1">
      <c r="A4013" s="2" t="s">
        <v>4012</v>
      </c>
      <c r="B4013" s="2" t="s">
        <v>14</v>
      </c>
      <c r="C4013" s="1" t="str">
        <f>IFERROR(__xludf.DUMMYFUNCTION("GOOGLETRANSLATE(A4013,""en"",""pt-br"")"),"misericórdia")</f>
        <v>misericórdia</v>
      </c>
      <c r="D4013" s="1" t="str">
        <f>IFERROR(__xludf.DUMMYFUNCTION("GOOGLETRANSLATE(B4013,""en"",""pt-br"")"),"positivo")</f>
        <v>positivo</v>
      </c>
    </row>
    <row r="4014" ht="15.75" customHeight="1">
      <c r="A4014" s="2" t="s">
        <v>4013</v>
      </c>
      <c r="B4014" s="2" t="s">
        <v>14</v>
      </c>
      <c r="C4014" s="1" t="str">
        <f>IFERROR(__xludf.DUMMYFUNCTION("GOOGLETRANSLATE(A4014,""en"",""pt-br"")"),"mérito")</f>
        <v>mérito</v>
      </c>
      <c r="D4014" s="1" t="str">
        <f>IFERROR(__xludf.DUMMYFUNCTION("GOOGLETRANSLATE(B4014,""en"",""pt-br"")"),"positivo")</f>
        <v>positivo</v>
      </c>
    </row>
    <row r="4015" ht="15.75" customHeight="1">
      <c r="A4015" s="2" t="s">
        <v>4014</v>
      </c>
      <c r="B4015" s="2" t="s">
        <v>14</v>
      </c>
      <c r="C4015" s="1" t="str">
        <f>IFERROR(__xludf.DUMMYFUNCTION("GOOGLETRANSLATE(A4015,""en"",""pt-br"")"),"meritório")</f>
        <v>meritório</v>
      </c>
      <c r="D4015" s="1" t="str">
        <f>IFERROR(__xludf.DUMMYFUNCTION("GOOGLETRANSLATE(B4015,""en"",""pt-br"")"),"positivo")</f>
        <v>positivo</v>
      </c>
    </row>
    <row r="4016" ht="15.75" customHeight="1">
      <c r="A4016" s="2" t="s">
        <v>4015</v>
      </c>
      <c r="B4016" s="2" t="s">
        <v>14</v>
      </c>
      <c r="C4016" s="1" t="str">
        <f>IFERROR(__xludf.DUMMYFUNCTION("GOOGLETRANSLATE(A4016,""en"",""pt-br"")"),"alegremente")</f>
        <v>alegremente</v>
      </c>
      <c r="D4016" s="1" t="str">
        <f>IFERROR(__xludf.DUMMYFUNCTION("GOOGLETRANSLATE(B4016,""en"",""pt-br"")"),"positivo")</f>
        <v>positivo</v>
      </c>
    </row>
    <row r="4017" ht="15.75" customHeight="1">
      <c r="A4017" s="2" t="s">
        <v>4016</v>
      </c>
      <c r="B4017" s="2" t="s">
        <v>14</v>
      </c>
      <c r="C4017" s="1" t="str">
        <f>IFERROR(__xludf.DUMMYFUNCTION("GOOGLETRANSLATE(A4017,""en"",""pt-br"")"),"alegria")</f>
        <v>alegria</v>
      </c>
      <c r="D4017" s="1" t="str">
        <f>IFERROR(__xludf.DUMMYFUNCTION("GOOGLETRANSLATE(B4017,""en"",""pt-br"")"),"positivo")</f>
        <v>positivo</v>
      </c>
    </row>
    <row r="4018" ht="15.75" customHeight="1">
      <c r="A4018" s="2" t="s">
        <v>4017</v>
      </c>
      <c r="B4018" s="2" t="s">
        <v>14</v>
      </c>
      <c r="C4018" s="1" t="str">
        <f>IFERROR(__xludf.DUMMYFUNCTION("GOOGLETRANSLATE(A4018,""en"",""pt-br"")"),"merriness")</f>
        <v>merriness</v>
      </c>
      <c r="D4018" s="1" t="str">
        <f>IFERROR(__xludf.DUMMYFUNCTION("GOOGLETRANSLATE(B4018,""en"",""pt-br"")"),"positivo")</f>
        <v>positivo</v>
      </c>
    </row>
    <row r="4019" ht="15.75" customHeight="1">
      <c r="A4019" s="2" t="s">
        <v>4018</v>
      </c>
      <c r="B4019" s="2" t="s">
        <v>14</v>
      </c>
      <c r="C4019" s="1" t="str">
        <f>IFERROR(__xludf.DUMMYFUNCTION("GOOGLETRANSLATE(A4019,""en"",""pt-br"")"),"alegre")</f>
        <v>alegre</v>
      </c>
      <c r="D4019" s="1" t="str">
        <f>IFERROR(__xludf.DUMMYFUNCTION("GOOGLETRANSLATE(B4019,""en"",""pt-br"")"),"positivo")</f>
        <v>positivo</v>
      </c>
    </row>
    <row r="4020" ht="15.75" customHeight="1">
      <c r="A4020" s="2" t="s">
        <v>4019</v>
      </c>
      <c r="B4020" s="2" t="s">
        <v>14</v>
      </c>
      <c r="C4020" s="1" t="str">
        <f>IFERROR(__xludf.DUMMYFUNCTION("GOOGLETRANSLATE(A4020,""en"",""pt-br"")"),"hipnotizar")</f>
        <v>hipnotizar</v>
      </c>
      <c r="D4020" s="1" t="str">
        <f>IFERROR(__xludf.DUMMYFUNCTION("GOOGLETRANSLATE(B4020,""en"",""pt-br"")"),"positivo")</f>
        <v>positivo</v>
      </c>
    </row>
    <row r="4021" ht="15.75" customHeight="1">
      <c r="A4021" s="2" t="s">
        <v>4020</v>
      </c>
      <c r="B4021" s="2" t="s">
        <v>14</v>
      </c>
      <c r="C4021" s="1" t="str">
        <f>IFERROR(__xludf.DUMMYFUNCTION("GOOGLETRANSLATE(A4021,""en"",""pt-br"")"),"hipnotizado")</f>
        <v>hipnotizado</v>
      </c>
      <c r="D4021" s="1" t="str">
        <f>IFERROR(__xludf.DUMMYFUNCTION("GOOGLETRANSLATE(B4021,""en"",""pt-br"")"),"positivo")</f>
        <v>positivo</v>
      </c>
    </row>
    <row r="4022" ht="15.75" customHeight="1">
      <c r="A4022" s="2" t="s">
        <v>4021</v>
      </c>
      <c r="B4022" s="2" t="s">
        <v>14</v>
      </c>
      <c r="C4022" s="1" t="str">
        <f>IFERROR(__xludf.DUMMYFUNCTION("GOOGLETRANSLATE(A4022,""en"",""pt-br"")"),"mesmerizes")</f>
        <v>mesmerizes</v>
      </c>
      <c r="D4022" s="1" t="str">
        <f>IFERROR(__xludf.DUMMYFUNCTION("GOOGLETRANSLATE(B4022,""en"",""pt-br"")"),"positivo")</f>
        <v>positivo</v>
      </c>
    </row>
    <row r="4023" ht="15.75" customHeight="1">
      <c r="A4023" s="2" t="s">
        <v>4022</v>
      </c>
      <c r="B4023" s="2" t="s">
        <v>14</v>
      </c>
      <c r="C4023" s="1" t="str">
        <f>IFERROR(__xludf.DUMMYFUNCTION("GOOGLETRANSLATE(A4023,""en"",""pt-br"")"),"hipnotizante")</f>
        <v>hipnotizante</v>
      </c>
      <c r="D4023" s="1" t="str">
        <f>IFERROR(__xludf.DUMMYFUNCTION("GOOGLETRANSLATE(B4023,""en"",""pt-br"")"),"positivo")</f>
        <v>positivo</v>
      </c>
    </row>
    <row r="4024" ht="15.75" customHeight="1">
      <c r="A4024" s="2" t="s">
        <v>4023</v>
      </c>
      <c r="B4024" s="2" t="s">
        <v>14</v>
      </c>
      <c r="C4024" s="1" t="str">
        <f>IFERROR(__xludf.DUMMYFUNCTION("GOOGLETRANSLATE(A4024,""en"",""pt-br"")"),"mesmerizingly")</f>
        <v>mesmerizingly</v>
      </c>
      <c r="D4024" s="1" t="str">
        <f>IFERROR(__xludf.DUMMYFUNCTION("GOOGLETRANSLATE(B4024,""en"",""pt-br"")"),"positivo")</f>
        <v>positivo</v>
      </c>
    </row>
    <row r="4025" ht="15.75" customHeight="1">
      <c r="A4025" s="2" t="s">
        <v>4024</v>
      </c>
      <c r="B4025" s="2" t="s">
        <v>3</v>
      </c>
      <c r="C4025" s="1" t="str">
        <f>IFERROR(__xludf.DUMMYFUNCTION("GOOGLETRANSLATE(A4025,""en"",""pt-br"")"),"bagunça")</f>
        <v>bagunça</v>
      </c>
      <c r="D4025" s="1" t="str">
        <f>IFERROR(__xludf.DUMMYFUNCTION("GOOGLETRANSLATE(B4025,""en"",""pt-br"")"),"negativo")</f>
        <v>negativo</v>
      </c>
    </row>
    <row r="4026" ht="15.75" customHeight="1">
      <c r="A4026" s="2" t="s">
        <v>4025</v>
      </c>
      <c r="B4026" s="2" t="s">
        <v>3</v>
      </c>
      <c r="C4026" s="1" t="str">
        <f>IFERROR(__xludf.DUMMYFUNCTION("GOOGLETRANSLATE(A4026,""en"",""pt-br"")"),"confuso")</f>
        <v>confuso</v>
      </c>
      <c r="D4026" s="1" t="str">
        <f>IFERROR(__xludf.DUMMYFUNCTION("GOOGLETRANSLATE(B4026,""en"",""pt-br"")"),"negativo")</f>
        <v>negativo</v>
      </c>
    </row>
    <row r="4027" ht="15.75" customHeight="1">
      <c r="A4027" s="2" t="s">
        <v>4026</v>
      </c>
      <c r="B4027" s="2" t="s">
        <v>3</v>
      </c>
      <c r="C4027" s="1" t="str">
        <f>IFERROR(__xludf.DUMMYFUNCTION("GOOGLETRANSLATE(A4027,""en"",""pt-br"")"),"messes")</f>
        <v>messes</v>
      </c>
      <c r="D4027" s="1" t="str">
        <f>IFERROR(__xludf.DUMMYFUNCTION("GOOGLETRANSLATE(B4027,""en"",""pt-br"")"),"negativo")</f>
        <v>negativo</v>
      </c>
    </row>
    <row r="4028" ht="15.75" customHeight="1">
      <c r="A4028" s="2" t="s">
        <v>4027</v>
      </c>
      <c r="B4028" s="2" t="s">
        <v>3</v>
      </c>
      <c r="C4028" s="1" t="str">
        <f>IFERROR(__xludf.DUMMYFUNCTION("GOOGLETRANSLATE(A4028,""en"",""pt-br"")"),"Messing")</f>
        <v>Messing</v>
      </c>
      <c r="D4028" s="1" t="str">
        <f>IFERROR(__xludf.DUMMYFUNCTION("GOOGLETRANSLATE(B4028,""en"",""pt-br"")"),"negativo")</f>
        <v>negativo</v>
      </c>
    </row>
    <row r="4029" ht="15.75" customHeight="1">
      <c r="A4029" s="2" t="s">
        <v>4028</v>
      </c>
      <c r="B4029" s="2" t="s">
        <v>3</v>
      </c>
      <c r="C4029" s="1" t="str">
        <f>IFERROR(__xludf.DUMMYFUNCTION("GOOGLETRANSLATE(A4029,""en"",""pt-br"")"),"bagunçado")</f>
        <v>bagunçado</v>
      </c>
      <c r="D4029" s="1" t="str">
        <f>IFERROR(__xludf.DUMMYFUNCTION("GOOGLETRANSLATE(B4029,""en"",""pt-br"")"),"negativo")</f>
        <v>negativo</v>
      </c>
    </row>
    <row r="4030" ht="15.75" customHeight="1">
      <c r="A4030" s="2" t="s">
        <v>4029</v>
      </c>
      <c r="B4030" s="2" t="s">
        <v>14</v>
      </c>
      <c r="C4030" s="1" t="str">
        <f>IFERROR(__xludf.DUMMYFUNCTION("GOOGLETRANSLATE(A4030,""en"",""pt-br"")"),"meticuloso")</f>
        <v>meticuloso</v>
      </c>
      <c r="D4030" s="1" t="str">
        <f>IFERROR(__xludf.DUMMYFUNCTION("GOOGLETRANSLATE(B4030,""en"",""pt-br"")"),"positivo")</f>
        <v>positivo</v>
      </c>
    </row>
    <row r="4031" ht="15.75" customHeight="1">
      <c r="A4031" s="2" t="s">
        <v>4030</v>
      </c>
      <c r="B4031" s="2" t="s">
        <v>14</v>
      </c>
      <c r="C4031" s="1" t="str">
        <f>IFERROR(__xludf.DUMMYFUNCTION("GOOGLETRANSLATE(A4031,""en"",""pt-br"")"),"meticulosamente")</f>
        <v>meticulosamente</v>
      </c>
      <c r="D4031" s="1" t="str">
        <f>IFERROR(__xludf.DUMMYFUNCTION("GOOGLETRANSLATE(B4031,""en"",""pt-br"")"),"positivo")</f>
        <v>positivo</v>
      </c>
    </row>
    <row r="4032" ht="15.75" customHeight="1">
      <c r="A4032" s="2" t="s">
        <v>4031</v>
      </c>
      <c r="B4032" s="2" t="s">
        <v>3</v>
      </c>
      <c r="C4032" s="1" t="str">
        <f>IFERROR(__xludf.DUMMYFUNCTION("GOOGLETRANSLATE(A4032,""en"",""pt-br"")"),"anão")</f>
        <v>anão</v>
      </c>
      <c r="D4032" s="1" t="str">
        <f>IFERROR(__xludf.DUMMYFUNCTION("GOOGLETRANSLATE(B4032,""en"",""pt-br"")"),"negativo")</f>
        <v>negativo</v>
      </c>
    </row>
    <row r="4033" ht="15.75" customHeight="1">
      <c r="A4033" s="2" t="s">
        <v>4032</v>
      </c>
      <c r="B4033" s="2" t="s">
        <v>3</v>
      </c>
      <c r="C4033" s="1" t="str">
        <f>IFERROR(__xludf.DUMMYFUNCTION("GOOGLETRANSLATE(A4033,""en"",""pt-br"")"),"questiúncula")</f>
        <v>questiúncula</v>
      </c>
      <c r="D4033" s="1" t="str">
        <f>IFERROR(__xludf.DUMMYFUNCTION("GOOGLETRANSLATE(B4033,""en"",""pt-br"")"),"negativo")</f>
        <v>negativo</v>
      </c>
    </row>
    <row r="4034" ht="15.75" customHeight="1">
      <c r="A4034" s="2" t="s">
        <v>4033</v>
      </c>
      <c r="B4034" s="2" t="s">
        <v>14</v>
      </c>
      <c r="C4034" s="1" t="str">
        <f>IFERROR(__xludf.DUMMYFUNCTION("GOOGLETRANSLATE(A4034,""en"",""pt-br"")"),"poderosamente")</f>
        <v>poderosamente</v>
      </c>
      <c r="D4034" s="1" t="str">
        <f>IFERROR(__xludf.DUMMYFUNCTION("GOOGLETRANSLATE(B4034,""en"",""pt-br"")"),"positivo")</f>
        <v>positivo</v>
      </c>
    </row>
    <row r="4035" ht="15.75" customHeight="1">
      <c r="A4035" s="2" t="s">
        <v>4034</v>
      </c>
      <c r="B4035" s="2" t="s">
        <v>14</v>
      </c>
      <c r="C4035" s="1" t="str">
        <f>IFERROR(__xludf.DUMMYFUNCTION("GOOGLETRANSLATE(A4035,""en"",""pt-br"")"),"poderoso")</f>
        <v>poderoso</v>
      </c>
      <c r="D4035" s="1" t="str">
        <f>IFERROR(__xludf.DUMMYFUNCTION("GOOGLETRANSLATE(B4035,""en"",""pt-br"")"),"positivo")</f>
        <v>positivo</v>
      </c>
    </row>
    <row r="4036" ht="15.75" customHeight="1">
      <c r="A4036" s="2" t="s">
        <v>4035</v>
      </c>
      <c r="B4036" s="2" t="s">
        <v>3</v>
      </c>
      <c r="C4036" s="1" t="str">
        <f>IFERROR(__xludf.DUMMYFUNCTION("GOOGLETRANSLATE(A4036,""en"",""pt-br"")"),"espírito militante")</f>
        <v>espírito militante</v>
      </c>
      <c r="D4036" s="1" t="str">
        <f>IFERROR(__xludf.DUMMYFUNCTION("GOOGLETRANSLATE(B4036,""en"",""pt-br"")"),"negativo")</f>
        <v>negativo</v>
      </c>
    </row>
    <row r="4037" ht="15.75" customHeight="1">
      <c r="A4037" s="2" t="s">
        <v>4036</v>
      </c>
      <c r="B4037" s="2" t="s">
        <v>14</v>
      </c>
      <c r="C4037" s="1" t="str">
        <f>IFERROR(__xludf.DUMMYFUNCTION("GOOGLETRANSLATE(A4037,""en"",""pt-br"")"),"surpreendente")</f>
        <v>surpreendente</v>
      </c>
      <c r="D4037" s="1" t="str">
        <f>IFERROR(__xludf.DUMMYFUNCTION("GOOGLETRANSLATE(B4037,""en"",""pt-br"")"),"positivo")</f>
        <v>positivo</v>
      </c>
    </row>
    <row r="4038" ht="15.75" customHeight="1">
      <c r="A4038" s="2" t="s">
        <v>4037</v>
      </c>
      <c r="B4038" s="2" t="s">
        <v>3</v>
      </c>
      <c r="C4038" s="1" t="str">
        <f>IFERROR(__xludf.DUMMYFUNCTION("GOOGLETRANSLATE(A4038,""en"",""pt-br"")"),"estúpido")</f>
        <v>estúpido</v>
      </c>
      <c r="D4038" s="1" t="str">
        <f>IFERROR(__xludf.DUMMYFUNCTION("GOOGLETRANSLATE(B4038,""en"",""pt-br"")"),"negativo")</f>
        <v>negativo</v>
      </c>
    </row>
    <row r="4039" ht="15.75" customHeight="1">
      <c r="A4039" s="2" t="s">
        <v>4038</v>
      </c>
      <c r="B4039" s="2" t="s">
        <v>3</v>
      </c>
      <c r="C4039" s="1" t="str">
        <f>IFERROR(__xludf.DUMMYFUNCTION("GOOGLETRANSLATE(A4039,""en"",""pt-br"")"),"negligentemente")</f>
        <v>negligentemente</v>
      </c>
      <c r="D4039" s="1" t="str">
        <f>IFERROR(__xludf.DUMMYFUNCTION("GOOGLETRANSLATE(B4039,""en"",""pt-br"")"),"negativo")</f>
        <v>negativo</v>
      </c>
    </row>
    <row r="4040" ht="15.75" customHeight="1">
      <c r="A4040" s="2" t="s">
        <v>4039</v>
      </c>
      <c r="B4040" s="2" t="s">
        <v>14</v>
      </c>
      <c r="C4040" s="1" t="str">
        <f>IFERROR(__xludf.DUMMYFUNCTION("GOOGLETRANSLATE(A4040,""en"",""pt-br"")"),"milagre")</f>
        <v>milagre</v>
      </c>
      <c r="D4040" s="1" t="str">
        <f>IFERROR(__xludf.DUMMYFUNCTION("GOOGLETRANSLATE(B4040,""en"",""pt-br"")"),"positivo")</f>
        <v>positivo</v>
      </c>
    </row>
    <row r="4041" ht="15.75" customHeight="1">
      <c r="A4041" s="2" t="s">
        <v>4040</v>
      </c>
      <c r="B4041" s="2" t="s">
        <v>14</v>
      </c>
      <c r="C4041" s="1" t="str">
        <f>IFERROR(__xludf.DUMMYFUNCTION("GOOGLETRANSLATE(A4041,""en"",""pt-br"")"),"milagres")</f>
        <v>milagres</v>
      </c>
      <c r="D4041" s="1" t="str">
        <f>IFERROR(__xludf.DUMMYFUNCTION("GOOGLETRANSLATE(B4041,""en"",""pt-br"")"),"positivo")</f>
        <v>positivo</v>
      </c>
    </row>
    <row r="4042" ht="15.75" customHeight="1">
      <c r="A4042" s="2" t="s">
        <v>4041</v>
      </c>
      <c r="B4042" s="2" t="s">
        <v>14</v>
      </c>
      <c r="C4042" s="1" t="str">
        <f>IFERROR(__xludf.DUMMYFUNCTION("GOOGLETRANSLATE(A4042,""en"",""pt-br"")"),"milagroso")</f>
        <v>milagroso</v>
      </c>
      <c r="D4042" s="1" t="str">
        <f>IFERROR(__xludf.DUMMYFUNCTION("GOOGLETRANSLATE(B4042,""en"",""pt-br"")"),"positivo")</f>
        <v>positivo</v>
      </c>
    </row>
    <row r="4043" ht="15.75" customHeight="1">
      <c r="A4043" s="2" t="s">
        <v>4042</v>
      </c>
      <c r="B4043" s="2" t="s">
        <v>14</v>
      </c>
      <c r="C4043" s="1" t="str">
        <f>IFERROR(__xludf.DUMMYFUNCTION("GOOGLETRANSLATE(A4043,""en"",""pt-br"")"),"milagrosamente")</f>
        <v>milagrosamente</v>
      </c>
      <c r="D4043" s="1" t="str">
        <f>IFERROR(__xludf.DUMMYFUNCTION("GOOGLETRANSLATE(B4043,""en"",""pt-br"")"),"positivo")</f>
        <v>positivo</v>
      </c>
    </row>
    <row r="4044" ht="15.75" customHeight="1">
      <c r="A4044" s="2" t="s">
        <v>4043</v>
      </c>
      <c r="B4044" s="2" t="s">
        <v>14</v>
      </c>
      <c r="C4044" s="1" t="str">
        <f>IFERROR(__xludf.DUMMYFUNCTION("GOOGLETRANSLATE(A4044,""en"",""pt-br"")"),"miraculousness")</f>
        <v>miraculousness</v>
      </c>
      <c r="D4044" s="1" t="str">
        <f>IFERROR(__xludf.DUMMYFUNCTION("GOOGLETRANSLATE(B4044,""en"",""pt-br"")"),"positivo")</f>
        <v>positivo</v>
      </c>
    </row>
    <row r="4045" ht="15.75" customHeight="1">
      <c r="A4045" s="2" t="s">
        <v>4044</v>
      </c>
      <c r="B4045" s="2" t="s">
        <v>3</v>
      </c>
      <c r="C4045" s="1" t="str">
        <f>IFERROR(__xludf.DUMMYFUNCTION("GOOGLETRANSLATE(A4045,""en"",""pt-br"")"),"miragem")</f>
        <v>miragem</v>
      </c>
      <c r="D4045" s="1" t="str">
        <f>IFERROR(__xludf.DUMMYFUNCTION("GOOGLETRANSLATE(B4045,""en"",""pt-br"")"),"negativo")</f>
        <v>negativo</v>
      </c>
    </row>
    <row r="4046" ht="15.75" customHeight="1">
      <c r="A4046" s="2" t="s">
        <v>4045</v>
      </c>
      <c r="B4046" s="2" t="s">
        <v>3</v>
      </c>
      <c r="C4046" s="1" t="str">
        <f>IFERROR(__xludf.DUMMYFUNCTION("GOOGLETRANSLATE(A4046,""en"",""pt-br"")"),"lama")</f>
        <v>lama</v>
      </c>
      <c r="D4046" s="1" t="str">
        <f>IFERROR(__xludf.DUMMYFUNCTION("GOOGLETRANSLATE(B4046,""en"",""pt-br"")"),"negativo")</f>
        <v>negativo</v>
      </c>
    </row>
    <row r="4047" ht="15.75" customHeight="1">
      <c r="A4047" s="2" t="s">
        <v>4046</v>
      </c>
      <c r="B4047" s="2" t="s">
        <v>3</v>
      </c>
      <c r="C4047" s="1" t="str">
        <f>IFERROR(__xludf.DUMMYFUNCTION("GOOGLETRANSLATE(A4047,""en"",""pt-br"")"),"desalinhar")</f>
        <v>desalinhar</v>
      </c>
      <c r="D4047" s="1" t="str">
        <f>IFERROR(__xludf.DUMMYFUNCTION("GOOGLETRANSLATE(B4047,""en"",""pt-br"")"),"negativo")</f>
        <v>negativo</v>
      </c>
    </row>
    <row r="4048" ht="15.75" customHeight="1">
      <c r="A4048" s="2" t="s">
        <v>4047</v>
      </c>
      <c r="B4048" s="2" t="s">
        <v>3</v>
      </c>
      <c r="C4048" s="1" t="str">
        <f>IFERROR(__xludf.DUMMYFUNCTION("GOOGLETRANSLATE(A4048,""en"",""pt-br"")"),"desalinhado")</f>
        <v>desalinhado</v>
      </c>
      <c r="D4048" s="1" t="str">
        <f>IFERROR(__xludf.DUMMYFUNCTION("GOOGLETRANSLATE(B4048,""en"",""pt-br"")"),"negativo")</f>
        <v>negativo</v>
      </c>
    </row>
    <row r="4049" ht="15.75" customHeight="1">
      <c r="A4049" s="2" t="s">
        <v>4048</v>
      </c>
      <c r="B4049" s="2" t="s">
        <v>3</v>
      </c>
      <c r="C4049" s="1" t="str">
        <f>IFERROR(__xludf.DUMMYFUNCTION("GOOGLETRANSLATE(A4049,""en"",""pt-br"")"),"desalinhada")</f>
        <v>desalinhada</v>
      </c>
      <c r="D4049" s="1" t="str">
        <f>IFERROR(__xludf.DUMMYFUNCTION("GOOGLETRANSLATE(B4049,""en"",""pt-br"")"),"negativo")</f>
        <v>negativo</v>
      </c>
    </row>
    <row r="4050" ht="15.75" customHeight="1">
      <c r="A4050" s="2" t="s">
        <v>4049</v>
      </c>
      <c r="B4050" s="2" t="s">
        <v>3</v>
      </c>
      <c r="C4050" s="1" t="str">
        <f>IFERROR(__xludf.DUMMYFUNCTION("GOOGLETRANSLATE(A4050,""en"",""pt-br"")"),"não entender bem")</f>
        <v>não entender bem</v>
      </c>
      <c r="D4050" s="1" t="str">
        <f>IFERROR(__xludf.DUMMYFUNCTION("GOOGLETRANSLATE(B4050,""en"",""pt-br"")"),"negativo")</f>
        <v>negativo</v>
      </c>
    </row>
    <row r="4051" ht="15.75" customHeight="1">
      <c r="A4051" s="2" t="s">
        <v>4050</v>
      </c>
      <c r="B4051" s="2" t="s">
        <v>3</v>
      </c>
      <c r="C4051" s="1" t="str">
        <f>IFERROR(__xludf.DUMMYFUNCTION("GOOGLETRANSLATE(A4051,""en"",""pt-br"")"),"não convir")</f>
        <v>não convir</v>
      </c>
      <c r="D4051" s="1" t="str">
        <f>IFERROR(__xludf.DUMMYFUNCTION("GOOGLETRANSLATE(B4051,""en"",""pt-br"")"),"negativo")</f>
        <v>negativo</v>
      </c>
    </row>
    <row r="4052" ht="15.75" customHeight="1">
      <c r="A4052" s="2" t="s">
        <v>4051</v>
      </c>
      <c r="B4052" s="2" t="s">
        <v>3</v>
      </c>
      <c r="C4052" s="1" t="str">
        <f>IFERROR(__xludf.DUMMYFUNCTION("GOOGLETRANSLATE(A4052,""en"",""pt-br"")"),"misbecoming")</f>
        <v>misbecoming</v>
      </c>
      <c r="D4052" s="1" t="str">
        <f>IFERROR(__xludf.DUMMYFUNCTION("GOOGLETRANSLATE(B4052,""en"",""pt-br"")"),"negativo")</f>
        <v>negativo</v>
      </c>
    </row>
    <row r="4053" ht="15.75" customHeight="1">
      <c r="A4053" s="2" t="s">
        <v>4052</v>
      </c>
      <c r="B4053" s="2" t="s">
        <v>3</v>
      </c>
      <c r="C4053" s="1" t="str">
        <f>IFERROR(__xludf.DUMMYFUNCTION("GOOGLETRANSLATE(A4053,""en"",""pt-br"")"),"ilegítimo")</f>
        <v>ilegítimo</v>
      </c>
      <c r="D4053" s="1" t="str">
        <f>IFERROR(__xludf.DUMMYFUNCTION("GOOGLETRANSLATE(B4053,""en"",""pt-br"")"),"negativo")</f>
        <v>negativo</v>
      </c>
    </row>
    <row r="4054" ht="15.75" customHeight="1">
      <c r="A4054" s="2" t="s">
        <v>4053</v>
      </c>
      <c r="B4054" s="2" t="s">
        <v>3</v>
      </c>
      <c r="C4054" s="1" t="str">
        <f>IFERROR(__xludf.DUMMYFUNCTION("GOOGLETRANSLATE(A4054,""en"",""pt-br"")"),"misbehave")</f>
        <v>misbehave</v>
      </c>
      <c r="D4054" s="1" t="str">
        <f>IFERROR(__xludf.DUMMYFUNCTION("GOOGLETRANSLATE(B4054,""en"",""pt-br"")"),"negativo")</f>
        <v>negativo</v>
      </c>
    </row>
    <row r="4055" ht="15.75" customHeight="1">
      <c r="A4055" s="2" t="s">
        <v>4054</v>
      </c>
      <c r="B4055" s="2" t="s">
        <v>3</v>
      </c>
      <c r="C4055" s="1" t="str">
        <f>IFERROR(__xludf.DUMMYFUNCTION("GOOGLETRANSLATE(A4055,""en"",""pt-br"")"),"mau comportamento")</f>
        <v>mau comportamento</v>
      </c>
      <c r="D4055" s="1" t="str">
        <f>IFERROR(__xludf.DUMMYFUNCTION("GOOGLETRANSLATE(B4055,""en"",""pt-br"")"),"negativo")</f>
        <v>negativo</v>
      </c>
    </row>
    <row r="4056" ht="15.75" customHeight="1">
      <c r="A4056" s="2" t="s">
        <v>4055</v>
      </c>
      <c r="B4056" s="2" t="s">
        <v>3</v>
      </c>
      <c r="C4056" s="1" t="str">
        <f>IFERROR(__xludf.DUMMYFUNCTION("GOOGLETRANSLATE(A4056,""en"",""pt-br"")"),"calcular mal")</f>
        <v>calcular mal</v>
      </c>
      <c r="D4056" s="1" t="str">
        <f>IFERROR(__xludf.DUMMYFUNCTION("GOOGLETRANSLATE(B4056,""en"",""pt-br"")"),"negativo")</f>
        <v>negativo</v>
      </c>
    </row>
    <row r="4057" ht="15.75" customHeight="1">
      <c r="A4057" s="2" t="s">
        <v>4056</v>
      </c>
      <c r="B4057" s="2" t="s">
        <v>3</v>
      </c>
      <c r="C4057" s="1" t="str">
        <f>IFERROR(__xludf.DUMMYFUNCTION("GOOGLETRANSLATE(A4057,""en"",""pt-br"")"),"erro de cálculo")</f>
        <v>erro de cálculo</v>
      </c>
      <c r="D4057" s="1" t="str">
        <f>IFERROR(__xludf.DUMMYFUNCTION("GOOGLETRANSLATE(B4057,""en"",""pt-br"")"),"negativo")</f>
        <v>negativo</v>
      </c>
    </row>
    <row r="4058" ht="15.75" customHeight="1">
      <c r="A4058" s="2" t="s">
        <v>4057</v>
      </c>
      <c r="B4058" s="2" t="s">
        <v>3</v>
      </c>
      <c r="C4058" s="1" t="str">
        <f>IFERROR(__xludf.DUMMYFUNCTION("GOOGLETRANSLATE(A4058,""en"",""pt-br"")"),"Diversos")</f>
        <v>Diversos</v>
      </c>
      <c r="D4058" s="1" t="str">
        <f>IFERROR(__xludf.DUMMYFUNCTION("GOOGLETRANSLATE(B4058,""en"",""pt-br"")"),"negativo")</f>
        <v>negativo</v>
      </c>
    </row>
    <row r="4059" ht="15.75" customHeight="1">
      <c r="A4059" s="2" t="s">
        <v>4058</v>
      </c>
      <c r="B4059" s="2" t="s">
        <v>3</v>
      </c>
      <c r="C4059" s="1" t="str">
        <f>IFERROR(__xludf.DUMMYFUNCTION("GOOGLETRANSLATE(A4059,""en"",""pt-br"")"),"travessura")</f>
        <v>travessura</v>
      </c>
      <c r="D4059" s="1" t="str">
        <f>IFERROR(__xludf.DUMMYFUNCTION("GOOGLETRANSLATE(B4059,""en"",""pt-br"")"),"negativo")</f>
        <v>negativo</v>
      </c>
    </row>
    <row r="4060" ht="15.75" customHeight="1">
      <c r="A4060" s="2" t="s">
        <v>4059</v>
      </c>
      <c r="B4060" s="2" t="s">
        <v>3</v>
      </c>
      <c r="C4060" s="1" t="str">
        <f>IFERROR(__xludf.DUMMYFUNCTION("GOOGLETRANSLATE(A4060,""en"",""pt-br"")"),"pernicioso")</f>
        <v>pernicioso</v>
      </c>
      <c r="D4060" s="1" t="str">
        <f>IFERROR(__xludf.DUMMYFUNCTION("GOOGLETRANSLATE(B4060,""en"",""pt-br"")"),"negativo")</f>
        <v>negativo</v>
      </c>
    </row>
    <row r="4061" ht="15.75" customHeight="1">
      <c r="A4061" s="2" t="s">
        <v>4060</v>
      </c>
      <c r="B4061" s="2" t="s">
        <v>3</v>
      </c>
      <c r="C4061" s="1" t="str">
        <f>IFERROR(__xludf.DUMMYFUNCTION("GOOGLETRANSLATE(A4061,""en"",""pt-br"")"),"maliciosamente")</f>
        <v>maliciosamente</v>
      </c>
      <c r="D4061" s="1" t="str">
        <f>IFERROR(__xludf.DUMMYFUNCTION("GOOGLETRANSLATE(B4061,""en"",""pt-br"")"),"negativo")</f>
        <v>negativo</v>
      </c>
    </row>
    <row r="4062" ht="15.75" customHeight="1">
      <c r="A4062" s="2" t="s">
        <v>4061</v>
      </c>
      <c r="B4062" s="2" t="s">
        <v>3</v>
      </c>
      <c r="C4062" s="1" t="str">
        <f>IFERROR(__xludf.DUMMYFUNCTION("GOOGLETRANSLATE(A4062,""en"",""pt-br"")"),"equívoco")</f>
        <v>equívoco</v>
      </c>
      <c r="D4062" s="1" t="str">
        <f>IFERROR(__xludf.DUMMYFUNCTION("GOOGLETRANSLATE(B4062,""en"",""pt-br"")"),"negativo")</f>
        <v>negativo</v>
      </c>
    </row>
    <row r="4063" ht="15.75" customHeight="1">
      <c r="A4063" s="2" t="s">
        <v>4062</v>
      </c>
      <c r="B4063" s="2" t="s">
        <v>3</v>
      </c>
      <c r="C4063" s="1" t="str">
        <f>IFERROR(__xludf.DUMMYFUNCTION("GOOGLETRANSLATE(A4063,""en"",""pt-br"")"),"equívocos")</f>
        <v>equívocos</v>
      </c>
      <c r="D4063" s="1" t="str">
        <f>IFERROR(__xludf.DUMMYFUNCTION("GOOGLETRANSLATE(B4063,""en"",""pt-br"")"),"negativo")</f>
        <v>negativo</v>
      </c>
    </row>
    <row r="4064" ht="15.75" customHeight="1">
      <c r="A4064" s="2" t="s">
        <v>4063</v>
      </c>
      <c r="B4064" s="2" t="s">
        <v>3</v>
      </c>
      <c r="C4064" s="1" t="str">
        <f>IFERROR(__xludf.DUMMYFUNCTION("GOOGLETRANSLATE(A4064,""en"",""pt-br"")"),"canalha")</f>
        <v>canalha</v>
      </c>
      <c r="D4064" s="1" t="str">
        <f>IFERROR(__xludf.DUMMYFUNCTION("GOOGLETRANSLATE(B4064,""en"",""pt-br"")"),"negativo")</f>
        <v>negativo</v>
      </c>
    </row>
    <row r="4065" ht="15.75" customHeight="1">
      <c r="A4065" s="2" t="s">
        <v>4064</v>
      </c>
      <c r="B4065" s="2" t="s">
        <v>3</v>
      </c>
      <c r="C4065" s="1" t="str">
        <f>IFERROR(__xludf.DUMMYFUNCTION("GOOGLETRANSLATE(A4065,""en"",""pt-br"")"),"meliantes")</f>
        <v>meliantes</v>
      </c>
      <c r="D4065" s="1" t="str">
        <f>IFERROR(__xludf.DUMMYFUNCTION("GOOGLETRANSLATE(B4065,""en"",""pt-br"")"),"negativo")</f>
        <v>negativo</v>
      </c>
    </row>
    <row r="4066" ht="15.75" customHeight="1">
      <c r="A4066" s="2" t="s">
        <v>4065</v>
      </c>
      <c r="B4066" s="2" t="s">
        <v>3</v>
      </c>
      <c r="C4066" s="1" t="str">
        <f>IFERROR(__xludf.DUMMYFUNCTION("GOOGLETRANSLATE(A4066,""en"",""pt-br"")"),"misdirection")</f>
        <v>misdirection</v>
      </c>
      <c r="D4066" s="1" t="str">
        <f>IFERROR(__xludf.DUMMYFUNCTION("GOOGLETRANSLATE(B4066,""en"",""pt-br"")"),"negativo")</f>
        <v>negativo</v>
      </c>
    </row>
    <row r="4067" ht="15.75" customHeight="1">
      <c r="A4067" s="2" t="s">
        <v>4066</v>
      </c>
      <c r="B4067" s="2" t="s">
        <v>3</v>
      </c>
      <c r="C4067" s="1" t="str">
        <f>IFERROR(__xludf.DUMMYFUNCTION("GOOGLETRANSLATE(A4067,""en"",""pt-br"")"),"avarento")</f>
        <v>avarento</v>
      </c>
      <c r="D4067" s="1" t="str">
        <f>IFERROR(__xludf.DUMMYFUNCTION("GOOGLETRANSLATE(B4067,""en"",""pt-br"")"),"negativo")</f>
        <v>negativo</v>
      </c>
    </row>
    <row r="4068" ht="15.75" customHeight="1">
      <c r="A4068" s="2" t="s">
        <v>4067</v>
      </c>
      <c r="B4068" s="2" t="s">
        <v>3</v>
      </c>
      <c r="C4068" s="1" t="str">
        <f>IFERROR(__xludf.DUMMYFUNCTION("GOOGLETRANSLATE(A4068,""en"",""pt-br"")"),"miserável")</f>
        <v>miserável</v>
      </c>
      <c r="D4068" s="1" t="str">
        <f>IFERROR(__xludf.DUMMYFUNCTION("GOOGLETRANSLATE(B4068,""en"",""pt-br"")"),"negativo")</f>
        <v>negativo</v>
      </c>
    </row>
    <row r="4069" ht="15.75" customHeight="1">
      <c r="A4069" s="2" t="s">
        <v>4068</v>
      </c>
      <c r="B4069" s="2" t="s">
        <v>3</v>
      </c>
      <c r="C4069" s="1" t="str">
        <f>IFERROR(__xludf.DUMMYFUNCTION("GOOGLETRANSLATE(A4069,""en"",""pt-br"")"),"miserableness")</f>
        <v>miserableness</v>
      </c>
      <c r="D4069" s="1" t="str">
        <f>IFERROR(__xludf.DUMMYFUNCTION("GOOGLETRANSLATE(B4069,""en"",""pt-br"")"),"negativo")</f>
        <v>negativo</v>
      </c>
    </row>
    <row r="4070" ht="15.75" customHeight="1">
      <c r="A4070" s="2" t="s">
        <v>4069</v>
      </c>
      <c r="B4070" s="2" t="s">
        <v>3</v>
      </c>
      <c r="C4070" s="1" t="str">
        <f>IFERROR(__xludf.DUMMYFUNCTION("GOOGLETRANSLATE(A4070,""en"",""pt-br"")"),"miseravelmente")</f>
        <v>miseravelmente</v>
      </c>
      <c r="D4070" s="1" t="str">
        <f>IFERROR(__xludf.DUMMYFUNCTION("GOOGLETRANSLATE(B4070,""en"",""pt-br"")"),"negativo")</f>
        <v>negativo</v>
      </c>
    </row>
    <row r="4071" ht="15.75" customHeight="1">
      <c r="A4071" s="2" t="s">
        <v>4070</v>
      </c>
      <c r="B4071" s="2" t="s">
        <v>3</v>
      </c>
      <c r="C4071" s="1" t="str">
        <f>IFERROR(__xludf.DUMMYFUNCTION("GOOGLETRANSLATE(A4071,""en"",""pt-br"")"),"misérias")</f>
        <v>misérias</v>
      </c>
      <c r="D4071" s="1" t="str">
        <f>IFERROR(__xludf.DUMMYFUNCTION("GOOGLETRANSLATE(B4071,""en"",""pt-br"")"),"negativo")</f>
        <v>negativo</v>
      </c>
    </row>
    <row r="4072" ht="15.75" customHeight="1">
      <c r="A4072" s="2" t="s">
        <v>4071</v>
      </c>
      <c r="B4072" s="2" t="s">
        <v>3</v>
      </c>
      <c r="C4072" s="1" t="str">
        <f>IFERROR(__xludf.DUMMYFUNCTION("GOOGLETRANSLATE(A4072,""en"",""pt-br"")"),"avarento")</f>
        <v>avarento</v>
      </c>
      <c r="D4072" s="1" t="str">
        <f>IFERROR(__xludf.DUMMYFUNCTION("GOOGLETRANSLATE(B4072,""en"",""pt-br"")"),"negativo")</f>
        <v>negativo</v>
      </c>
    </row>
    <row r="4073" ht="15.75" customHeight="1">
      <c r="A4073" s="2" t="s">
        <v>4072</v>
      </c>
      <c r="B4073" s="2" t="s">
        <v>3</v>
      </c>
      <c r="C4073" s="1" t="str">
        <f>IFERROR(__xludf.DUMMYFUNCTION("GOOGLETRANSLATE(A4073,""en"",""pt-br"")"),"miséria")</f>
        <v>miséria</v>
      </c>
      <c r="D4073" s="1" t="str">
        <f>IFERROR(__xludf.DUMMYFUNCTION("GOOGLETRANSLATE(B4073,""en"",""pt-br"")"),"negativo")</f>
        <v>negativo</v>
      </c>
    </row>
    <row r="4074" ht="15.75" customHeight="1">
      <c r="A4074" s="2" t="s">
        <v>4073</v>
      </c>
      <c r="B4074" s="2" t="s">
        <v>3</v>
      </c>
      <c r="C4074" s="1" t="str">
        <f>IFERROR(__xludf.DUMMYFUNCTION("GOOGLETRANSLATE(A4074,""en"",""pt-br"")"),"pessoa desajeitada")</f>
        <v>pessoa desajeitada</v>
      </c>
      <c r="D4074" s="1" t="str">
        <f>IFERROR(__xludf.DUMMYFUNCTION("GOOGLETRANSLATE(B4074,""en"",""pt-br"")"),"negativo")</f>
        <v>negativo</v>
      </c>
    </row>
    <row r="4075" ht="15.75" customHeight="1">
      <c r="A4075" s="2" t="s">
        <v>4074</v>
      </c>
      <c r="B4075" s="2" t="s">
        <v>3</v>
      </c>
      <c r="C4075" s="1" t="str">
        <f>IFERROR(__xludf.DUMMYFUNCTION("GOOGLETRANSLATE(A4075,""en"",""pt-br"")"),"infortúnio")</f>
        <v>infortúnio</v>
      </c>
      <c r="D4075" s="1" t="str">
        <f>IFERROR(__xludf.DUMMYFUNCTION("GOOGLETRANSLATE(B4075,""en"",""pt-br"")"),"negativo")</f>
        <v>negativo</v>
      </c>
    </row>
    <row r="4076" ht="15.75" customHeight="1">
      <c r="A4076" s="2" t="s">
        <v>4075</v>
      </c>
      <c r="B4076" s="2" t="s">
        <v>3</v>
      </c>
      <c r="C4076" s="1" t="str">
        <f>IFERROR(__xludf.DUMMYFUNCTION("GOOGLETRANSLATE(A4076,""en"",""pt-br"")"),"apreensão")</f>
        <v>apreensão</v>
      </c>
      <c r="D4076" s="1" t="str">
        <f>IFERROR(__xludf.DUMMYFUNCTION("GOOGLETRANSLATE(B4076,""en"",""pt-br"")"),"negativo")</f>
        <v>negativo</v>
      </c>
    </row>
    <row r="4077" ht="15.75" customHeight="1">
      <c r="A4077" s="2" t="s">
        <v>4076</v>
      </c>
      <c r="B4077" s="2" t="s">
        <v>3</v>
      </c>
      <c r="C4077" s="1" t="str">
        <f>IFERROR(__xludf.DUMMYFUNCTION("GOOGLETRANSLATE(A4077,""en"",""pt-br"")"),"misgivings")</f>
        <v>misgivings</v>
      </c>
      <c r="D4077" s="1" t="str">
        <f>IFERROR(__xludf.DUMMYFUNCTION("GOOGLETRANSLATE(B4077,""en"",""pt-br"")"),"negativo")</f>
        <v>negativo</v>
      </c>
    </row>
    <row r="4078" ht="15.75" customHeight="1">
      <c r="A4078" s="2" t="s">
        <v>4077</v>
      </c>
      <c r="B4078" s="2" t="s">
        <v>3</v>
      </c>
      <c r="C4078" s="1" t="str">
        <f>IFERROR(__xludf.DUMMYFUNCTION("GOOGLETRANSLATE(A4078,""en"",""pt-br"")"),"má orientação")</f>
        <v>má orientação</v>
      </c>
      <c r="D4078" s="1" t="str">
        <f>IFERROR(__xludf.DUMMYFUNCTION("GOOGLETRANSLATE(B4078,""en"",""pt-br"")"),"negativo")</f>
        <v>negativo</v>
      </c>
    </row>
    <row r="4079" ht="15.75" customHeight="1">
      <c r="A4079" s="2" t="s">
        <v>4078</v>
      </c>
      <c r="B4079" s="2" t="s">
        <v>3</v>
      </c>
      <c r="C4079" s="1" t="str">
        <f>IFERROR(__xludf.DUMMYFUNCTION("GOOGLETRANSLATE(A4079,""en"",""pt-br"")"),"desencaminhar")</f>
        <v>desencaminhar</v>
      </c>
      <c r="D4079" s="1" t="str">
        <f>IFERROR(__xludf.DUMMYFUNCTION("GOOGLETRANSLATE(B4079,""en"",""pt-br"")"),"negativo")</f>
        <v>negativo</v>
      </c>
    </row>
    <row r="4080" ht="15.75" customHeight="1">
      <c r="A4080" s="2" t="s">
        <v>4079</v>
      </c>
      <c r="B4080" s="2" t="s">
        <v>3</v>
      </c>
      <c r="C4080" s="1" t="str">
        <f>IFERROR(__xludf.DUMMYFUNCTION("GOOGLETRANSLATE(A4080,""en"",""pt-br"")"),"extraviado")</f>
        <v>extraviado</v>
      </c>
      <c r="D4080" s="1" t="str">
        <f>IFERROR(__xludf.DUMMYFUNCTION("GOOGLETRANSLATE(B4080,""en"",""pt-br"")"),"negativo")</f>
        <v>negativo</v>
      </c>
    </row>
    <row r="4081" ht="15.75" customHeight="1">
      <c r="A4081" s="2" t="s">
        <v>4080</v>
      </c>
      <c r="B4081" s="2" t="s">
        <v>3</v>
      </c>
      <c r="C4081" s="1" t="str">
        <f>IFERROR(__xludf.DUMMYFUNCTION("GOOGLETRANSLATE(A4081,""en"",""pt-br"")"),"maltratar")</f>
        <v>maltratar</v>
      </c>
      <c r="D4081" s="1" t="str">
        <f>IFERROR(__xludf.DUMMYFUNCTION("GOOGLETRANSLATE(B4081,""en"",""pt-br"")"),"negativo")</f>
        <v>negativo</v>
      </c>
    </row>
    <row r="4082" ht="15.75" customHeight="1">
      <c r="A4082" s="2" t="s">
        <v>4081</v>
      </c>
      <c r="B4082" s="2" t="s">
        <v>3</v>
      </c>
      <c r="C4082" s="1" t="str">
        <f>IFERROR(__xludf.DUMMYFUNCTION("GOOGLETRANSLATE(A4082,""en"",""pt-br"")"),"acidente")</f>
        <v>acidente</v>
      </c>
      <c r="D4082" s="1" t="str">
        <f>IFERROR(__xludf.DUMMYFUNCTION("GOOGLETRANSLATE(B4082,""en"",""pt-br"")"),"negativo")</f>
        <v>negativo</v>
      </c>
    </row>
    <row r="4083" ht="15.75" customHeight="1">
      <c r="A4083" s="2" t="s">
        <v>4082</v>
      </c>
      <c r="B4083" s="2" t="s">
        <v>3</v>
      </c>
      <c r="C4083" s="1" t="str">
        <f>IFERROR(__xludf.DUMMYFUNCTION("GOOGLETRANSLATE(A4083,""en"",""pt-br"")"),"misinform")</f>
        <v>misinform</v>
      </c>
      <c r="D4083" s="1" t="str">
        <f>IFERROR(__xludf.DUMMYFUNCTION("GOOGLETRANSLATE(B4083,""en"",""pt-br"")"),"negativo")</f>
        <v>negativo</v>
      </c>
    </row>
    <row r="4084" ht="15.75" customHeight="1">
      <c r="A4084" s="2" t="s">
        <v>4083</v>
      </c>
      <c r="B4084" s="2" t="s">
        <v>3</v>
      </c>
      <c r="C4084" s="1" t="str">
        <f>IFERROR(__xludf.DUMMYFUNCTION("GOOGLETRANSLATE(A4084,""en"",""pt-br"")"),"mal informado")</f>
        <v>mal informado</v>
      </c>
      <c r="D4084" s="1" t="str">
        <f>IFERROR(__xludf.DUMMYFUNCTION("GOOGLETRANSLATE(B4084,""en"",""pt-br"")"),"negativo")</f>
        <v>negativo</v>
      </c>
    </row>
    <row r="4085" ht="15.75" customHeight="1">
      <c r="A4085" s="2" t="s">
        <v>4084</v>
      </c>
      <c r="B4085" s="2" t="s">
        <v>3</v>
      </c>
      <c r="C4085" s="1" t="str">
        <f>IFERROR(__xludf.DUMMYFUNCTION("GOOGLETRANSLATE(A4085,""en"",""pt-br"")"),"interpretar mal")</f>
        <v>interpretar mal</v>
      </c>
      <c r="D4085" s="1" t="str">
        <f>IFERROR(__xludf.DUMMYFUNCTION("GOOGLETRANSLATE(B4085,""en"",""pt-br"")"),"negativo")</f>
        <v>negativo</v>
      </c>
    </row>
    <row r="4086" ht="15.75" customHeight="1">
      <c r="A4086" s="2" t="s">
        <v>4085</v>
      </c>
      <c r="B4086" s="2" t="s">
        <v>3</v>
      </c>
      <c r="C4086" s="1" t="str">
        <f>IFERROR(__xludf.DUMMYFUNCTION("GOOGLETRANSLATE(A4086,""en"",""pt-br"")"),"misjudge")</f>
        <v>misjudge</v>
      </c>
      <c r="D4086" s="1" t="str">
        <f>IFERROR(__xludf.DUMMYFUNCTION("GOOGLETRANSLATE(B4086,""en"",""pt-br"")"),"negativo")</f>
        <v>negativo</v>
      </c>
    </row>
    <row r="4087" ht="15.75" customHeight="1">
      <c r="A4087" s="2" t="s">
        <v>4086</v>
      </c>
      <c r="B4087" s="2" t="s">
        <v>3</v>
      </c>
      <c r="C4087" s="1" t="str">
        <f>IFERROR(__xludf.DUMMYFUNCTION("GOOGLETRANSLATE(A4087,""en"",""pt-br"")"),"equívoco")</f>
        <v>equívoco</v>
      </c>
      <c r="D4087" s="1" t="str">
        <f>IFERROR(__xludf.DUMMYFUNCTION("GOOGLETRANSLATE(B4087,""en"",""pt-br"")"),"negativo")</f>
        <v>negativo</v>
      </c>
    </row>
    <row r="4088" ht="15.75" customHeight="1">
      <c r="A4088" s="2" t="s">
        <v>4087</v>
      </c>
      <c r="B4088" s="2" t="s">
        <v>3</v>
      </c>
      <c r="C4088" s="1" t="str">
        <f>IFERROR(__xludf.DUMMYFUNCTION("GOOGLETRANSLATE(A4088,""en"",""pt-br"")"),"enganar")</f>
        <v>enganar</v>
      </c>
      <c r="D4088" s="1" t="str">
        <f>IFERROR(__xludf.DUMMYFUNCTION("GOOGLETRANSLATE(B4088,""en"",""pt-br"")"),"negativo")</f>
        <v>negativo</v>
      </c>
    </row>
    <row r="4089" ht="15.75" customHeight="1">
      <c r="A4089" s="2" t="s">
        <v>4088</v>
      </c>
      <c r="B4089" s="2" t="s">
        <v>3</v>
      </c>
      <c r="C4089" s="1" t="str">
        <f>IFERROR(__xludf.DUMMYFUNCTION("GOOGLETRANSLATE(A4089,""en"",""pt-br"")"),"enganosa")</f>
        <v>enganosa</v>
      </c>
      <c r="D4089" s="1" t="str">
        <f>IFERROR(__xludf.DUMMYFUNCTION("GOOGLETRANSLATE(B4089,""en"",""pt-br"")"),"negativo")</f>
        <v>negativo</v>
      </c>
    </row>
    <row r="4090" ht="15.75" customHeight="1">
      <c r="A4090" s="2" t="s">
        <v>4089</v>
      </c>
      <c r="B4090" s="2" t="s">
        <v>3</v>
      </c>
      <c r="C4090" s="1" t="str">
        <f>IFERROR(__xludf.DUMMYFUNCTION("GOOGLETRANSLATE(A4090,""en"",""pt-br"")"),"misleadingly")</f>
        <v>misleadingly</v>
      </c>
      <c r="D4090" s="1" t="str">
        <f>IFERROR(__xludf.DUMMYFUNCTION("GOOGLETRANSLATE(B4090,""en"",""pt-br"")"),"negativo")</f>
        <v>negativo</v>
      </c>
    </row>
    <row r="4091" ht="15.75" customHeight="1">
      <c r="A4091" s="2" t="s">
        <v>4090</v>
      </c>
      <c r="B4091" s="2" t="s">
        <v>3</v>
      </c>
      <c r="C4091" s="1" t="str">
        <f>IFERROR(__xludf.DUMMYFUNCTION("GOOGLETRANSLATE(A4091,""en"",""pt-br"")"),"mislike")</f>
        <v>mislike</v>
      </c>
      <c r="D4091" s="1" t="str">
        <f>IFERROR(__xludf.DUMMYFUNCTION("GOOGLETRANSLATE(B4091,""en"",""pt-br"")"),"negativo")</f>
        <v>negativo</v>
      </c>
    </row>
    <row r="4092" ht="15.75" customHeight="1">
      <c r="A4092" s="2" t="s">
        <v>4091</v>
      </c>
      <c r="B4092" s="2" t="s">
        <v>3</v>
      </c>
      <c r="C4092" s="1" t="str">
        <f>IFERROR(__xludf.DUMMYFUNCTION("GOOGLETRANSLATE(A4092,""en"",""pt-br"")"),"gerir mal")</f>
        <v>gerir mal</v>
      </c>
      <c r="D4092" s="1" t="str">
        <f>IFERROR(__xludf.DUMMYFUNCTION("GOOGLETRANSLATE(B4092,""en"",""pt-br"")"),"negativo")</f>
        <v>negativo</v>
      </c>
    </row>
    <row r="4093" ht="15.75" customHeight="1">
      <c r="A4093" s="2" t="s">
        <v>4092</v>
      </c>
      <c r="B4093" s="2" t="s">
        <v>3</v>
      </c>
      <c r="C4093" s="1" t="str">
        <f>IFERROR(__xludf.DUMMYFUNCTION("GOOGLETRANSLATE(A4093,""en"",""pt-br"")"),"mispronounce")</f>
        <v>mispronounce</v>
      </c>
      <c r="D4093" s="1" t="str">
        <f>IFERROR(__xludf.DUMMYFUNCTION("GOOGLETRANSLATE(B4093,""en"",""pt-br"")"),"negativo")</f>
        <v>negativo</v>
      </c>
    </row>
    <row r="4094" ht="15.75" customHeight="1">
      <c r="A4094" s="2" t="s">
        <v>4093</v>
      </c>
      <c r="B4094" s="2" t="s">
        <v>3</v>
      </c>
      <c r="C4094" s="1" t="str">
        <f>IFERROR(__xludf.DUMMYFUNCTION("GOOGLETRANSLATE(A4094,""en"",""pt-br"")"),"pronunciada mal")</f>
        <v>pronunciada mal</v>
      </c>
      <c r="D4094" s="1" t="str">
        <f>IFERROR(__xludf.DUMMYFUNCTION("GOOGLETRANSLATE(B4094,""en"",""pt-br"")"),"negativo")</f>
        <v>negativo</v>
      </c>
    </row>
    <row r="4095" ht="15.75" customHeight="1">
      <c r="A4095" s="2" t="s">
        <v>4094</v>
      </c>
      <c r="B4095" s="2" t="s">
        <v>3</v>
      </c>
      <c r="C4095" s="1" t="str">
        <f>IFERROR(__xludf.DUMMYFUNCTION("GOOGLETRANSLATE(A4095,""en"",""pt-br"")"),"mispronounces")</f>
        <v>mispronounces</v>
      </c>
      <c r="D4095" s="1" t="str">
        <f>IFERROR(__xludf.DUMMYFUNCTION("GOOGLETRANSLATE(B4095,""en"",""pt-br"")"),"negativo")</f>
        <v>negativo</v>
      </c>
    </row>
    <row r="4096" ht="15.75" customHeight="1">
      <c r="A4096" s="2" t="s">
        <v>4095</v>
      </c>
      <c r="B4096" s="2" t="s">
        <v>3</v>
      </c>
      <c r="C4096" s="1" t="str">
        <f>IFERROR(__xludf.DUMMYFUNCTION("GOOGLETRANSLATE(A4096,""en"",""pt-br"")"),"interpretar mal")</f>
        <v>interpretar mal</v>
      </c>
      <c r="D4096" s="1" t="str">
        <f>IFERROR(__xludf.DUMMYFUNCTION("GOOGLETRANSLATE(B4096,""en"",""pt-br"")"),"negativo")</f>
        <v>negativo</v>
      </c>
    </row>
    <row r="4097" ht="15.75" customHeight="1">
      <c r="A4097" s="2" t="s">
        <v>4096</v>
      </c>
      <c r="B4097" s="2" t="s">
        <v>3</v>
      </c>
      <c r="C4097" s="1" t="str">
        <f>IFERROR(__xludf.DUMMYFUNCTION("GOOGLETRANSLATE(A4097,""en"",""pt-br"")"),"leitura errada")</f>
        <v>leitura errada</v>
      </c>
      <c r="D4097" s="1" t="str">
        <f>IFERROR(__xludf.DUMMYFUNCTION("GOOGLETRANSLATE(B4097,""en"",""pt-br"")"),"negativo")</f>
        <v>negativo</v>
      </c>
    </row>
    <row r="4098" ht="15.75" customHeight="1">
      <c r="A4098" s="2" t="s">
        <v>4097</v>
      </c>
      <c r="B4098" s="2" t="s">
        <v>3</v>
      </c>
      <c r="C4098" s="1" t="str">
        <f>IFERROR(__xludf.DUMMYFUNCTION("GOOGLETRANSLATE(A4098,""en"",""pt-br"")"),"deturpar")</f>
        <v>deturpar</v>
      </c>
      <c r="D4098" s="1" t="str">
        <f>IFERROR(__xludf.DUMMYFUNCTION("GOOGLETRANSLATE(B4098,""en"",""pt-br"")"),"negativo")</f>
        <v>negativo</v>
      </c>
    </row>
    <row r="4099" ht="15.75" customHeight="1">
      <c r="A4099" s="2" t="s">
        <v>4098</v>
      </c>
      <c r="B4099" s="2" t="s">
        <v>3</v>
      </c>
      <c r="C4099" s="1" t="str">
        <f>IFERROR(__xludf.DUMMYFUNCTION("GOOGLETRANSLATE(A4099,""en"",""pt-br"")"),"deturpação")</f>
        <v>deturpação</v>
      </c>
      <c r="D4099" s="1" t="str">
        <f>IFERROR(__xludf.DUMMYFUNCTION("GOOGLETRANSLATE(B4099,""en"",""pt-br"")"),"negativo")</f>
        <v>negativo</v>
      </c>
    </row>
    <row r="4100" ht="15.75" customHeight="1">
      <c r="A4100" s="2" t="s">
        <v>4099</v>
      </c>
      <c r="B4100" s="2" t="s">
        <v>3</v>
      </c>
      <c r="C4100" s="1" t="str">
        <f>IFERROR(__xludf.DUMMYFUNCTION("GOOGLETRANSLATE(A4100,""en"",""pt-br"")"),"senhorita")</f>
        <v>senhorita</v>
      </c>
      <c r="D4100" s="1" t="str">
        <f>IFERROR(__xludf.DUMMYFUNCTION("GOOGLETRANSLATE(B4100,""en"",""pt-br"")"),"negativo")</f>
        <v>negativo</v>
      </c>
    </row>
    <row r="4101" ht="15.75" customHeight="1">
      <c r="A4101" s="2" t="s">
        <v>4100</v>
      </c>
      <c r="B4101" s="2" t="s">
        <v>3</v>
      </c>
      <c r="C4101" s="1" t="str">
        <f>IFERROR(__xludf.DUMMYFUNCTION("GOOGLETRANSLATE(A4101,""en"",""pt-br"")"),"perdido")</f>
        <v>perdido</v>
      </c>
      <c r="D4101" s="1" t="str">
        <f>IFERROR(__xludf.DUMMYFUNCTION("GOOGLETRANSLATE(B4101,""en"",""pt-br"")"),"negativo")</f>
        <v>negativo</v>
      </c>
    </row>
    <row r="4102" ht="15.75" customHeight="1">
      <c r="A4102" s="2" t="s">
        <v>4101</v>
      </c>
      <c r="B4102" s="2" t="s">
        <v>3</v>
      </c>
      <c r="C4102" s="1" t="str">
        <f>IFERROR(__xludf.DUMMYFUNCTION("GOOGLETRANSLATE(A4102,""en"",""pt-br"")"),"sente falta")</f>
        <v>sente falta</v>
      </c>
      <c r="D4102" s="1" t="str">
        <f>IFERROR(__xludf.DUMMYFUNCTION("GOOGLETRANSLATE(B4102,""en"",""pt-br"")"),"negativo")</f>
        <v>negativo</v>
      </c>
    </row>
    <row r="4103" ht="15.75" customHeight="1">
      <c r="A4103" s="2" t="s">
        <v>4102</v>
      </c>
      <c r="B4103" s="2" t="s">
        <v>3</v>
      </c>
      <c r="C4103" s="1" t="str">
        <f>IFERROR(__xludf.DUMMYFUNCTION("GOOGLETRANSLATE(A4103,""en"",""pt-br"")"),"distorção")</f>
        <v>distorção</v>
      </c>
      <c r="D4103" s="1" t="str">
        <f>IFERROR(__xludf.DUMMYFUNCTION("GOOGLETRANSLATE(B4103,""en"",""pt-br"")"),"negativo")</f>
        <v>negativo</v>
      </c>
    </row>
    <row r="4104" ht="15.75" customHeight="1">
      <c r="A4104" s="2" t="s">
        <v>4103</v>
      </c>
      <c r="B4104" s="2" t="s">
        <v>3</v>
      </c>
      <c r="C4104" s="1" t="str">
        <f>IFERROR(__xludf.DUMMYFUNCTION("GOOGLETRANSLATE(A4104,""en"",""pt-br"")"),"névoa")</f>
        <v>névoa</v>
      </c>
      <c r="D4104" s="1" t="str">
        <f>IFERROR(__xludf.DUMMYFUNCTION("GOOGLETRANSLATE(B4104,""en"",""pt-br"")"),"negativo")</f>
        <v>negativo</v>
      </c>
    </row>
    <row r="4105" ht="15.75" customHeight="1">
      <c r="A4105" s="2" t="s">
        <v>4104</v>
      </c>
      <c r="B4105" s="2" t="s">
        <v>3</v>
      </c>
      <c r="C4105" s="1" t="str">
        <f>IFERROR(__xludf.DUMMYFUNCTION("GOOGLETRANSLATE(A4105,""en"",""pt-br"")"),"erro")</f>
        <v>erro</v>
      </c>
      <c r="D4105" s="1" t="str">
        <f>IFERROR(__xludf.DUMMYFUNCTION("GOOGLETRANSLATE(B4105,""en"",""pt-br"")"),"negativo")</f>
        <v>negativo</v>
      </c>
    </row>
    <row r="4106" ht="15.75" customHeight="1">
      <c r="A4106" s="2" t="s">
        <v>4105</v>
      </c>
      <c r="B4106" s="2" t="s">
        <v>3</v>
      </c>
      <c r="C4106" s="1" t="str">
        <f>IFERROR(__xludf.DUMMYFUNCTION("GOOGLETRANSLATE(A4106,""en"",""pt-br"")"),"enganado")</f>
        <v>enganado</v>
      </c>
      <c r="D4106" s="1" t="str">
        <f>IFERROR(__xludf.DUMMYFUNCTION("GOOGLETRANSLATE(B4106,""en"",""pt-br"")"),"negativo")</f>
        <v>negativo</v>
      </c>
    </row>
    <row r="4107" ht="15.75" customHeight="1">
      <c r="A4107" s="2" t="s">
        <v>4106</v>
      </c>
      <c r="B4107" s="2" t="s">
        <v>3</v>
      </c>
      <c r="C4107" s="1" t="str">
        <f>IFERROR(__xludf.DUMMYFUNCTION("GOOGLETRANSLATE(A4107,""en"",""pt-br"")"),"por engano")</f>
        <v>por engano</v>
      </c>
      <c r="D4107" s="1" t="str">
        <f>IFERROR(__xludf.DUMMYFUNCTION("GOOGLETRANSLATE(B4107,""en"",""pt-br"")"),"negativo")</f>
        <v>negativo</v>
      </c>
    </row>
    <row r="4108" ht="15.75" customHeight="1">
      <c r="A4108" s="2" t="s">
        <v>4107</v>
      </c>
      <c r="B4108" s="2" t="s">
        <v>3</v>
      </c>
      <c r="C4108" s="1" t="str">
        <f>IFERROR(__xludf.DUMMYFUNCTION("GOOGLETRANSLATE(A4108,""en"",""pt-br"")"),"erros")</f>
        <v>erros</v>
      </c>
      <c r="D4108" s="1" t="str">
        <f>IFERROR(__xludf.DUMMYFUNCTION("GOOGLETRANSLATE(B4108,""en"",""pt-br"")"),"negativo")</f>
        <v>negativo</v>
      </c>
    </row>
    <row r="4109" ht="15.75" customHeight="1">
      <c r="A4109" s="2" t="s">
        <v>4108</v>
      </c>
      <c r="B4109" s="2" t="s">
        <v>3</v>
      </c>
      <c r="C4109" s="1" t="str">
        <f>IFERROR(__xludf.DUMMYFUNCTION("GOOGLETRANSLATE(A4109,""en"",""pt-br"")"),"mistified")</f>
        <v>mistified</v>
      </c>
      <c r="D4109" s="1" t="str">
        <f>IFERROR(__xludf.DUMMYFUNCTION("GOOGLETRANSLATE(B4109,""en"",""pt-br"")"),"negativo")</f>
        <v>negativo</v>
      </c>
    </row>
    <row r="4110" ht="15.75" customHeight="1">
      <c r="A4110" s="2" t="s">
        <v>4109</v>
      </c>
      <c r="B4110" s="2" t="s">
        <v>3</v>
      </c>
      <c r="C4110" s="1" t="str">
        <f>IFERROR(__xludf.DUMMYFUNCTION("GOOGLETRANSLATE(A4110,""en"",""pt-br"")"),"amante")</f>
        <v>amante</v>
      </c>
      <c r="D4110" s="1" t="str">
        <f>IFERROR(__xludf.DUMMYFUNCTION("GOOGLETRANSLATE(B4110,""en"",""pt-br"")"),"negativo")</f>
        <v>negativo</v>
      </c>
    </row>
    <row r="4111" ht="15.75" customHeight="1">
      <c r="A4111" s="2" t="s">
        <v>4110</v>
      </c>
      <c r="B4111" s="2" t="s">
        <v>3</v>
      </c>
      <c r="C4111" s="1" t="str">
        <f>IFERROR(__xludf.DUMMYFUNCTION("GOOGLETRANSLATE(A4111,""en"",""pt-br"")"),"desconfiança")</f>
        <v>desconfiança</v>
      </c>
      <c r="D4111" s="1" t="str">
        <f>IFERROR(__xludf.DUMMYFUNCTION("GOOGLETRANSLATE(B4111,""en"",""pt-br"")"),"negativo")</f>
        <v>negativo</v>
      </c>
    </row>
    <row r="4112" ht="15.75" customHeight="1">
      <c r="A4112" s="2" t="s">
        <v>4111</v>
      </c>
      <c r="B4112" s="2" t="s">
        <v>3</v>
      </c>
      <c r="C4112" s="1" t="str">
        <f>IFERROR(__xludf.DUMMYFUNCTION("GOOGLETRANSLATE(A4112,""en"",""pt-br"")"),"desconfiado")</f>
        <v>desconfiado</v>
      </c>
      <c r="D4112" s="1" t="str">
        <f>IFERROR(__xludf.DUMMYFUNCTION("GOOGLETRANSLATE(B4112,""en"",""pt-br"")"),"negativo")</f>
        <v>negativo</v>
      </c>
    </row>
    <row r="4113" ht="15.75" customHeight="1">
      <c r="A4113" s="2" t="s">
        <v>4112</v>
      </c>
      <c r="B4113" s="2" t="s">
        <v>3</v>
      </c>
      <c r="C4113" s="1" t="str">
        <f>IFERROR(__xludf.DUMMYFUNCTION("GOOGLETRANSLATE(A4113,""en"",""pt-br"")"),"desconfiado")</f>
        <v>desconfiado</v>
      </c>
      <c r="D4113" s="1" t="str">
        <f>IFERROR(__xludf.DUMMYFUNCTION("GOOGLETRANSLATE(B4113,""en"",""pt-br"")"),"negativo")</f>
        <v>negativo</v>
      </c>
    </row>
    <row r="4114" ht="15.75" customHeight="1">
      <c r="A4114" s="2" t="s">
        <v>4113</v>
      </c>
      <c r="B4114" s="2" t="s">
        <v>3</v>
      </c>
      <c r="C4114" s="1" t="str">
        <f>IFERROR(__xludf.DUMMYFUNCTION("GOOGLETRANSLATE(A4114,""en"",""pt-br"")"),"névoas")</f>
        <v>névoas</v>
      </c>
      <c r="D4114" s="1" t="str">
        <f>IFERROR(__xludf.DUMMYFUNCTION("GOOGLETRANSLATE(B4114,""en"",""pt-br"")"),"negativo")</f>
        <v>negativo</v>
      </c>
    </row>
    <row r="4115" ht="15.75" customHeight="1">
      <c r="A4115" s="2" t="s">
        <v>4114</v>
      </c>
      <c r="B4115" s="2" t="s">
        <v>3</v>
      </c>
      <c r="C4115" s="1" t="str">
        <f>IFERROR(__xludf.DUMMYFUNCTION("GOOGLETRANSLATE(A4115,""en"",""pt-br"")"),"misunderstand")</f>
        <v>misunderstand</v>
      </c>
      <c r="D4115" s="1" t="str">
        <f>IFERROR(__xludf.DUMMYFUNCTION("GOOGLETRANSLATE(B4115,""en"",""pt-br"")"),"negativo")</f>
        <v>negativo</v>
      </c>
    </row>
    <row r="4116" ht="15.75" customHeight="1">
      <c r="A4116" s="2" t="s">
        <v>4115</v>
      </c>
      <c r="B4116" s="2" t="s">
        <v>3</v>
      </c>
      <c r="C4116" s="1" t="str">
        <f>IFERROR(__xludf.DUMMYFUNCTION("GOOGLETRANSLATE(A4116,""en"",""pt-br"")"),"mal entendido")</f>
        <v>mal entendido</v>
      </c>
      <c r="D4116" s="1" t="str">
        <f>IFERROR(__xludf.DUMMYFUNCTION("GOOGLETRANSLATE(B4116,""en"",""pt-br"")"),"negativo")</f>
        <v>negativo</v>
      </c>
    </row>
    <row r="4117" ht="15.75" customHeight="1">
      <c r="A4117" s="2" t="s">
        <v>4116</v>
      </c>
      <c r="B4117" s="2" t="s">
        <v>3</v>
      </c>
      <c r="C4117" s="1" t="str">
        <f>IFERROR(__xludf.DUMMYFUNCTION("GOOGLETRANSLATE(A4117,""en"",""pt-br"")"),"mal-entendidos")</f>
        <v>mal-entendidos</v>
      </c>
      <c r="D4117" s="1" t="str">
        <f>IFERROR(__xludf.DUMMYFUNCTION("GOOGLETRANSLATE(B4117,""en"",""pt-br"")"),"negativo")</f>
        <v>negativo</v>
      </c>
    </row>
    <row r="4118" ht="15.75" customHeight="1">
      <c r="A4118" s="2" t="s">
        <v>4117</v>
      </c>
      <c r="B4118" s="2" t="s">
        <v>3</v>
      </c>
      <c r="C4118" s="1" t="str">
        <f>IFERROR(__xludf.DUMMYFUNCTION("GOOGLETRANSLATE(A4118,""en"",""pt-br"")"),"incompreendido")</f>
        <v>incompreendido</v>
      </c>
      <c r="D4118" s="1" t="str">
        <f>IFERROR(__xludf.DUMMYFUNCTION("GOOGLETRANSLATE(B4118,""en"",""pt-br"")"),"negativo")</f>
        <v>negativo</v>
      </c>
    </row>
    <row r="4119" ht="15.75" customHeight="1">
      <c r="A4119" s="2" t="s">
        <v>4118</v>
      </c>
      <c r="B4119" s="2" t="s">
        <v>3</v>
      </c>
      <c r="C4119" s="1" t="str">
        <f>IFERROR(__xludf.DUMMYFUNCTION("GOOGLETRANSLATE(A4119,""en"",""pt-br"")"),"abuso")</f>
        <v>abuso</v>
      </c>
      <c r="D4119" s="1" t="str">
        <f>IFERROR(__xludf.DUMMYFUNCTION("GOOGLETRANSLATE(B4119,""en"",""pt-br"")"),"negativo")</f>
        <v>negativo</v>
      </c>
    </row>
    <row r="4120" ht="15.75" customHeight="1">
      <c r="A4120" s="2" t="s">
        <v>4119</v>
      </c>
      <c r="B4120" s="2" t="s">
        <v>3</v>
      </c>
      <c r="C4120" s="1" t="str">
        <f>IFERROR(__xludf.DUMMYFUNCTION("GOOGLETRANSLATE(A4120,""en"",""pt-br"")"),"gemido")</f>
        <v>gemido</v>
      </c>
      <c r="D4120" s="1" t="str">
        <f>IFERROR(__xludf.DUMMYFUNCTION("GOOGLETRANSLATE(B4120,""en"",""pt-br"")"),"negativo")</f>
        <v>negativo</v>
      </c>
    </row>
    <row r="4121" ht="15.75" customHeight="1">
      <c r="A4121" s="2" t="s">
        <v>4120</v>
      </c>
      <c r="B4121" s="2" t="s">
        <v>3</v>
      </c>
      <c r="C4121" s="1" t="str">
        <f>IFERROR(__xludf.DUMMYFUNCTION("GOOGLETRANSLATE(A4121,""en"",""pt-br"")"),"gângster")</f>
        <v>gângster</v>
      </c>
      <c r="D4121" s="1" t="str">
        <f>IFERROR(__xludf.DUMMYFUNCTION("GOOGLETRANSLATE(B4121,""en"",""pt-br"")"),"negativo")</f>
        <v>negativo</v>
      </c>
    </row>
    <row r="4122" ht="15.75" customHeight="1">
      <c r="A4122" s="2" t="s">
        <v>4121</v>
      </c>
      <c r="B4122" s="2" t="s">
        <v>3</v>
      </c>
      <c r="C4122" s="1" t="str">
        <f>IFERROR(__xludf.DUMMYFUNCTION("GOOGLETRANSLATE(A4122,""en"",""pt-br"")"),"zombar")</f>
        <v>zombar</v>
      </c>
      <c r="D4122" s="1" t="str">
        <f>IFERROR(__xludf.DUMMYFUNCTION("GOOGLETRANSLATE(B4122,""en"",""pt-br"")"),"negativo")</f>
        <v>negativo</v>
      </c>
    </row>
    <row r="4123" ht="15.75" customHeight="1">
      <c r="A4123" s="2" t="s">
        <v>4122</v>
      </c>
      <c r="B4123" s="2" t="s">
        <v>3</v>
      </c>
      <c r="C4123" s="1" t="str">
        <f>IFERROR(__xludf.DUMMYFUNCTION("GOOGLETRANSLATE(A4123,""en"",""pt-br"")"),"zombaram")</f>
        <v>zombaram</v>
      </c>
      <c r="D4123" s="1" t="str">
        <f>IFERROR(__xludf.DUMMYFUNCTION("GOOGLETRANSLATE(B4123,""en"",""pt-br"")"),"negativo")</f>
        <v>negativo</v>
      </c>
    </row>
    <row r="4124" ht="15.75" customHeight="1">
      <c r="A4124" s="2" t="s">
        <v>4123</v>
      </c>
      <c r="B4124" s="2" t="s">
        <v>3</v>
      </c>
      <c r="C4124" s="1" t="str">
        <f>IFERROR(__xludf.DUMMYFUNCTION("GOOGLETRANSLATE(A4124,""en"",""pt-br"")"),"zombarias")</f>
        <v>zombarias</v>
      </c>
      <c r="D4124" s="1" t="str">
        <f>IFERROR(__xludf.DUMMYFUNCTION("GOOGLETRANSLATE(B4124,""en"",""pt-br"")"),"negativo")</f>
        <v>negativo</v>
      </c>
    </row>
    <row r="4125" ht="15.75" customHeight="1">
      <c r="A4125" s="2" t="s">
        <v>4124</v>
      </c>
      <c r="B4125" s="2" t="s">
        <v>3</v>
      </c>
      <c r="C4125" s="1" t="str">
        <f>IFERROR(__xludf.DUMMYFUNCTION("GOOGLETRANSLATE(A4125,""en"",""pt-br"")"),"zombaria")</f>
        <v>zombaria</v>
      </c>
      <c r="D4125" s="1" t="str">
        <f>IFERROR(__xludf.DUMMYFUNCTION("GOOGLETRANSLATE(B4125,""en"",""pt-br"")"),"negativo")</f>
        <v>negativo</v>
      </c>
    </row>
    <row r="4126" ht="15.75" customHeight="1">
      <c r="A4126" s="2" t="s">
        <v>4125</v>
      </c>
      <c r="B4126" s="2" t="s">
        <v>3</v>
      </c>
      <c r="C4126" s="1" t="str">
        <f>IFERROR(__xludf.DUMMYFUNCTION("GOOGLETRANSLATE(A4126,""en"",""pt-br"")"),"zombeteiro")</f>
        <v>zombeteiro</v>
      </c>
      <c r="D4126" s="1" t="str">
        <f>IFERROR(__xludf.DUMMYFUNCTION("GOOGLETRANSLATE(B4126,""en"",""pt-br"")"),"negativo")</f>
        <v>negativo</v>
      </c>
    </row>
    <row r="4127" ht="15.75" customHeight="1">
      <c r="A4127" s="2" t="s">
        <v>4126</v>
      </c>
      <c r="B4127" s="2" t="s">
        <v>3</v>
      </c>
      <c r="C4127" s="1" t="str">
        <f>IFERROR(__xludf.DUMMYFUNCTION("GOOGLETRANSLATE(A4127,""en"",""pt-br"")"),"zombeteiramente")</f>
        <v>zombeteiramente</v>
      </c>
      <c r="D4127" s="1" t="str">
        <f>IFERROR(__xludf.DUMMYFUNCTION("GOOGLETRANSLATE(B4127,""en"",""pt-br"")"),"negativo")</f>
        <v>negativo</v>
      </c>
    </row>
    <row r="4128" ht="15.75" customHeight="1">
      <c r="A4128" s="2" t="s">
        <v>4127</v>
      </c>
      <c r="B4128" s="2" t="s">
        <v>3</v>
      </c>
      <c r="C4128" s="1" t="str">
        <f>IFERROR(__xludf.DUMMYFUNCTION("GOOGLETRANSLATE(A4128,""en"",""pt-br"")"),"mocks")</f>
        <v>mocks</v>
      </c>
      <c r="D4128" s="1" t="str">
        <f>IFERROR(__xludf.DUMMYFUNCTION("GOOGLETRANSLATE(B4128,""en"",""pt-br"")"),"negativo")</f>
        <v>negativo</v>
      </c>
    </row>
    <row r="4129" ht="15.75" customHeight="1">
      <c r="A4129" s="2" t="s">
        <v>4128</v>
      </c>
      <c r="B4129" s="2" t="s">
        <v>14</v>
      </c>
      <c r="C4129" s="1" t="str">
        <f>IFERROR(__xludf.DUMMYFUNCTION("GOOGLETRANSLATE(A4129,""en"",""pt-br"")"),"moderno")</f>
        <v>moderno</v>
      </c>
      <c r="D4129" s="1" t="str">
        <f>IFERROR(__xludf.DUMMYFUNCTION("GOOGLETRANSLATE(B4129,""en"",""pt-br"")"),"positivo")</f>
        <v>positivo</v>
      </c>
    </row>
    <row r="4130" ht="15.75" customHeight="1">
      <c r="A4130" s="2" t="s">
        <v>4129</v>
      </c>
      <c r="B4130" s="2" t="s">
        <v>14</v>
      </c>
      <c r="C4130" s="1" t="str">
        <f>IFERROR(__xludf.DUMMYFUNCTION("GOOGLETRANSLATE(A4130,""en"",""pt-br"")"),"modesto")</f>
        <v>modesto</v>
      </c>
      <c r="D4130" s="1" t="str">
        <f>IFERROR(__xludf.DUMMYFUNCTION("GOOGLETRANSLATE(B4130,""en"",""pt-br"")"),"positivo")</f>
        <v>positivo</v>
      </c>
    </row>
    <row r="4131" ht="15.75" customHeight="1">
      <c r="A4131" s="2" t="s">
        <v>4130</v>
      </c>
      <c r="B4131" s="2" t="s">
        <v>14</v>
      </c>
      <c r="C4131" s="1" t="str">
        <f>IFERROR(__xludf.DUMMYFUNCTION("GOOGLETRANSLATE(A4131,""en"",""pt-br"")"),"modéstia")</f>
        <v>modéstia</v>
      </c>
      <c r="D4131" s="1" t="str">
        <f>IFERROR(__xludf.DUMMYFUNCTION("GOOGLETRANSLATE(B4131,""en"",""pt-br"")"),"positivo")</f>
        <v>positivo</v>
      </c>
    </row>
    <row r="4132" ht="15.75" customHeight="1">
      <c r="A4132" s="2" t="s">
        <v>4131</v>
      </c>
      <c r="B4132" s="2" t="s">
        <v>3</v>
      </c>
      <c r="C4132" s="1" t="str">
        <f>IFERROR(__xludf.DUMMYFUNCTION("GOOGLETRANSLATE(A4132,""en"",""pt-br"")"),"molestar")</f>
        <v>molestar</v>
      </c>
      <c r="D4132" s="1" t="str">
        <f>IFERROR(__xludf.DUMMYFUNCTION("GOOGLETRANSLATE(B4132,""en"",""pt-br"")"),"negativo")</f>
        <v>negativo</v>
      </c>
    </row>
    <row r="4133" ht="15.75" customHeight="1">
      <c r="A4133" s="2" t="s">
        <v>4132</v>
      </c>
      <c r="B4133" s="2" t="s">
        <v>3</v>
      </c>
      <c r="C4133" s="1" t="str">
        <f>IFERROR(__xludf.DUMMYFUNCTION("GOOGLETRANSLATE(A4133,""en"",""pt-br"")"),"molestação")</f>
        <v>molestação</v>
      </c>
      <c r="D4133" s="1" t="str">
        <f>IFERROR(__xludf.DUMMYFUNCTION("GOOGLETRANSLATE(B4133,""en"",""pt-br"")"),"negativo")</f>
        <v>negativo</v>
      </c>
    </row>
    <row r="4134" ht="15.75" customHeight="1">
      <c r="A4134" s="2" t="s">
        <v>4133</v>
      </c>
      <c r="B4134" s="2" t="s">
        <v>14</v>
      </c>
      <c r="C4134" s="1" t="str">
        <f>IFERROR(__xludf.DUMMYFUNCTION("GOOGLETRANSLATE(A4134,""en"",""pt-br"")"),"momentoso")</f>
        <v>momentoso</v>
      </c>
      <c r="D4134" s="1" t="str">
        <f>IFERROR(__xludf.DUMMYFUNCTION("GOOGLETRANSLATE(B4134,""en"",""pt-br"")"),"positivo")</f>
        <v>positivo</v>
      </c>
    </row>
    <row r="4135" ht="15.75" customHeight="1">
      <c r="A4135" s="2" t="s">
        <v>4134</v>
      </c>
      <c r="B4135" s="2" t="s">
        <v>3</v>
      </c>
      <c r="C4135" s="1" t="str">
        <f>IFERROR(__xludf.DUMMYFUNCTION("GOOGLETRANSLATE(A4135,""en"",""pt-br"")"),"monótono")</f>
        <v>monótono</v>
      </c>
      <c r="D4135" s="1" t="str">
        <f>IFERROR(__xludf.DUMMYFUNCTION("GOOGLETRANSLATE(B4135,""en"",""pt-br"")"),"negativo")</f>
        <v>negativo</v>
      </c>
    </row>
    <row r="4136" ht="15.75" customHeight="1">
      <c r="A4136" s="2" t="s">
        <v>4135</v>
      </c>
      <c r="B4136" s="2" t="s">
        <v>3</v>
      </c>
      <c r="C4136" s="1" t="str">
        <f>IFERROR(__xludf.DUMMYFUNCTION("GOOGLETRANSLATE(A4136,""en"",""pt-br"")"),"monotonia")</f>
        <v>monotonia</v>
      </c>
      <c r="D4136" s="1" t="str">
        <f>IFERROR(__xludf.DUMMYFUNCTION("GOOGLETRANSLATE(B4136,""en"",""pt-br"")"),"negativo")</f>
        <v>negativo</v>
      </c>
    </row>
    <row r="4137" ht="15.75" customHeight="1">
      <c r="A4137" s="2" t="s">
        <v>4136</v>
      </c>
      <c r="B4137" s="2" t="s">
        <v>3</v>
      </c>
      <c r="C4137" s="1" t="str">
        <f>IFERROR(__xludf.DUMMYFUNCTION("GOOGLETRANSLATE(A4137,""en"",""pt-br"")"),"monstro")</f>
        <v>monstro</v>
      </c>
      <c r="D4137" s="1" t="str">
        <f>IFERROR(__xludf.DUMMYFUNCTION("GOOGLETRANSLATE(B4137,""en"",""pt-br"")"),"negativo")</f>
        <v>negativo</v>
      </c>
    </row>
    <row r="4138" ht="15.75" customHeight="1">
      <c r="A4138" s="2" t="s">
        <v>4137</v>
      </c>
      <c r="B4138" s="2" t="s">
        <v>3</v>
      </c>
      <c r="C4138" s="1" t="str">
        <f>IFERROR(__xludf.DUMMYFUNCTION("GOOGLETRANSLATE(A4138,""en"",""pt-br"")"),"monstruosidades")</f>
        <v>monstruosidades</v>
      </c>
      <c r="D4138" s="1" t="str">
        <f>IFERROR(__xludf.DUMMYFUNCTION("GOOGLETRANSLATE(B4138,""en"",""pt-br"")"),"negativo")</f>
        <v>negativo</v>
      </c>
    </row>
    <row r="4139" ht="15.75" customHeight="1">
      <c r="A4139" s="2" t="s">
        <v>4138</v>
      </c>
      <c r="B4139" s="2" t="s">
        <v>3</v>
      </c>
      <c r="C4139" s="1" t="str">
        <f>IFERROR(__xludf.DUMMYFUNCTION("GOOGLETRANSLATE(A4139,""en"",""pt-br"")"),"monstruosidade")</f>
        <v>monstruosidade</v>
      </c>
      <c r="D4139" s="1" t="str">
        <f>IFERROR(__xludf.DUMMYFUNCTION("GOOGLETRANSLATE(B4139,""en"",""pt-br"")"),"negativo")</f>
        <v>negativo</v>
      </c>
    </row>
    <row r="4140" ht="15.75" customHeight="1">
      <c r="A4140" s="2" t="s">
        <v>4139</v>
      </c>
      <c r="B4140" s="2" t="s">
        <v>3</v>
      </c>
      <c r="C4140" s="1" t="str">
        <f>IFERROR(__xludf.DUMMYFUNCTION("GOOGLETRANSLATE(A4140,""en"",""pt-br"")"),"monstruoso")</f>
        <v>monstruoso</v>
      </c>
      <c r="D4140" s="1" t="str">
        <f>IFERROR(__xludf.DUMMYFUNCTION("GOOGLETRANSLATE(B4140,""en"",""pt-br"")"),"negativo")</f>
        <v>negativo</v>
      </c>
    </row>
    <row r="4141" ht="15.75" customHeight="1">
      <c r="A4141" s="2" t="s">
        <v>4140</v>
      </c>
      <c r="B4141" s="2" t="s">
        <v>3</v>
      </c>
      <c r="C4141" s="1" t="str">
        <f>IFERROR(__xludf.DUMMYFUNCTION("GOOGLETRANSLATE(A4141,""en"",""pt-br"")"),"monstruosamente")</f>
        <v>monstruosamente</v>
      </c>
      <c r="D4141" s="1" t="str">
        <f>IFERROR(__xludf.DUMMYFUNCTION("GOOGLETRANSLATE(B4141,""en"",""pt-br"")"),"negativo")</f>
        <v>negativo</v>
      </c>
    </row>
    <row r="4142" ht="15.75" customHeight="1">
      <c r="A4142" s="2" t="s">
        <v>4141</v>
      </c>
      <c r="B4142" s="2" t="s">
        <v>14</v>
      </c>
      <c r="C4142" s="1" t="str">
        <f>IFERROR(__xludf.DUMMYFUNCTION("GOOGLETRANSLATE(A4142,""en"",""pt-br"")"),"monumental")</f>
        <v>monumental</v>
      </c>
      <c r="D4142" s="1" t="str">
        <f>IFERROR(__xludf.DUMMYFUNCTION("GOOGLETRANSLATE(B4142,""en"",""pt-br"")"),"positivo")</f>
        <v>positivo</v>
      </c>
    </row>
    <row r="4143" ht="15.75" customHeight="1">
      <c r="A4143" s="2" t="s">
        <v>4142</v>
      </c>
      <c r="B4143" s="2" t="s">
        <v>14</v>
      </c>
      <c r="C4143" s="1" t="str">
        <f>IFERROR(__xludf.DUMMYFUNCTION("GOOGLETRANSLATE(A4143,""en"",""pt-br"")"),"monumentalmente")</f>
        <v>monumentalmente</v>
      </c>
      <c r="D4143" s="1" t="str">
        <f>IFERROR(__xludf.DUMMYFUNCTION("GOOGLETRANSLATE(B4143,""en"",""pt-br"")"),"positivo")</f>
        <v>positivo</v>
      </c>
    </row>
    <row r="4144" ht="15.75" customHeight="1">
      <c r="A4144" s="2" t="s">
        <v>4143</v>
      </c>
      <c r="B4144" s="2" t="s">
        <v>3</v>
      </c>
      <c r="C4144" s="1" t="str">
        <f>IFERROR(__xludf.DUMMYFUNCTION("GOOGLETRANSLATE(A4144,""en"",""pt-br"")"),"temperamental")</f>
        <v>temperamental</v>
      </c>
      <c r="D4144" s="1" t="str">
        <f>IFERROR(__xludf.DUMMYFUNCTION("GOOGLETRANSLATE(B4144,""en"",""pt-br"")"),"negativo")</f>
        <v>negativo</v>
      </c>
    </row>
    <row r="4145" ht="15.75" customHeight="1">
      <c r="A4145" s="2" t="s">
        <v>4144</v>
      </c>
      <c r="B4145" s="2" t="s">
        <v>3</v>
      </c>
      <c r="C4145" s="1" t="str">
        <f>IFERROR(__xludf.DUMMYFUNCTION("GOOGLETRANSLATE(A4145,""en"",""pt-br"")"),"discutível")</f>
        <v>discutível</v>
      </c>
      <c r="D4145" s="1" t="str">
        <f>IFERROR(__xludf.DUMMYFUNCTION("GOOGLETRANSLATE(B4145,""en"",""pt-br"")"),"negativo")</f>
        <v>negativo</v>
      </c>
    </row>
    <row r="4146" ht="15.75" customHeight="1">
      <c r="A4146" s="2" t="s">
        <v>4145</v>
      </c>
      <c r="B4146" s="2" t="s">
        <v>3</v>
      </c>
      <c r="C4146" s="1" t="str">
        <f>IFERROR(__xludf.DUMMYFUNCTION("GOOGLETRANSLATE(A4146,""en"",""pt-br"")"),"lastimador")</f>
        <v>lastimador</v>
      </c>
      <c r="D4146" s="1" t="str">
        <f>IFERROR(__xludf.DUMMYFUNCTION("GOOGLETRANSLATE(B4146,""en"",""pt-br"")"),"negativo")</f>
        <v>negativo</v>
      </c>
    </row>
    <row r="4147" ht="15.75" customHeight="1">
      <c r="A4147" s="2" t="s">
        <v>4146</v>
      </c>
      <c r="B4147" s="2" t="s">
        <v>14</v>
      </c>
      <c r="C4147" s="1" t="str">
        <f>IFERROR(__xludf.DUMMYFUNCTION("GOOGLETRANSLATE(A4147,""en"",""pt-br"")"),"moralidade")</f>
        <v>moralidade</v>
      </c>
      <c r="D4147" s="1" t="str">
        <f>IFERROR(__xludf.DUMMYFUNCTION("GOOGLETRANSLATE(B4147,""en"",""pt-br"")"),"positivo")</f>
        <v>positivo</v>
      </c>
    </row>
    <row r="4148" ht="15.75" customHeight="1">
      <c r="A4148" s="2" t="s">
        <v>4147</v>
      </c>
      <c r="B4148" s="2" t="s">
        <v>3</v>
      </c>
      <c r="C4148" s="1" t="str">
        <f>IFERROR(__xludf.DUMMYFUNCTION("GOOGLETRANSLATE(A4148,""en"",""pt-br"")"),"mórbido")</f>
        <v>mórbido</v>
      </c>
      <c r="D4148" s="1" t="str">
        <f>IFERROR(__xludf.DUMMYFUNCTION("GOOGLETRANSLATE(B4148,""en"",""pt-br"")"),"negativo")</f>
        <v>negativo</v>
      </c>
    </row>
    <row r="4149" ht="15.75" customHeight="1">
      <c r="A4149" s="2" t="s">
        <v>4148</v>
      </c>
      <c r="B4149" s="2" t="s">
        <v>3</v>
      </c>
      <c r="C4149" s="1" t="str">
        <f>IFERROR(__xludf.DUMMYFUNCTION("GOOGLETRANSLATE(A4149,""en"",""pt-br"")"),"morbidamente")</f>
        <v>morbidamente</v>
      </c>
      <c r="D4149" s="1" t="str">
        <f>IFERROR(__xludf.DUMMYFUNCTION("GOOGLETRANSLATE(B4149,""en"",""pt-br"")"),"negativo")</f>
        <v>negativo</v>
      </c>
    </row>
    <row r="4150" ht="15.75" customHeight="1">
      <c r="A4150" s="2" t="s">
        <v>4149</v>
      </c>
      <c r="B4150" s="2" t="s">
        <v>3</v>
      </c>
      <c r="C4150" s="1" t="str">
        <f>IFERROR(__xludf.DUMMYFUNCTION("GOOGLETRANSLATE(A4150,""en"",""pt-br"")"),"mordente")</f>
        <v>mordente</v>
      </c>
      <c r="D4150" s="1" t="str">
        <f>IFERROR(__xludf.DUMMYFUNCTION("GOOGLETRANSLATE(B4150,""en"",""pt-br"")"),"negativo")</f>
        <v>negativo</v>
      </c>
    </row>
    <row r="4151" ht="15.75" customHeight="1">
      <c r="A4151" s="2" t="s">
        <v>4150</v>
      </c>
      <c r="B4151" s="2" t="s">
        <v>3</v>
      </c>
      <c r="C4151" s="1" t="str">
        <f>IFERROR(__xludf.DUMMYFUNCTION("GOOGLETRANSLATE(A4151,""en"",""pt-br"")"),"mordacidade")</f>
        <v>mordacidade</v>
      </c>
      <c r="D4151" s="1" t="str">
        <f>IFERROR(__xludf.DUMMYFUNCTION("GOOGLETRANSLATE(B4151,""en"",""pt-br"")"),"negativo")</f>
        <v>negativo</v>
      </c>
    </row>
    <row r="4152" ht="15.75" customHeight="1">
      <c r="A4152" s="2" t="s">
        <v>4151</v>
      </c>
      <c r="B4152" s="2" t="s">
        <v>3</v>
      </c>
      <c r="C4152" s="1" t="str">
        <f>IFERROR(__xludf.DUMMYFUNCTION("GOOGLETRANSLATE(A4152,""en"",""pt-br"")"),"moribundo")</f>
        <v>moribundo</v>
      </c>
      <c r="D4152" s="1" t="str">
        <f>IFERROR(__xludf.DUMMYFUNCTION("GOOGLETRANSLATE(B4152,""en"",""pt-br"")"),"negativo")</f>
        <v>negativo</v>
      </c>
    </row>
    <row r="4153" ht="15.75" customHeight="1">
      <c r="A4153" s="2" t="s">
        <v>4152</v>
      </c>
      <c r="B4153" s="2" t="s">
        <v>3</v>
      </c>
      <c r="C4153" s="1" t="str">
        <f>IFERROR(__xludf.DUMMYFUNCTION("GOOGLETRANSLATE(A4153,""en"",""pt-br"")"),"Idiota")</f>
        <v>Idiota</v>
      </c>
      <c r="D4153" s="1" t="str">
        <f>IFERROR(__xludf.DUMMYFUNCTION("GOOGLETRANSLATE(B4153,""en"",""pt-br"")"),"negativo")</f>
        <v>negativo</v>
      </c>
    </row>
    <row r="4154" ht="15.75" customHeight="1">
      <c r="A4154" s="2" t="s">
        <v>4153</v>
      </c>
      <c r="B4154" s="2" t="s">
        <v>3</v>
      </c>
      <c r="C4154" s="1" t="str">
        <f>IFERROR(__xludf.DUMMYFUNCTION("GOOGLETRANSLATE(A4154,""en"",""pt-br"")"),"imbecil")</f>
        <v>imbecil</v>
      </c>
      <c r="D4154" s="1" t="str">
        <f>IFERROR(__xludf.DUMMYFUNCTION("GOOGLETRANSLATE(B4154,""en"",""pt-br"")"),"negativo")</f>
        <v>negativo</v>
      </c>
    </row>
    <row r="4155" ht="15.75" customHeight="1">
      <c r="A4155" s="2" t="s">
        <v>4154</v>
      </c>
      <c r="B4155" s="2" t="s">
        <v>3</v>
      </c>
      <c r="C4155" s="1" t="str">
        <f>IFERROR(__xludf.DUMMYFUNCTION("GOOGLETRANSLATE(A4155,""en"",""pt-br"")"),"idiotas")</f>
        <v>idiotas</v>
      </c>
      <c r="D4155" s="1" t="str">
        <f>IFERROR(__xludf.DUMMYFUNCTION("GOOGLETRANSLATE(B4155,""en"",""pt-br"")"),"negativo")</f>
        <v>negativo</v>
      </c>
    </row>
    <row r="4156" ht="15.75" customHeight="1">
      <c r="A4156" s="2" t="s">
        <v>4155</v>
      </c>
      <c r="B4156" s="2" t="s">
        <v>3</v>
      </c>
      <c r="C4156" s="1" t="str">
        <f>IFERROR(__xludf.DUMMYFUNCTION("GOOGLETRANSLATE(A4156,""en"",""pt-br"")"),"mortificação")</f>
        <v>mortificação</v>
      </c>
      <c r="D4156" s="1" t="str">
        <f>IFERROR(__xludf.DUMMYFUNCTION("GOOGLETRANSLATE(B4156,""en"",""pt-br"")"),"negativo")</f>
        <v>negativo</v>
      </c>
    </row>
    <row r="4157" ht="15.75" customHeight="1">
      <c r="A4157" s="2" t="s">
        <v>4156</v>
      </c>
      <c r="B4157" s="2" t="s">
        <v>3</v>
      </c>
      <c r="C4157" s="1" t="str">
        <f>IFERROR(__xludf.DUMMYFUNCTION("GOOGLETRANSLATE(A4157,""en"",""pt-br"")"),"mortificado")</f>
        <v>mortificado</v>
      </c>
      <c r="D4157" s="1" t="str">
        <f>IFERROR(__xludf.DUMMYFUNCTION("GOOGLETRANSLATE(B4157,""en"",""pt-br"")"),"negativo")</f>
        <v>negativo</v>
      </c>
    </row>
    <row r="4158" ht="15.75" customHeight="1">
      <c r="A4158" s="2" t="s">
        <v>4157</v>
      </c>
      <c r="B4158" s="2" t="s">
        <v>3</v>
      </c>
      <c r="C4158" s="1" t="str">
        <f>IFERROR(__xludf.DUMMYFUNCTION("GOOGLETRANSLATE(A4158,""en"",""pt-br"")"),"mortificar")</f>
        <v>mortificar</v>
      </c>
      <c r="D4158" s="1" t="str">
        <f>IFERROR(__xludf.DUMMYFUNCTION("GOOGLETRANSLATE(B4158,""en"",""pt-br"")"),"negativo")</f>
        <v>negativo</v>
      </c>
    </row>
    <row r="4159" ht="15.75" customHeight="1">
      <c r="A4159" s="2" t="s">
        <v>4158</v>
      </c>
      <c r="B4159" s="2" t="s">
        <v>3</v>
      </c>
      <c r="C4159" s="1" t="str">
        <f>IFERROR(__xludf.DUMMYFUNCTION("GOOGLETRANSLATE(A4159,""en"",""pt-br"")"),"mortificante")</f>
        <v>mortificante</v>
      </c>
      <c r="D4159" s="1" t="str">
        <f>IFERROR(__xludf.DUMMYFUNCTION("GOOGLETRANSLATE(B4159,""en"",""pt-br"")"),"negativo")</f>
        <v>negativo</v>
      </c>
    </row>
    <row r="4160" ht="15.75" customHeight="1">
      <c r="A4160" s="2" t="s">
        <v>4159</v>
      </c>
      <c r="B4160" s="2" t="s">
        <v>3</v>
      </c>
      <c r="C4160" s="1" t="str">
        <f>IFERROR(__xludf.DUMMYFUNCTION("GOOGLETRANSLATE(A4160,""en"",""pt-br"")"),"imóvel")</f>
        <v>imóvel</v>
      </c>
      <c r="D4160" s="1" t="str">
        <f>IFERROR(__xludf.DUMMYFUNCTION("GOOGLETRANSLATE(B4160,""en"",""pt-br"")"),"negativo")</f>
        <v>negativo</v>
      </c>
    </row>
    <row r="4161" ht="15.75" customHeight="1">
      <c r="A4161" s="2" t="s">
        <v>4160</v>
      </c>
      <c r="B4161" s="2" t="s">
        <v>14</v>
      </c>
      <c r="C4161" s="1" t="str">
        <f>IFERROR(__xludf.DUMMYFUNCTION("GOOGLETRANSLATE(A4161,""en"",""pt-br"")"),"motivado")</f>
        <v>motivado</v>
      </c>
      <c r="D4161" s="1" t="str">
        <f>IFERROR(__xludf.DUMMYFUNCTION("GOOGLETRANSLATE(B4161,""en"",""pt-br"")"),"positivo")</f>
        <v>positivo</v>
      </c>
    </row>
    <row r="4162" ht="15.75" customHeight="1">
      <c r="A4162" s="2" t="s">
        <v>4161</v>
      </c>
      <c r="B4162" s="2" t="s">
        <v>3</v>
      </c>
      <c r="C4162" s="1" t="str">
        <f>IFERROR(__xludf.DUMMYFUNCTION("GOOGLETRANSLATE(A4162,""en"",""pt-br"")"),"variegado")</f>
        <v>variegado</v>
      </c>
      <c r="D4162" s="1" t="str">
        <f>IFERROR(__xludf.DUMMYFUNCTION("GOOGLETRANSLATE(B4162,""en"",""pt-br"")"),"negativo")</f>
        <v>negativo</v>
      </c>
    </row>
    <row r="4163" ht="15.75" customHeight="1">
      <c r="A4163" s="2" t="s">
        <v>4162</v>
      </c>
      <c r="B4163" s="2" t="s">
        <v>3</v>
      </c>
      <c r="C4163" s="1" t="str">
        <f>IFERROR(__xludf.DUMMYFUNCTION("GOOGLETRANSLATE(A4163,""en"",""pt-br"")"),"lamentarão")</f>
        <v>lamentarão</v>
      </c>
      <c r="D4163" s="1" t="str">
        <f>IFERROR(__xludf.DUMMYFUNCTION("GOOGLETRANSLATE(B4163,""en"",""pt-br"")"),"negativo")</f>
        <v>negativo</v>
      </c>
    </row>
    <row r="4164" ht="15.75" customHeight="1">
      <c r="A4164" s="2" t="s">
        <v>4163</v>
      </c>
      <c r="B4164" s="2" t="s">
        <v>3</v>
      </c>
      <c r="C4164" s="1" t="str">
        <f>IFERROR(__xludf.DUMMYFUNCTION("GOOGLETRANSLATE(A4164,""en"",""pt-br"")"),"pranteador")</f>
        <v>pranteador</v>
      </c>
      <c r="D4164" s="1" t="str">
        <f>IFERROR(__xludf.DUMMYFUNCTION("GOOGLETRANSLATE(B4164,""en"",""pt-br"")"),"negativo")</f>
        <v>negativo</v>
      </c>
    </row>
    <row r="4165" ht="15.75" customHeight="1">
      <c r="A4165" s="2" t="s">
        <v>4164</v>
      </c>
      <c r="B4165" s="2" t="s">
        <v>3</v>
      </c>
      <c r="C4165" s="1" t="str">
        <f>IFERROR(__xludf.DUMMYFUNCTION("GOOGLETRANSLATE(A4165,""en"",""pt-br"")"),"fúnebre")</f>
        <v>fúnebre</v>
      </c>
      <c r="D4165" s="1" t="str">
        <f>IFERROR(__xludf.DUMMYFUNCTION("GOOGLETRANSLATE(B4165,""en"",""pt-br"")"),"negativo")</f>
        <v>negativo</v>
      </c>
    </row>
    <row r="4166" ht="15.75" customHeight="1">
      <c r="A4166" s="2" t="s">
        <v>4165</v>
      </c>
      <c r="B4166" s="2" t="s">
        <v>3</v>
      </c>
      <c r="C4166" s="1" t="str">
        <f>IFERROR(__xludf.DUMMYFUNCTION("GOOGLETRANSLATE(A4166,""en"",""pt-br"")"),"pesarosamente")</f>
        <v>pesarosamente</v>
      </c>
      <c r="D4166" s="1" t="str">
        <f>IFERROR(__xludf.DUMMYFUNCTION("GOOGLETRANSLATE(B4166,""en"",""pt-br"")"),"negativo")</f>
        <v>negativo</v>
      </c>
    </row>
    <row r="4167" ht="15.75" customHeight="1">
      <c r="A4167" s="2" t="s">
        <v>4166</v>
      </c>
      <c r="B4167" s="2" t="s">
        <v>3</v>
      </c>
      <c r="C4167" s="1" t="str">
        <f>IFERROR(__xludf.DUMMYFUNCTION("GOOGLETRANSLATE(A4167,""en"",""pt-br"")"),"confusão")</f>
        <v>confusão</v>
      </c>
      <c r="D4167" s="1" t="str">
        <f>IFERROR(__xludf.DUMMYFUNCTION("GOOGLETRANSLATE(B4167,""en"",""pt-br"")"),"negativo")</f>
        <v>negativo</v>
      </c>
    </row>
    <row r="4168" ht="15.75" customHeight="1">
      <c r="A4168" s="2" t="s">
        <v>4167</v>
      </c>
      <c r="B4168" s="2" t="s">
        <v>3</v>
      </c>
      <c r="C4168" s="1" t="str">
        <f>IFERROR(__xludf.DUMMYFUNCTION("GOOGLETRANSLATE(A4168,""en"",""pt-br"")"),"turvar")</f>
        <v>turvar</v>
      </c>
      <c r="D4168" s="1" t="str">
        <f>IFERROR(__xludf.DUMMYFUNCTION("GOOGLETRANSLATE(B4168,""en"",""pt-br"")"),"negativo")</f>
        <v>negativo</v>
      </c>
    </row>
    <row r="4169" ht="15.75" customHeight="1">
      <c r="A4169" s="2" t="s">
        <v>4168</v>
      </c>
      <c r="B4169" s="2" t="s">
        <v>3</v>
      </c>
      <c r="C4169" s="1" t="str">
        <f>IFERROR(__xludf.DUMMYFUNCTION("GOOGLETRANSLATE(A4169,""en"",""pt-br"")"),"Mudslinger")</f>
        <v>Mudslinger</v>
      </c>
      <c r="D4169" s="1" t="str">
        <f>IFERROR(__xludf.DUMMYFUNCTION("GOOGLETRANSLATE(B4169,""en"",""pt-br"")"),"negativo")</f>
        <v>negativo</v>
      </c>
    </row>
    <row r="4170" ht="15.75" customHeight="1">
      <c r="A4170" s="2" t="s">
        <v>4169</v>
      </c>
      <c r="B4170" s="2" t="s">
        <v>3</v>
      </c>
      <c r="C4170" s="1" t="str">
        <f>IFERROR(__xludf.DUMMYFUNCTION("GOOGLETRANSLATE(A4170,""en"",""pt-br"")"),"mudslinging")</f>
        <v>mudslinging</v>
      </c>
      <c r="D4170" s="1" t="str">
        <f>IFERROR(__xludf.DUMMYFUNCTION("GOOGLETRANSLATE(B4170,""en"",""pt-br"")"),"negativo")</f>
        <v>negativo</v>
      </c>
    </row>
    <row r="4171" ht="15.75" customHeight="1">
      <c r="A4171" s="2" t="s">
        <v>4170</v>
      </c>
      <c r="B4171" s="2" t="s">
        <v>3</v>
      </c>
      <c r="C4171" s="1" t="str">
        <f>IFERROR(__xludf.DUMMYFUNCTION("GOOGLETRANSLATE(A4171,""en"",""pt-br"")"),"teimoso")</f>
        <v>teimoso</v>
      </c>
      <c r="D4171" s="1" t="str">
        <f>IFERROR(__xludf.DUMMYFUNCTION("GOOGLETRANSLATE(B4171,""en"",""pt-br"")"),"negativo")</f>
        <v>negativo</v>
      </c>
    </row>
    <row r="4172" ht="15.75" customHeight="1">
      <c r="A4172" s="2" t="s">
        <v>4171</v>
      </c>
      <c r="B4172" s="2" t="s">
        <v>3</v>
      </c>
      <c r="C4172" s="1" t="str">
        <f>IFERROR(__xludf.DUMMYFUNCTION("GOOGLETRANSLATE(A4172,""en"",""pt-br"")"),"multi-polarização")</f>
        <v>multi-polarização</v>
      </c>
      <c r="D4172" s="1" t="str">
        <f>IFERROR(__xludf.DUMMYFUNCTION("GOOGLETRANSLATE(B4172,""en"",""pt-br"")"),"negativo")</f>
        <v>negativo</v>
      </c>
    </row>
    <row r="4173" ht="15.75" customHeight="1">
      <c r="A4173" s="2" t="s">
        <v>4172</v>
      </c>
      <c r="B4173" s="2" t="s">
        <v>14</v>
      </c>
      <c r="C4173" s="1" t="str">
        <f>IFERROR(__xludf.DUMMYFUNCTION("GOOGLETRANSLATE(A4173,""en"",""pt-br"")"),"multi-purpose")</f>
        <v>multi-purpose</v>
      </c>
      <c r="D4173" s="1" t="str">
        <f>IFERROR(__xludf.DUMMYFUNCTION("GOOGLETRANSLATE(B4173,""en"",""pt-br"")"),"positivo")</f>
        <v>positivo</v>
      </c>
    </row>
    <row r="4174" ht="15.75" customHeight="1">
      <c r="A4174" s="2" t="s">
        <v>4173</v>
      </c>
      <c r="B4174" s="2" t="s">
        <v>3</v>
      </c>
      <c r="C4174" s="1" t="str">
        <f>IFERROR(__xludf.DUMMYFUNCTION("GOOGLETRANSLATE(A4174,""en"",""pt-br"")"),"mundano")</f>
        <v>mundano</v>
      </c>
      <c r="D4174" s="1" t="str">
        <f>IFERROR(__xludf.DUMMYFUNCTION("GOOGLETRANSLATE(B4174,""en"",""pt-br"")"),"negativo")</f>
        <v>negativo</v>
      </c>
    </row>
    <row r="4175" ht="15.75" customHeight="1">
      <c r="A4175" s="2" t="s">
        <v>4174</v>
      </c>
      <c r="B4175" s="2" t="s">
        <v>3</v>
      </c>
      <c r="C4175" s="1" t="str">
        <f>IFERROR(__xludf.DUMMYFUNCTION("GOOGLETRANSLATE(A4175,""en"",""pt-br"")"),"assassinato")</f>
        <v>assassinato</v>
      </c>
      <c r="D4175" s="1" t="str">
        <f>IFERROR(__xludf.DUMMYFUNCTION("GOOGLETRANSLATE(B4175,""en"",""pt-br"")"),"negativo")</f>
        <v>negativo</v>
      </c>
    </row>
    <row r="4176" ht="15.75" customHeight="1">
      <c r="A4176" s="2" t="s">
        <v>4175</v>
      </c>
      <c r="B4176" s="2" t="s">
        <v>3</v>
      </c>
      <c r="C4176" s="1" t="str">
        <f>IFERROR(__xludf.DUMMYFUNCTION("GOOGLETRANSLATE(A4176,""en"",""pt-br"")"),"assassino")</f>
        <v>assassino</v>
      </c>
      <c r="D4176" s="1" t="str">
        <f>IFERROR(__xludf.DUMMYFUNCTION("GOOGLETRANSLATE(B4176,""en"",""pt-br"")"),"negativo")</f>
        <v>negativo</v>
      </c>
    </row>
    <row r="4177" ht="15.75" customHeight="1">
      <c r="A4177" s="2" t="s">
        <v>4176</v>
      </c>
      <c r="B4177" s="2" t="s">
        <v>3</v>
      </c>
      <c r="C4177" s="1" t="str">
        <f>IFERROR(__xludf.DUMMYFUNCTION("GOOGLETRANSLATE(A4177,""en"",""pt-br"")"),"assassino")</f>
        <v>assassino</v>
      </c>
      <c r="D4177" s="1" t="str">
        <f>IFERROR(__xludf.DUMMYFUNCTION("GOOGLETRANSLATE(B4177,""en"",""pt-br"")"),"negativo")</f>
        <v>negativo</v>
      </c>
    </row>
    <row r="4178" ht="15.75" customHeight="1">
      <c r="A4178" s="2" t="s">
        <v>4177</v>
      </c>
      <c r="B4178" s="2" t="s">
        <v>3</v>
      </c>
      <c r="C4178" s="1" t="str">
        <f>IFERROR(__xludf.DUMMYFUNCTION("GOOGLETRANSLATE(A4178,""en"",""pt-br"")"),"murderously")</f>
        <v>murderously</v>
      </c>
      <c r="D4178" s="1" t="str">
        <f>IFERROR(__xludf.DUMMYFUNCTION("GOOGLETRANSLATE(B4178,""en"",""pt-br"")"),"negativo")</f>
        <v>negativo</v>
      </c>
    </row>
    <row r="4179" ht="15.75" customHeight="1">
      <c r="A4179" s="2" t="s">
        <v>4178</v>
      </c>
      <c r="B4179" s="2" t="s">
        <v>3</v>
      </c>
      <c r="C4179" s="1" t="str">
        <f>IFERROR(__xludf.DUMMYFUNCTION("GOOGLETRANSLATE(A4179,""en"",""pt-br"")"),"sombrio")</f>
        <v>sombrio</v>
      </c>
      <c r="D4179" s="1" t="str">
        <f>IFERROR(__xludf.DUMMYFUNCTION("GOOGLETRANSLATE(B4179,""en"",""pt-br"")"),"negativo")</f>
        <v>negativo</v>
      </c>
    </row>
    <row r="4180" ht="15.75" customHeight="1">
      <c r="A4180" s="2" t="s">
        <v>4179</v>
      </c>
      <c r="B4180" s="2" t="s">
        <v>3</v>
      </c>
      <c r="C4180" s="1" t="str">
        <f>IFERROR(__xludf.DUMMYFUNCTION("GOOGLETRANSLATE(A4180,""en"",""pt-br"")"),"músculo-flexão")</f>
        <v>músculo-flexão</v>
      </c>
      <c r="D4180" s="1" t="str">
        <f>IFERROR(__xludf.DUMMYFUNCTION("GOOGLETRANSLATE(B4180,""en"",""pt-br"")"),"negativo")</f>
        <v>negativo</v>
      </c>
    </row>
    <row r="4181" ht="15.75" customHeight="1">
      <c r="A4181" s="2" t="s">
        <v>4180</v>
      </c>
      <c r="B4181" s="2" t="s">
        <v>3</v>
      </c>
      <c r="C4181" s="1" t="str">
        <f>IFERROR(__xludf.DUMMYFUNCTION("GOOGLETRANSLATE(A4181,""en"",""pt-br"")"),"mole")</f>
        <v>mole</v>
      </c>
      <c r="D4181" s="1" t="str">
        <f>IFERROR(__xludf.DUMMYFUNCTION("GOOGLETRANSLATE(B4181,""en"",""pt-br"")"),"negativo")</f>
        <v>negativo</v>
      </c>
    </row>
    <row r="4182" ht="15.75" customHeight="1">
      <c r="A4182" s="2" t="s">
        <v>4181</v>
      </c>
      <c r="B4182" s="2" t="s">
        <v>3</v>
      </c>
      <c r="C4182" s="1" t="str">
        <f>IFERROR(__xludf.DUMMYFUNCTION("GOOGLETRANSLATE(A4182,""en"",""pt-br"")"),"mofado")</f>
        <v>mofado</v>
      </c>
      <c r="D4182" s="1" t="str">
        <f>IFERROR(__xludf.DUMMYFUNCTION("GOOGLETRANSLATE(B4182,""en"",""pt-br"")"),"negativo")</f>
        <v>negativo</v>
      </c>
    </row>
    <row r="4183" ht="15.75" customHeight="1">
      <c r="A4183" s="2" t="s">
        <v>4182</v>
      </c>
      <c r="B4183" s="2" t="s">
        <v>3</v>
      </c>
      <c r="C4183" s="1" t="str">
        <f>IFERROR(__xludf.DUMMYFUNCTION("GOOGLETRANSLATE(A4183,""en"",""pt-br"")"),"misterioso")</f>
        <v>misterioso</v>
      </c>
      <c r="D4183" s="1" t="str">
        <f>IFERROR(__xludf.DUMMYFUNCTION("GOOGLETRANSLATE(B4183,""en"",""pt-br"")"),"negativo")</f>
        <v>negativo</v>
      </c>
    </row>
    <row r="4184" ht="15.75" customHeight="1">
      <c r="A4184" s="2" t="s">
        <v>4183</v>
      </c>
      <c r="B4184" s="2" t="s">
        <v>3</v>
      </c>
      <c r="C4184" s="1" t="str">
        <f>IFERROR(__xludf.DUMMYFUNCTION("GOOGLETRANSLATE(A4184,""en"",""pt-br"")"),"misteriosamente")</f>
        <v>misteriosamente</v>
      </c>
      <c r="D4184" s="1" t="str">
        <f>IFERROR(__xludf.DUMMYFUNCTION("GOOGLETRANSLATE(B4184,""en"",""pt-br"")"),"negativo")</f>
        <v>negativo</v>
      </c>
    </row>
    <row r="4185" ht="15.75" customHeight="1">
      <c r="A4185" s="2" t="s">
        <v>4184</v>
      </c>
      <c r="B4185" s="2" t="s">
        <v>3</v>
      </c>
      <c r="C4185" s="1" t="str">
        <f>IFERROR(__xludf.DUMMYFUNCTION("GOOGLETRANSLATE(A4185,""en"",""pt-br"")"),"mistério")</f>
        <v>mistério</v>
      </c>
      <c r="D4185" s="1" t="str">
        <f>IFERROR(__xludf.DUMMYFUNCTION("GOOGLETRANSLATE(B4185,""en"",""pt-br"")"),"negativo")</f>
        <v>negativo</v>
      </c>
    </row>
    <row r="4186" ht="15.75" customHeight="1">
      <c r="A4186" s="2" t="s">
        <v>4185</v>
      </c>
      <c r="B4186" s="2" t="s">
        <v>3</v>
      </c>
      <c r="C4186" s="1" t="str">
        <f>IFERROR(__xludf.DUMMYFUNCTION("GOOGLETRANSLATE(A4186,""en"",""pt-br"")"),"mistificar")</f>
        <v>mistificar</v>
      </c>
      <c r="D4186" s="1" t="str">
        <f>IFERROR(__xludf.DUMMYFUNCTION("GOOGLETRANSLATE(B4186,""en"",""pt-br"")"),"negativo")</f>
        <v>negativo</v>
      </c>
    </row>
    <row r="4187" ht="15.75" customHeight="1">
      <c r="A4187" s="2" t="s">
        <v>4186</v>
      </c>
      <c r="B4187" s="2" t="s">
        <v>3</v>
      </c>
      <c r="C4187" s="1" t="str">
        <f>IFERROR(__xludf.DUMMYFUNCTION("GOOGLETRANSLATE(A4187,""en"",""pt-br"")"),"mito")</f>
        <v>mito</v>
      </c>
      <c r="D4187" s="1" t="str">
        <f>IFERROR(__xludf.DUMMYFUNCTION("GOOGLETRANSLATE(B4187,""en"",""pt-br"")"),"negativo")</f>
        <v>negativo</v>
      </c>
    </row>
    <row r="4188" ht="15.75" customHeight="1">
      <c r="A4188" s="2" t="s">
        <v>4187</v>
      </c>
      <c r="B4188" s="2" t="s">
        <v>3</v>
      </c>
      <c r="C4188" s="1" t="str">
        <f>IFERROR(__xludf.DUMMYFUNCTION("GOOGLETRANSLATE(A4188,""en"",""pt-br"")"),"cavalo")</f>
        <v>cavalo</v>
      </c>
      <c r="D4188" s="1" t="str">
        <f>IFERROR(__xludf.DUMMYFUNCTION("GOOGLETRANSLATE(B4188,""en"",""pt-br"")"),"negativo")</f>
        <v>negativo</v>
      </c>
    </row>
    <row r="4189" ht="15.75" customHeight="1">
      <c r="A4189" s="2" t="s">
        <v>4188</v>
      </c>
      <c r="B4189" s="2" t="s">
        <v>3</v>
      </c>
      <c r="C4189" s="1" t="str">
        <f>IFERROR(__xludf.DUMMYFUNCTION("GOOGLETRANSLATE(A4189,""en"",""pt-br"")"),"ranzinza")</f>
        <v>ranzinza</v>
      </c>
      <c r="D4189" s="1" t="str">
        <f>IFERROR(__xludf.DUMMYFUNCTION("GOOGLETRANSLATE(B4189,""en"",""pt-br"")"),"negativo")</f>
        <v>negativo</v>
      </c>
    </row>
    <row r="4190" ht="15.75" customHeight="1">
      <c r="A4190" s="2" t="s">
        <v>4189</v>
      </c>
      <c r="B4190" s="2" t="s">
        <v>3</v>
      </c>
      <c r="C4190" s="1" t="str">
        <f>IFERROR(__xludf.DUMMYFUNCTION("GOOGLETRANSLATE(A4190,""en"",""pt-br"")"),"ingênuo")</f>
        <v>ingênuo</v>
      </c>
      <c r="D4190" s="1" t="str">
        <f>IFERROR(__xludf.DUMMYFUNCTION("GOOGLETRANSLATE(B4190,""en"",""pt-br"")"),"negativo")</f>
        <v>negativo</v>
      </c>
    </row>
    <row r="4191" ht="15.75" customHeight="1">
      <c r="A4191" s="2" t="s">
        <v>4190</v>
      </c>
      <c r="B4191" s="2" t="s">
        <v>3</v>
      </c>
      <c r="C4191" s="1" t="str">
        <f>IFERROR(__xludf.DUMMYFUNCTION("GOOGLETRANSLATE(A4191,""en"",""pt-br"")"),"ingenuamente")</f>
        <v>ingenuamente</v>
      </c>
      <c r="D4191" s="1" t="str">
        <f>IFERROR(__xludf.DUMMYFUNCTION("GOOGLETRANSLATE(B4191,""en"",""pt-br"")"),"negativo")</f>
        <v>negativo</v>
      </c>
    </row>
    <row r="4192" ht="15.75" customHeight="1">
      <c r="A4192" s="2" t="s">
        <v>4191</v>
      </c>
      <c r="B4192" s="2" t="s">
        <v>3</v>
      </c>
      <c r="C4192" s="1" t="str">
        <f>IFERROR(__xludf.DUMMYFUNCTION("GOOGLETRANSLATE(A4192,""en"",""pt-br"")"),"mais estreito")</f>
        <v>mais estreito</v>
      </c>
      <c r="D4192" s="1" t="str">
        <f>IFERROR(__xludf.DUMMYFUNCTION("GOOGLETRANSLATE(B4192,""en"",""pt-br"")"),"negativo")</f>
        <v>negativo</v>
      </c>
    </row>
    <row r="4193" ht="15.75" customHeight="1">
      <c r="A4193" s="2" t="s">
        <v>4192</v>
      </c>
      <c r="B4193" s="2" t="s">
        <v>3</v>
      </c>
      <c r="C4193" s="1" t="str">
        <f>IFERROR(__xludf.DUMMYFUNCTION("GOOGLETRANSLATE(A4193,""en"",""pt-br"")"),"sordidamente")</f>
        <v>sordidamente</v>
      </c>
      <c r="D4193" s="1" t="str">
        <f>IFERROR(__xludf.DUMMYFUNCTION("GOOGLETRANSLATE(B4193,""en"",""pt-br"")"),"negativo")</f>
        <v>negativo</v>
      </c>
    </row>
    <row r="4194" ht="15.75" customHeight="1">
      <c r="A4194" s="2" t="s">
        <v>4193</v>
      </c>
      <c r="B4194" s="2" t="s">
        <v>3</v>
      </c>
      <c r="C4194" s="1" t="str">
        <f>IFERROR(__xludf.DUMMYFUNCTION("GOOGLETRANSLATE(A4194,""en"",""pt-br"")"),"sordidez")</f>
        <v>sordidez</v>
      </c>
      <c r="D4194" s="1" t="str">
        <f>IFERROR(__xludf.DUMMYFUNCTION("GOOGLETRANSLATE(B4194,""en"",""pt-br"")"),"negativo")</f>
        <v>negativo</v>
      </c>
    </row>
    <row r="4195" ht="15.75" customHeight="1">
      <c r="A4195" s="2" t="s">
        <v>4194</v>
      </c>
      <c r="B4195" s="2" t="s">
        <v>3</v>
      </c>
      <c r="C4195" s="1" t="str">
        <f>IFERROR(__xludf.DUMMYFUNCTION("GOOGLETRANSLATE(A4195,""en"",""pt-br"")"),"desagradável")</f>
        <v>desagradável</v>
      </c>
      <c r="D4195" s="1" t="str">
        <f>IFERROR(__xludf.DUMMYFUNCTION("GOOGLETRANSLATE(B4195,""en"",""pt-br"")"),"negativo")</f>
        <v>negativo</v>
      </c>
    </row>
    <row r="4196" ht="15.75" customHeight="1">
      <c r="A4196" s="2" t="s">
        <v>4195</v>
      </c>
      <c r="B4196" s="2" t="s">
        <v>3</v>
      </c>
      <c r="C4196" s="1" t="str">
        <f>IFERROR(__xludf.DUMMYFUNCTION("GOOGLETRANSLATE(A4196,""en"",""pt-br"")"),"danadinho")</f>
        <v>danadinho</v>
      </c>
      <c r="D4196" s="1" t="str">
        <f>IFERROR(__xludf.DUMMYFUNCTION("GOOGLETRANSLATE(B4196,""en"",""pt-br"")"),"negativo")</f>
        <v>negativo</v>
      </c>
    </row>
    <row r="4197" ht="15.75" customHeight="1">
      <c r="A4197" s="2" t="s">
        <v>4196</v>
      </c>
      <c r="B4197" s="2" t="s">
        <v>3</v>
      </c>
      <c r="C4197" s="1" t="str">
        <f>IFERROR(__xludf.DUMMYFUNCTION("GOOGLETRANSLATE(A4197,""en"",""pt-br"")"),"enjoar")</f>
        <v>enjoar</v>
      </c>
      <c r="D4197" s="1" t="str">
        <f>IFERROR(__xludf.DUMMYFUNCTION("GOOGLETRANSLATE(B4197,""en"",""pt-br"")"),"negativo")</f>
        <v>negativo</v>
      </c>
    </row>
    <row r="4198" ht="15.75" customHeight="1">
      <c r="A4198" s="2" t="s">
        <v>4197</v>
      </c>
      <c r="B4198" s="2" t="s">
        <v>3</v>
      </c>
      <c r="C4198" s="1" t="str">
        <f>IFERROR(__xludf.DUMMYFUNCTION("GOOGLETRANSLATE(A4198,""en"",""pt-br"")"),"nauseates")</f>
        <v>nauseates</v>
      </c>
      <c r="D4198" s="1" t="str">
        <f>IFERROR(__xludf.DUMMYFUNCTION("GOOGLETRANSLATE(B4198,""en"",""pt-br"")"),"negativo")</f>
        <v>negativo</v>
      </c>
    </row>
    <row r="4199" ht="15.75" customHeight="1">
      <c r="A4199" s="2" t="s">
        <v>4198</v>
      </c>
      <c r="B4199" s="2" t="s">
        <v>3</v>
      </c>
      <c r="C4199" s="1" t="str">
        <f>IFERROR(__xludf.DUMMYFUNCTION("GOOGLETRANSLATE(A4199,""en"",""pt-br"")"),"nauseante")</f>
        <v>nauseante</v>
      </c>
      <c r="D4199" s="1" t="str">
        <f>IFERROR(__xludf.DUMMYFUNCTION("GOOGLETRANSLATE(B4199,""en"",""pt-br"")"),"negativo")</f>
        <v>negativo</v>
      </c>
    </row>
    <row r="4200" ht="15.75" customHeight="1">
      <c r="A4200" s="2" t="s">
        <v>4199</v>
      </c>
      <c r="B4200" s="2" t="s">
        <v>3</v>
      </c>
      <c r="C4200" s="1" t="str">
        <f>IFERROR(__xludf.DUMMYFUNCTION("GOOGLETRANSLATE(A4200,""en"",""pt-br"")"),"nauseatingly")</f>
        <v>nauseatingly</v>
      </c>
      <c r="D4200" s="1" t="str">
        <f>IFERROR(__xludf.DUMMYFUNCTION("GOOGLETRANSLATE(B4200,""en"",""pt-br"")"),"negativo")</f>
        <v>negativo</v>
      </c>
    </row>
    <row r="4201" ht="15.75" customHeight="1">
      <c r="A4201" s="2" t="s">
        <v>4200</v>
      </c>
      <c r="B4201" s="2" t="s">
        <v>14</v>
      </c>
      <c r="C4201" s="1" t="str">
        <f>IFERROR(__xludf.DUMMYFUNCTION("GOOGLETRANSLATE(A4201,""en"",""pt-br"")"),"navegável")</f>
        <v>navegável</v>
      </c>
      <c r="D4201" s="1" t="str">
        <f>IFERROR(__xludf.DUMMYFUNCTION("GOOGLETRANSLATE(B4201,""en"",""pt-br"")"),"positivo")</f>
        <v>positivo</v>
      </c>
    </row>
    <row r="4202" ht="15.75" customHeight="1">
      <c r="A4202" s="2" t="s">
        <v>4201</v>
      </c>
      <c r="B4202" s="2" t="s">
        <v>14</v>
      </c>
      <c r="C4202" s="1" t="str">
        <f>IFERROR(__xludf.DUMMYFUNCTION("GOOGLETRANSLATE(A4202,""en"",""pt-br"")"),"arrumado")</f>
        <v>arrumado</v>
      </c>
      <c r="D4202" s="1" t="str">
        <f>IFERROR(__xludf.DUMMYFUNCTION("GOOGLETRANSLATE(B4202,""en"",""pt-br"")"),"positivo")</f>
        <v>positivo</v>
      </c>
    </row>
    <row r="4203" ht="15.75" customHeight="1">
      <c r="A4203" s="2" t="s">
        <v>4202</v>
      </c>
      <c r="B4203" s="2" t="s">
        <v>14</v>
      </c>
      <c r="C4203" s="1" t="str">
        <f>IFERROR(__xludf.DUMMYFUNCTION("GOOGLETRANSLATE(A4203,""en"",""pt-br"")"),"neatest")</f>
        <v>neatest</v>
      </c>
      <c r="D4203" s="1" t="str">
        <f>IFERROR(__xludf.DUMMYFUNCTION("GOOGLETRANSLATE(B4203,""en"",""pt-br"")"),"positivo")</f>
        <v>positivo</v>
      </c>
    </row>
    <row r="4204" ht="15.75" customHeight="1">
      <c r="A4204" s="2" t="s">
        <v>4203</v>
      </c>
      <c r="B4204" s="2" t="s">
        <v>14</v>
      </c>
      <c r="C4204" s="1" t="str">
        <f>IFERROR(__xludf.DUMMYFUNCTION("GOOGLETRANSLATE(A4204,""en"",""pt-br"")"),"ordenadamente")</f>
        <v>ordenadamente</v>
      </c>
      <c r="D4204" s="1" t="str">
        <f>IFERROR(__xludf.DUMMYFUNCTION("GOOGLETRANSLATE(B4204,""en"",""pt-br"")"),"positivo")</f>
        <v>positivo</v>
      </c>
    </row>
    <row r="4205" ht="15.75" customHeight="1">
      <c r="A4205" s="2" t="s">
        <v>4204</v>
      </c>
      <c r="B4205" s="2" t="s">
        <v>3</v>
      </c>
      <c r="C4205" s="1" t="str">
        <f>IFERROR(__xludf.DUMMYFUNCTION("GOOGLETRANSLATE(A4205,""en"",""pt-br"")"),"nebuloso")</f>
        <v>nebuloso</v>
      </c>
      <c r="D4205" s="1" t="str">
        <f>IFERROR(__xludf.DUMMYFUNCTION("GOOGLETRANSLATE(B4205,""en"",""pt-br"")"),"negativo")</f>
        <v>negativo</v>
      </c>
    </row>
    <row r="4206" ht="15.75" customHeight="1">
      <c r="A4206" s="2" t="s">
        <v>4205</v>
      </c>
      <c r="B4206" s="2" t="s">
        <v>3</v>
      </c>
      <c r="C4206" s="1" t="str">
        <f>IFERROR(__xludf.DUMMYFUNCTION("GOOGLETRANSLATE(A4206,""en"",""pt-br"")"),"nebulosamente")</f>
        <v>nebulosamente</v>
      </c>
      <c r="D4206" s="1" t="str">
        <f>IFERROR(__xludf.DUMMYFUNCTION("GOOGLETRANSLATE(B4206,""en"",""pt-br"")"),"negativo")</f>
        <v>negativo</v>
      </c>
    </row>
    <row r="4207" ht="15.75" customHeight="1">
      <c r="A4207" s="2" t="s">
        <v>4206</v>
      </c>
      <c r="B4207" s="2" t="s">
        <v>3</v>
      </c>
      <c r="C4207" s="1" t="str">
        <f>IFERROR(__xludf.DUMMYFUNCTION("GOOGLETRANSLATE(A4207,""en"",""pt-br"")"),"desnecessário")</f>
        <v>desnecessário</v>
      </c>
      <c r="D4207" s="1" t="str">
        <f>IFERROR(__xludf.DUMMYFUNCTION("GOOGLETRANSLATE(B4207,""en"",""pt-br"")"),"negativo")</f>
        <v>negativo</v>
      </c>
    </row>
    <row r="4208" ht="15.75" customHeight="1">
      <c r="A4208" s="2" t="s">
        <v>4207</v>
      </c>
      <c r="B4208" s="2" t="s">
        <v>3</v>
      </c>
      <c r="C4208" s="1" t="str">
        <f>IFERROR(__xludf.DUMMYFUNCTION("GOOGLETRANSLATE(A4208,""en"",""pt-br"")"),"desnecessariamente")</f>
        <v>desnecessariamente</v>
      </c>
      <c r="D4208" s="1" t="str">
        <f>IFERROR(__xludf.DUMMYFUNCTION("GOOGLETRANSLATE(B4208,""en"",""pt-br"")"),"negativo")</f>
        <v>negativo</v>
      </c>
    </row>
    <row r="4209" ht="15.75" customHeight="1">
      <c r="A4209" s="2" t="s">
        <v>4208</v>
      </c>
      <c r="B4209" s="2" t="s">
        <v>3</v>
      </c>
      <c r="C4209" s="1" t="str">
        <f>IFERROR(__xludf.DUMMYFUNCTION("GOOGLETRANSLATE(A4209,""en"",""pt-br"")"),"carente")</f>
        <v>carente</v>
      </c>
      <c r="D4209" s="1" t="str">
        <f>IFERROR(__xludf.DUMMYFUNCTION("GOOGLETRANSLATE(B4209,""en"",""pt-br"")"),"negativo")</f>
        <v>negativo</v>
      </c>
    </row>
    <row r="4210" ht="15.75" customHeight="1">
      <c r="A4210" s="2" t="s">
        <v>4209</v>
      </c>
      <c r="B4210" s="2" t="s">
        <v>3</v>
      </c>
      <c r="C4210" s="1" t="str">
        <f>IFERROR(__xludf.DUMMYFUNCTION("GOOGLETRANSLATE(A4210,""en"",""pt-br"")"),"nefasto")</f>
        <v>nefasto</v>
      </c>
      <c r="D4210" s="1" t="str">
        <f>IFERROR(__xludf.DUMMYFUNCTION("GOOGLETRANSLATE(B4210,""en"",""pt-br"")"),"negativo")</f>
        <v>negativo</v>
      </c>
    </row>
    <row r="4211" ht="15.75" customHeight="1">
      <c r="A4211" s="2" t="s">
        <v>4210</v>
      </c>
      <c r="B4211" s="2" t="s">
        <v>3</v>
      </c>
      <c r="C4211" s="1" t="str">
        <f>IFERROR(__xludf.DUMMYFUNCTION("GOOGLETRANSLATE(A4211,""en"",""pt-br"")"),"nefariously")</f>
        <v>nefariously</v>
      </c>
      <c r="D4211" s="1" t="str">
        <f>IFERROR(__xludf.DUMMYFUNCTION("GOOGLETRANSLATE(B4211,""en"",""pt-br"")"),"negativo")</f>
        <v>negativo</v>
      </c>
    </row>
    <row r="4212" ht="15.75" customHeight="1">
      <c r="A4212" s="2" t="s">
        <v>4211</v>
      </c>
      <c r="B4212" s="2" t="s">
        <v>3</v>
      </c>
      <c r="C4212" s="1" t="str">
        <f>IFERROR(__xludf.DUMMYFUNCTION("GOOGLETRANSLATE(A4212,""en"",""pt-br"")"),"negar")</f>
        <v>negar</v>
      </c>
      <c r="D4212" s="1" t="str">
        <f>IFERROR(__xludf.DUMMYFUNCTION("GOOGLETRANSLATE(B4212,""en"",""pt-br"")"),"negativo")</f>
        <v>negativo</v>
      </c>
    </row>
    <row r="4213" ht="15.75" customHeight="1">
      <c r="A4213" s="2" t="s">
        <v>4212</v>
      </c>
      <c r="B4213" s="2" t="s">
        <v>3</v>
      </c>
      <c r="C4213" s="1" t="str">
        <f>IFERROR(__xludf.DUMMYFUNCTION("GOOGLETRANSLATE(A4213,""en"",""pt-br"")"),"negação")</f>
        <v>negação</v>
      </c>
      <c r="D4213" s="1" t="str">
        <f>IFERROR(__xludf.DUMMYFUNCTION("GOOGLETRANSLATE(B4213,""en"",""pt-br"")"),"negativo")</f>
        <v>negativo</v>
      </c>
    </row>
    <row r="4214" ht="15.75" customHeight="1">
      <c r="A4214" s="2" t="s">
        <v>3</v>
      </c>
      <c r="B4214" s="2" t="s">
        <v>3</v>
      </c>
      <c r="C4214" s="1" t="str">
        <f>IFERROR(__xludf.DUMMYFUNCTION("GOOGLETRANSLATE(A4214,""en"",""pt-br"")"),"negativo")</f>
        <v>negativo</v>
      </c>
      <c r="D4214" s="1" t="str">
        <f>IFERROR(__xludf.DUMMYFUNCTION("GOOGLETRANSLATE(B4214,""en"",""pt-br"")"),"negativo")</f>
        <v>negativo</v>
      </c>
    </row>
    <row r="4215" ht="15.75" customHeight="1">
      <c r="A4215" s="2" t="s">
        <v>4213</v>
      </c>
      <c r="B4215" s="2" t="s">
        <v>3</v>
      </c>
      <c r="C4215" s="1" t="str">
        <f>IFERROR(__xludf.DUMMYFUNCTION("GOOGLETRANSLATE(A4215,""en"",""pt-br"")"),"negativos")</f>
        <v>negativos</v>
      </c>
      <c r="D4215" s="1" t="str">
        <f>IFERROR(__xludf.DUMMYFUNCTION("GOOGLETRANSLATE(B4215,""en"",""pt-br"")"),"negativo")</f>
        <v>negativo</v>
      </c>
    </row>
    <row r="4216" ht="15.75" customHeight="1">
      <c r="A4216" s="2" t="s">
        <v>4214</v>
      </c>
      <c r="B4216" s="2" t="s">
        <v>3</v>
      </c>
      <c r="C4216" s="1" t="str">
        <f>IFERROR(__xludf.DUMMYFUNCTION("GOOGLETRANSLATE(A4216,""en"",""pt-br"")"),"negatividade")</f>
        <v>negatividade</v>
      </c>
      <c r="D4216" s="1" t="str">
        <f>IFERROR(__xludf.DUMMYFUNCTION("GOOGLETRANSLATE(B4216,""en"",""pt-br"")"),"negativo")</f>
        <v>negativo</v>
      </c>
    </row>
    <row r="4217" ht="15.75" customHeight="1">
      <c r="A4217" s="2" t="s">
        <v>4215</v>
      </c>
      <c r="B4217" s="2" t="s">
        <v>3</v>
      </c>
      <c r="C4217" s="1" t="str">
        <f>IFERROR(__xludf.DUMMYFUNCTION("GOOGLETRANSLATE(A4217,""en"",""pt-br"")"),"negligência")</f>
        <v>negligência</v>
      </c>
      <c r="D4217" s="1" t="str">
        <f>IFERROR(__xludf.DUMMYFUNCTION("GOOGLETRANSLATE(B4217,""en"",""pt-br"")"),"negativo")</f>
        <v>negativo</v>
      </c>
    </row>
    <row r="4218" ht="15.75" customHeight="1">
      <c r="A4218" s="2" t="s">
        <v>4216</v>
      </c>
      <c r="B4218" s="2" t="s">
        <v>3</v>
      </c>
      <c r="C4218" s="1" t="str">
        <f>IFERROR(__xludf.DUMMYFUNCTION("GOOGLETRANSLATE(A4218,""en"",""pt-br"")"),"negligenciada")</f>
        <v>negligenciada</v>
      </c>
      <c r="D4218" s="1" t="str">
        <f>IFERROR(__xludf.DUMMYFUNCTION("GOOGLETRANSLATE(B4218,""en"",""pt-br"")"),"negativo")</f>
        <v>negativo</v>
      </c>
    </row>
    <row r="4219" ht="15.75" customHeight="1">
      <c r="A4219" s="2" t="s">
        <v>4217</v>
      </c>
      <c r="B4219" s="2" t="s">
        <v>3</v>
      </c>
      <c r="C4219" s="1" t="str">
        <f>IFERROR(__xludf.DUMMYFUNCTION("GOOGLETRANSLATE(A4219,""en"",""pt-br"")"),"negligência")</f>
        <v>negligência</v>
      </c>
      <c r="D4219" s="1" t="str">
        <f>IFERROR(__xludf.DUMMYFUNCTION("GOOGLETRANSLATE(B4219,""en"",""pt-br"")"),"negativo")</f>
        <v>negativo</v>
      </c>
    </row>
    <row r="4220" ht="15.75" customHeight="1">
      <c r="A4220" s="2" t="s">
        <v>4218</v>
      </c>
      <c r="B4220" s="2" t="s">
        <v>3</v>
      </c>
      <c r="C4220" s="1" t="str">
        <f>IFERROR(__xludf.DUMMYFUNCTION("GOOGLETRANSLATE(A4220,""en"",""pt-br"")"),"negligente")</f>
        <v>negligente</v>
      </c>
      <c r="D4220" s="1" t="str">
        <f>IFERROR(__xludf.DUMMYFUNCTION("GOOGLETRANSLATE(B4220,""en"",""pt-br"")"),"negativo")</f>
        <v>negativo</v>
      </c>
    </row>
    <row r="4221" ht="15.75" customHeight="1">
      <c r="A4221" s="2" t="s">
        <v>4219</v>
      </c>
      <c r="B4221" s="2" t="s">
        <v>3</v>
      </c>
      <c r="C4221" s="1" t="str">
        <f>IFERROR(__xludf.DUMMYFUNCTION("GOOGLETRANSLATE(A4221,""en"",""pt-br"")"),"Nêmesis")</f>
        <v>Nêmesis</v>
      </c>
      <c r="D4221" s="1" t="str">
        <f>IFERROR(__xludf.DUMMYFUNCTION("GOOGLETRANSLATE(B4221,""en"",""pt-br"")"),"negativo")</f>
        <v>negativo</v>
      </c>
    </row>
    <row r="4222" ht="15.75" customHeight="1">
      <c r="A4222" s="2" t="s">
        <v>4220</v>
      </c>
      <c r="B4222" s="2" t="s">
        <v>3</v>
      </c>
      <c r="C4222" s="1" t="str">
        <f>IFERROR(__xludf.DUMMYFUNCTION("GOOGLETRANSLATE(A4222,""en"",""pt-br"")"),"nepotismo")</f>
        <v>nepotismo</v>
      </c>
      <c r="D4222" s="1" t="str">
        <f>IFERROR(__xludf.DUMMYFUNCTION("GOOGLETRANSLATE(B4222,""en"",""pt-br"")"),"negativo")</f>
        <v>negativo</v>
      </c>
    </row>
    <row r="4223" ht="15.75" customHeight="1">
      <c r="A4223" s="2" t="s">
        <v>4221</v>
      </c>
      <c r="B4223" s="2" t="s">
        <v>3</v>
      </c>
      <c r="C4223" s="1" t="str">
        <f>IFERROR(__xludf.DUMMYFUNCTION("GOOGLETRANSLATE(A4223,""en"",""pt-br"")"),"nervoso")</f>
        <v>nervoso</v>
      </c>
      <c r="D4223" s="1" t="str">
        <f>IFERROR(__xludf.DUMMYFUNCTION("GOOGLETRANSLATE(B4223,""en"",""pt-br"")"),"negativo")</f>
        <v>negativo</v>
      </c>
    </row>
    <row r="4224" ht="15.75" customHeight="1">
      <c r="A4224" s="2" t="s">
        <v>4222</v>
      </c>
      <c r="B4224" s="2" t="s">
        <v>3</v>
      </c>
      <c r="C4224" s="1" t="str">
        <f>IFERROR(__xludf.DUMMYFUNCTION("GOOGLETRANSLATE(A4224,""en"",""pt-br"")"),"nervosamente")</f>
        <v>nervosamente</v>
      </c>
      <c r="D4224" s="1" t="str">
        <f>IFERROR(__xludf.DUMMYFUNCTION("GOOGLETRANSLATE(B4224,""en"",""pt-br"")"),"negativo")</f>
        <v>negativo</v>
      </c>
    </row>
    <row r="4225" ht="15.75" customHeight="1">
      <c r="A4225" s="2" t="s">
        <v>4223</v>
      </c>
      <c r="B4225" s="2" t="s">
        <v>3</v>
      </c>
      <c r="C4225" s="1" t="str">
        <f>IFERROR(__xludf.DUMMYFUNCTION("GOOGLETRANSLATE(A4225,""en"",""pt-br"")"),"nervosismo")</f>
        <v>nervosismo</v>
      </c>
      <c r="D4225" s="1" t="str">
        <f>IFERROR(__xludf.DUMMYFUNCTION("GOOGLETRANSLATE(B4225,""en"",""pt-br"")"),"negativo")</f>
        <v>negativo</v>
      </c>
    </row>
    <row r="4226" ht="15.75" customHeight="1">
      <c r="A4226" s="2" t="s">
        <v>4224</v>
      </c>
      <c r="B4226" s="2" t="s">
        <v>3</v>
      </c>
      <c r="C4226" s="1" t="str">
        <f>IFERROR(__xludf.DUMMYFUNCTION("GOOGLETRANSLATE(A4226,""en"",""pt-br"")"),"urtiga")</f>
        <v>urtiga</v>
      </c>
      <c r="D4226" s="1" t="str">
        <f>IFERROR(__xludf.DUMMYFUNCTION("GOOGLETRANSLATE(B4226,""en"",""pt-br"")"),"negativo")</f>
        <v>negativo</v>
      </c>
    </row>
    <row r="4227" ht="15.75" customHeight="1">
      <c r="A4227" s="2" t="s">
        <v>4225</v>
      </c>
      <c r="B4227" s="2" t="s">
        <v>3</v>
      </c>
      <c r="C4227" s="1" t="str">
        <f>IFERROR(__xludf.DUMMYFUNCTION("GOOGLETRANSLATE(A4227,""en"",""pt-br"")"),"nettlesome")</f>
        <v>nettlesome</v>
      </c>
      <c r="D4227" s="1" t="str">
        <f>IFERROR(__xludf.DUMMYFUNCTION("GOOGLETRANSLATE(B4227,""en"",""pt-br"")"),"negativo")</f>
        <v>negativo</v>
      </c>
    </row>
    <row r="4228" ht="15.75" customHeight="1">
      <c r="A4228" s="2" t="s">
        <v>4226</v>
      </c>
      <c r="B4228" s="2" t="s">
        <v>3</v>
      </c>
      <c r="C4228" s="1" t="str">
        <f>IFERROR(__xludf.DUMMYFUNCTION("GOOGLETRANSLATE(A4228,""en"",""pt-br"")"),"neurótico")</f>
        <v>neurótico</v>
      </c>
      <c r="D4228" s="1" t="str">
        <f>IFERROR(__xludf.DUMMYFUNCTION("GOOGLETRANSLATE(B4228,""en"",""pt-br"")"),"negativo")</f>
        <v>negativo</v>
      </c>
    </row>
    <row r="4229" ht="15.75" customHeight="1">
      <c r="A4229" s="2" t="s">
        <v>4227</v>
      </c>
      <c r="B4229" s="2" t="s">
        <v>3</v>
      </c>
      <c r="C4229" s="1" t="str">
        <f>IFERROR(__xludf.DUMMYFUNCTION("GOOGLETRANSLATE(A4229,""en"",""pt-br"")"),"neuroticamente")</f>
        <v>neuroticamente</v>
      </c>
      <c r="D4229" s="1" t="str">
        <f>IFERROR(__xludf.DUMMYFUNCTION("GOOGLETRANSLATE(B4229,""en"",""pt-br"")"),"negativo")</f>
        <v>negativo</v>
      </c>
    </row>
    <row r="4230" ht="15.75" customHeight="1">
      <c r="A4230" s="2" t="s">
        <v>4228</v>
      </c>
      <c r="B4230" s="2" t="s">
        <v>14</v>
      </c>
      <c r="C4230" s="1" t="str">
        <f>IFERROR(__xludf.DUMMYFUNCTION("GOOGLETRANSLATE(A4230,""en"",""pt-br"")"),"agradável")</f>
        <v>agradável</v>
      </c>
      <c r="D4230" s="1" t="str">
        <f>IFERROR(__xludf.DUMMYFUNCTION("GOOGLETRANSLATE(B4230,""en"",""pt-br"")"),"positivo")</f>
        <v>positivo</v>
      </c>
    </row>
    <row r="4231" ht="15.75" customHeight="1">
      <c r="A4231" s="2" t="s">
        <v>4229</v>
      </c>
      <c r="B4231" s="2" t="s">
        <v>14</v>
      </c>
      <c r="C4231" s="1" t="str">
        <f>IFERROR(__xludf.DUMMYFUNCTION("GOOGLETRANSLATE(A4231,""en"",""pt-br"")"),"agradável")</f>
        <v>agradável</v>
      </c>
      <c r="D4231" s="1" t="str">
        <f>IFERROR(__xludf.DUMMYFUNCTION("GOOGLETRANSLATE(B4231,""en"",""pt-br"")"),"positivo")</f>
        <v>positivo</v>
      </c>
    </row>
    <row r="4232" ht="15.75" customHeight="1">
      <c r="A4232" s="2" t="s">
        <v>4230</v>
      </c>
      <c r="B4232" s="2" t="s">
        <v>14</v>
      </c>
      <c r="C4232" s="1" t="str">
        <f>IFERROR(__xludf.DUMMYFUNCTION("GOOGLETRANSLATE(A4232,""en"",""pt-br"")"),"Agradável")</f>
        <v>Agradável</v>
      </c>
      <c r="D4232" s="1" t="str">
        <f>IFERROR(__xludf.DUMMYFUNCTION("GOOGLETRANSLATE(B4232,""en"",""pt-br"")"),"positivo")</f>
        <v>positivo</v>
      </c>
    </row>
    <row r="4233" ht="15.75" customHeight="1">
      <c r="A4233" s="2" t="s">
        <v>4231</v>
      </c>
      <c r="B4233" s="2" t="s">
        <v>14</v>
      </c>
      <c r="C4233" s="1" t="str">
        <f>IFERROR(__xludf.DUMMYFUNCTION("GOOGLETRANSLATE(A4233,""en"",""pt-br"")"),"mais agradável")</f>
        <v>mais agradável</v>
      </c>
      <c r="D4233" s="1" t="str">
        <f>IFERROR(__xludf.DUMMYFUNCTION("GOOGLETRANSLATE(B4233,""en"",""pt-br"")"),"positivo")</f>
        <v>positivo</v>
      </c>
    </row>
    <row r="4234" ht="15.75" customHeight="1">
      <c r="A4234" s="2" t="s">
        <v>4232</v>
      </c>
      <c r="B4234" s="2" t="s">
        <v>14</v>
      </c>
      <c r="C4234" s="1" t="str">
        <f>IFERROR(__xludf.DUMMYFUNCTION("GOOGLETRANSLATE(A4234,""en"",""pt-br"")"),"estiloso")</f>
        <v>estiloso</v>
      </c>
      <c r="D4234" s="1" t="str">
        <f>IFERROR(__xludf.DUMMYFUNCTION("GOOGLETRANSLATE(B4234,""en"",""pt-br"")"),"positivo")</f>
        <v>positivo</v>
      </c>
    </row>
    <row r="4235" ht="15.75" customHeight="1">
      <c r="A4235" s="2" t="s">
        <v>4233</v>
      </c>
      <c r="B4235" s="2" t="s">
        <v>3</v>
      </c>
      <c r="C4235" s="1" t="str">
        <f>IFERROR(__xludf.DUMMYFUNCTION("GOOGLETRANSLATE(A4235,""en"",""pt-br"")"),"coisinha")</f>
        <v>coisinha</v>
      </c>
      <c r="D4235" s="1" t="str">
        <f>IFERROR(__xludf.DUMMYFUNCTION("GOOGLETRANSLATE(B4235,""en"",""pt-br"")"),"negativo")</f>
        <v>negativo</v>
      </c>
    </row>
    <row r="4236" ht="15.75" customHeight="1">
      <c r="A4236" s="2" t="s">
        <v>4234</v>
      </c>
      <c r="B4236" s="2" t="s">
        <v>3</v>
      </c>
      <c r="C4236" s="1" t="str">
        <f>IFERROR(__xludf.DUMMYFUNCTION("GOOGLETRANSLATE(A4236,""en"",""pt-br"")"),"niggles")</f>
        <v>niggles</v>
      </c>
      <c r="D4236" s="1" t="str">
        <f>IFERROR(__xludf.DUMMYFUNCTION("GOOGLETRANSLATE(B4236,""en"",""pt-br"")"),"negativo")</f>
        <v>negativo</v>
      </c>
    </row>
    <row r="4237" ht="15.75" customHeight="1">
      <c r="A4237" s="2" t="s">
        <v>4235</v>
      </c>
      <c r="B4237" s="2" t="s">
        <v>3</v>
      </c>
      <c r="C4237" s="1" t="str">
        <f>IFERROR(__xludf.DUMMYFUNCTION("GOOGLETRANSLATE(A4237,""en"",""pt-br"")"),"pesadelo")</f>
        <v>pesadelo</v>
      </c>
      <c r="D4237" s="1" t="str">
        <f>IFERROR(__xludf.DUMMYFUNCTION("GOOGLETRANSLATE(B4237,""en"",""pt-br"")"),"negativo")</f>
        <v>negativo</v>
      </c>
    </row>
    <row r="4238" ht="15.75" customHeight="1">
      <c r="A4238" s="2" t="s">
        <v>4236</v>
      </c>
      <c r="B4238" s="2" t="s">
        <v>3</v>
      </c>
      <c r="C4238" s="1" t="str">
        <f>IFERROR(__xludf.DUMMYFUNCTION("GOOGLETRANSLATE(A4238,""en"",""pt-br"")"),"de pesadelo")</f>
        <v>de pesadelo</v>
      </c>
      <c r="D4238" s="1" t="str">
        <f>IFERROR(__xludf.DUMMYFUNCTION("GOOGLETRANSLATE(B4238,""en"",""pt-br"")"),"negativo")</f>
        <v>negativo</v>
      </c>
    </row>
    <row r="4239" ht="15.75" customHeight="1">
      <c r="A4239" s="2" t="s">
        <v>4237</v>
      </c>
      <c r="B4239" s="2" t="s">
        <v>3</v>
      </c>
      <c r="C4239" s="1" t="str">
        <f>IFERROR(__xludf.DUMMYFUNCTION("GOOGLETRANSLATE(A4239,""en"",""pt-br"")"),"nightmarishly")</f>
        <v>nightmarishly</v>
      </c>
      <c r="D4239" s="1" t="str">
        <f>IFERROR(__xludf.DUMMYFUNCTION("GOOGLETRANSLATE(B4239,""en"",""pt-br"")"),"negativo")</f>
        <v>negativo</v>
      </c>
    </row>
    <row r="4240" ht="15.75" customHeight="1">
      <c r="A4240" s="2" t="s">
        <v>4238</v>
      </c>
      <c r="B4240" s="2" t="s">
        <v>14</v>
      </c>
      <c r="C4240" s="1" t="str">
        <f>IFERROR(__xludf.DUMMYFUNCTION("GOOGLETRANSLATE(A4240,""en"",""pt-br"")"),"ágil")</f>
        <v>ágil</v>
      </c>
      <c r="D4240" s="1" t="str">
        <f>IFERROR(__xludf.DUMMYFUNCTION("GOOGLETRANSLATE(B4240,""en"",""pt-br"")"),"positivo")</f>
        <v>positivo</v>
      </c>
    </row>
    <row r="4241" ht="15.75" customHeight="1">
      <c r="A4241" s="2" t="s">
        <v>4239</v>
      </c>
      <c r="B4241" s="2" t="s">
        <v>3</v>
      </c>
      <c r="C4241" s="1" t="str">
        <f>IFERROR(__xludf.DUMMYFUNCTION("GOOGLETRANSLATE(A4241,""en"",""pt-br"")"),"nitpick")</f>
        <v>nitpick</v>
      </c>
      <c r="D4241" s="1" t="str">
        <f>IFERROR(__xludf.DUMMYFUNCTION("GOOGLETRANSLATE(B4241,""en"",""pt-br"")"),"negativo")</f>
        <v>negativo</v>
      </c>
    </row>
    <row r="4242" ht="15.75" customHeight="1">
      <c r="A4242" s="2" t="s">
        <v>4240</v>
      </c>
      <c r="B4242" s="2" t="s">
        <v>3</v>
      </c>
      <c r="C4242" s="1" t="str">
        <f>IFERROR(__xludf.DUMMYFUNCTION("GOOGLETRANSLATE(A4242,""en"",""pt-br"")"),"picuinhas")</f>
        <v>picuinhas</v>
      </c>
      <c r="D4242" s="1" t="str">
        <f>IFERROR(__xludf.DUMMYFUNCTION("GOOGLETRANSLATE(B4242,""en"",""pt-br"")"),"negativo")</f>
        <v>negativo</v>
      </c>
    </row>
    <row r="4243" ht="15.75" customHeight="1">
      <c r="A4243" s="2" t="s">
        <v>4241</v>
      </c>
      <c r="B4243" s="2" t="s">
        <v>14</v>
      </c>
      <c r="C4243" s="1" t="str">
        <f>IFERROR(__xludf.DUMMYFUNCTION("GOOGLETRANSLATE(A4243,""en"",""pt-br"")"),"nobre")</f>
        <v>nobre</v>
      </c>
      <c r="D4243" s="1" t="str">
        <f>IFERROR(__xludf.DUMMYFUNCTION("GOOGLETRANSLATE(B4243,""en"",""pt-br"")"),"positivo")</f>
        <v>positivo</v>
      </c>
    </row>
    <row r="4244" ht="15.75" customHeight="1">
      <c r="A4244" s="2" t="s">
        <v>4242</v>
      </c>
      <c r="B4244" s="2" t="s">
        <v>14</v>
      </c>
      <c r="C4244" s="1" t="str">
        <f>IFERROR(__xludf.DUMMYFUNCTION("GOOGLETRANSLATE(A4244,""en"",""pt-br"")"),"nobremente")</f>
        <v>nobremente</v>
      </c>
      <c r="D4244" s="1" t="str">
        <f>IFERROR(__xludf.DUMMYFUNCTION("GOOGLETRANSLATE(B4244,""en"",""pt-br"")"),"positivo")</f>
        <v>positivo</v>
      </c>
    </row>
    <row r="4245" ht="15.75" customHeight="1">
      <c r="A4245" s="2" t="s">
        <v>4243</v>
      </c>
      <c r="B4245" s="2" t="s">
        <v>3</v>
      </c>
      <c r="C4245" s="1" t="str">
        <f>IFERROR(__xludf.DUMMYFUNCTION("GOOGLETRANSLATE(A4245,""en"",""pt-br"")"),"ruído")</f>
        <v>ruído</v>
      </c>
      <c r="D4245" s="1" t="str">
        <f>IFERROR(__xludf.DUMMYFUNCTION("GOOGLETRANSLATE(B4245,""en"",""pt-br"")"),"negativo")</f>
        <v>negativo</v>
      </c>
    </row>
    <row r="4246" ht="15.75" customHeight="1">
      <c r="A4246" s="2" t="s">
        <v>4244</v>
      </c>
      <c r="B4246" s="2" t="s">
        <v>14</v>
      </c>
      <c r="C4246" s="1" t="str">
        <f>IFERROR(__xludf.DUMMYFUNCTION("GOOGLETRANSLATE(A4246,""en"",""pt-br"")"),"silencioso")</f>
        <v>silencioso</v>
      </c>
      <c r="D4246" s="1" t="str">
        <f>IFERROR(__xludf.DUMMYFUNCTION("GOOGLETRANSLATE(B4246,""en"",""pt-br"")"),"positivo")</f>
        <v>positivo</v>
      </c>
    </row>
    <row r="4247" ht="15.75" customHeight="1">
      <c r="A4247" s="2" t="s">
        <v>4245</v>
      </c>
      <c r="B4247" s="2" t="s">
        <v>3</v>
      </c>
      <c r="C4247" s="1" t="str">
        <f>IFERROR(__xludf.DUMMYFUNCTION("GOOGLETRANSLATE(A4247,""en"",""pt-br"")"),"ruídos")</f>
        <v>ruídos</v>
      </c>
      <c r="D4247" s="1" t="str">
        <f>IFERROR(__xludf.DUMMYFUNCTION("GOOGLETRANSLATE(B4247,""en"",""pt-br"")"),"negativo")</f>
        <v>negativo</v>
      </c>
    </row>
    <row r="4248" ht="15.75" customHeight="1">
      <c r="A4248" s="2" t="s">
        <v>4246</v>
      </c>
      <c r="B4248" s="2" t="s">
        <v>3</v>
      </c>
      <c r="C4248" s="1" t="str">
        <f>IFERROR(__xludf.DUMMYFUNCTION("GOOGLETRANSLATE(A4248,""en"",""pt-br"")"),"ruidoso")</f>
        <v>ruidoso</v>
      </c>
      <c r="D4248" s="1" t="str">
        <f>IFERROR(__xludf.DUMMYFUNCTION("GOOGLETRANSLATE(B4248,""en"",""pt-br"")"),"negativo")</f>
        <v>negativo</v>
      </c>
    </row>
    <row r="4249" ht="15.75" customHeight="1">
      <c r="A4249" s="2" t="s">
        <v>4247</v>
      </c>
      <c r="B4249" s="2" t="s">
        <v>3</v>
      </c>
      <c r="C4249" s="1" t="str">
        <f>IFERROR(__xludf.DUMMYFUNCTION("GOOGLETRANSLATE(A4249,""en"",""pt-br"")"),"barulhento")</f>
        <v>barulhento</v>
      </c>
      <c r="D4249" s="1" t="str">
        <f>IFERROR(__xludf.DUMMYFUNCTION("GOOGLETRANSLATE(B4249,""en"",""pt-br"")"),"negativo")</f>
        <v>negativo</v>
      </c>
    </row>
    <row r="4250" ht="15.75" customHeight="1">
      <c r="A4250" s="2" t="s">
        <v>4248</v>
      </c>
      <c r="B4250" s="2" t="s">
        <v>3</v>
      </c>
      <c r="C4250" s="1" t="str">
        <f>IFERROR(__xludf.DUMMYFUNCTION("GOOGLETRANSLATE(A4250,""en"",""pt-br"")"),"não-confiança")</f>
        <v>não-confiança</v>
      </c>
      <c r="D4250" s="1" t="str">
        <f>IFERROR(__xludf.DUMMYFUNCTION("GOOGLETRANSLATE(B4250,""en"",""pt-br"")"),"negativo")</f>
        <v>negativo</v>
      </c>
    </row>
    <row r="4251" ht="15.75" customHeight="1">
      <c r="A4251" s="2" t="s">
        <v>4249</v>
      </c>
      <c r="B4251" s="2" t="s">
        <v>14</v>
      </c>
      <c r="C4251" s="1" t="str">
        <f>IFERROR(__xludf.DUMMYFUNCTION("GOOGLETRANSLATE(A4251,""en"",""pt-br"")"),"não-violência")</f>
        <v>não-violência</v>
      </c>
      <c r="D4251" s="1" t="str">
        <f>IFERROR(__xludf.DUMMYFUNCTION("GOOGLETRANSLATE(B4251,""en"",""pt-br"")"),"positivo")</f>
        <v>positivo</v>
      </c>
    </row>
    <row r="4252" ht="15.75" customHeight="1">
      <c r="A4252" s="2" t="s">
        <v>4250</v>
      </c>
      <c r="B4252" s="2" t="s">
        <v>14</v>
      </c>
      <c r="C4252" s="1" t="str">
        <f>IFERROR(__xludf.DUMMYFUNCTION("GOOGLETRANSLATE(A4252,""en"",""pt-br"")"),"não-violento")</f>
        <v>não-violento</v>
      </c>
      <c r="D4252" s="1" t="str">
        <f>IFERROR(__xludf.DUMMYFUNCTION("GOOGLETRANSLATE(B4252,""en"",""pt-br"")"),"positivo")</f>
        <v>positivo</v>
      </c>
    </row>
    <row r="4253" ht="15.75" customHeight="1">
      <c r="A4253" s="2" t="s">
        <v>4251</v>
      </c>
      <c r="B4253" s="2" t="s">
        <v>3</v>
      </c>
      <c r="C4253" s="1" t="str">
        <f>IFERROR(__xludf.DUMMYFUNCTION("GOOGLETRANSLATE(A4253,""en"",""pt-br"")"),"inexistente")</f>
        <v>inexistente</v>
      </c>
      <c r="D4253" s="1" t="str">
        <f>IFERROR(__xludf.DUMMYFUNCTION("GOOGLETRANSLATE(B4253,""en"",""pt-br"")"),"negativo")</f>
        <v>negativo</v>
      </c>
    </row>
    <row r="4254" ht="15.75" customHeight="1">
      <c r="A4254" s="2" t="s">
        <v>4252</v>
      </c>
      <c r="B4254" s="2" t="s">
        <v>3</v>
      </c>
      <c r="C4254" s="1" t="str">
        <f>IFERROR(__xludf.DUMMYFUNCTION("GOOGLETRANSLATE(A4254,""en"",""pt-br"")"),"nonresponsive")</f>
        <v>nonresponsive</v>
      </c>
      <c r="D4254" s="1" t="str">
        <f>IFERROR(__xludf.DUMMYFUNCTION("GOOGLETRANSLATE(B4254,""en"",""pt-br"")"),"negativo")</f>
        <v>negativo</v>
      </c>
    </row>
    <row r="4255" ht="15.75" customHeight="1">
      <c r="A4255" s="2" t="s">
        <v>4253</v>
      </c>
      <c r="B4255" s="2" t="s">
        <v>3</v>
      </c>
      <c r="C4255" s="1" t="str">
        <f>IFERROR(__xludf.DUMMYFUNCTION("GOOGLETRANSLATE(A4255,""en"",""pt-br"")"),"Absurdo")</f>
        <v>Absurdo</v>
      </c>
      <c r="D4255" s="1" t="str">
        <f>IFERROR(__xludf.DUMMYFUNCTION("GOOGLETRANSLATE(B4255,""en"",""pt-br"")"),"negativo")</f>
        <v>negativo</v>
      </c>
    </row>
    <row r="4256" ht="15.75" customHeight="1">
      <c r="A4256" s="2" t="s">
        <v>4254</v>
      </c>
      <c r="B4256" s="2" t="s">
        <v>3</v>
      </c>
      <c r="C4256" s="1" t="str">
        <f>IFERROR(__xludf.DUMMYFUNCTION("GOOGLETRANSLATE(A4256,""en"",""pt-br"")"),"curioso")</f>
        <v>curioso</v>
      </c>
      <c r="D4256" s="1" t="str">
        <f>IFERROR(__xludf.DUMMYFUNCTION("GOOGLETRANSLATE(B4256,""en"",""pt-br"")"),"negativo")</f>
        <v>negativo</v>
      </c>
    </row>
    <row r="4257" ht="15.75" customHeight="1">
      <c r="A4257" s="2" t="s">
        <v>4255</v>
      </c>
      <c r="B4257" s="2" t="s">
        <v>14</v>
      </c>
      <c r="C4257" s="1" t="str">
        <f>IFERROR(__xludf.DUMMYFUNCTION("GOOGLETRANSLATE(A4257,""en"",""pt-br"")"),"notavelmente")</f>
        <v>notavelmente</v>
      </c>
      <c r="D4257" s="1" t="str">
        <f>IFERROR(__xludf.DUMMYFUNCTION("GOOGLETRANSLATE(B4257,""en"",""pt-br"")"),"positivo")</f>
        <v>positivo</v>
      </c>
    </row>
    <row r="4258" ht="15.75" customHeight="1">
      <c r="A4258" s="2" t="s">
        <v>4256</v>
      </c>
      <c r="B4258" s="2" t="s">
        <v>14</v>
      </c>
      <c r="C4258" s="1" t="str">
        <f>IFERROR(__xludf.DUMMYFUNCTION("GOOGLETRANSLATE(A4258,""en"",""pt-br"")"),"notável")</f>
        <v>notável</v>
      </c>
      <c r="D4258" s="1" t="str">
        <f>IFERROR(__xludf.DUMMYFUNCTION("GOOGLETRANSLATE(B4258,""en"",""pt-br"")"),"positivo")</f>
        <v>positivo</v>
      </c>
    </row>
    <row r="4259" ht="15.75" customHeight="1">
      <c r="A4259" s="2" t="s">
        <v>4257</v>
      </c>
      <c r="B4259" s="2" t="s">
        <v>3</v>
      </c>
      <c r="C4259" s="1" t="str">
        <f>IFERROR(__xludf.DUMMYFUNCTION("GOOGLETRANSLATE(A4259,""en"",""pt-br"")"),"notoriedade")</f>
        <v>notoriedade</v>
      </c>
      <c r="D4259" s="1" t="str">
        <f>IFERROR(__xludf.DUMMYFUNCTION("GOOGLETRANSLATE(B4259,""en"",""pt-br"")"),"negativo")</f>
        <v>negativo</v>
      </c>
    </row>
    <row r="4260" ht="15.75" customHeight="1">
      <c r="A4260" s="2" t="s">
        <v>4258</v>
      </c>
      <c r="B4260" s="2" t="s">
        <v>3</v>
      </c>
      <c r="C4260" s="1" t="str">
        <f>IFERROR(__xludf.DUMMYFUNCTION("GOOGLETRANSLATE(A4260,""en"",""pt-br"")"),"notório")</f>
        <v>notório</v>
      </c>
      <c r="D4260" s="1" t="str">
        <f>IFERROR(__xludf.DUMMYFUNCTION("GOOGLETRANSLATE(B4260,""en"",""pt-br"")"),"negativo")</f>
        <v>negativo</v>
      </c>
    </row>
    <row r="4261" ht="15.75" customHeight="1">
      <c r="A4261" s="2" t="s">
        <v>4259</v>
      </c>
      <c r="B4261" s="2" t="s">
        <v>3</v>
      </c>
      <c r="C4261" s="1" t="str">
        <f>IFERROR(__xludf.DUMMYFUNCTION("GOOGLETRANSLATE(A4261,""en"",""pt-br"")"),"notoriamente")</f>
        <v>notoriamente</v>
      </c>
      <c r="D4261" s="1" t="str">
        <f>IFERROR(__xludf.DUMMYFUNCTION("GOOGLETRANSLATE(B4261,""en"",""pt-br"")"),"negativo")</f>
        <v>negativo</v>
      </c>
    </row>
    <row r="4262" ht="15.75" customHeight="1">
      <c r="A4262" s="2" t="s">
        <v>4260</v>
      </c>
      <c r="B4262" s="2" t="s">
        <v>14</v>
      </c>
      <c r="C4262" s="1" t="str">
        <f>IFERROR(__xludf.DUMMYFUNCTION("GOOGLETRANSLATE(A4262,""en"",""pt-br"")"),"nutrir")</f>
        <v>nutrir</v>
      </c>
      <c r="D4262" s="1" t="str">
        <f>IFERROR(__xludf.DUMMYFUNCTION("GOOGLETRANSLATE(B4262,""en"",""pt-br"")"),"positivo")</f>
        <v>positivo</v>
      </c>
    </row>
    <row r="4263" ht="15.75" customHeight="1">
      <c r="A4263" s="2" t="s">
        <v>4261</v>
      </c>
      <c r="B4263" s="2" t="s">
        <v>14</v>
      </c>
      <c r="C4263" s="1" t="str">
        <f>IFERROR(__xludf.DUMMYFUNCTION("GOOGLETRANSLATE(A4263,""en"",""pt-br"")"),"nutritivo")</f>
        <v>nutritivo</v>
      </c>
      <c r="D4263" s="1" t="str">
        <f>IFERROR(__xludf.DUMMYFUNCTION("GOOGLETRANSLATE(B4263,""en"",""pt-br"")"),"positivo")</f>
        <v>positivo</v>
      </c>
    </row>
    <row r="4264" ht="15.75" customHeight="1">
      <c r="A4264" s="2" t="s">
        <v>4262</v>
      </c>
      <c r="B4264" s="2" t="s">
        <v>14</v>
      </c>
      <c r="C4264" s="1" t="str">
        <f>IFERROR(__xludf.DUMMYFUNCTION("GOOGLETRANSLATE(A4264,""en"",""pt-br"")"),"nutrição")</f>
        <v>nutrição</v>
      </c>
      <c r="D4264" s="1" t="str">
        <f>IFERROR(__xludf.DUMMYFUNCTION("GOOGLETRANSLATE(B4264,""en"",""pt-br"")"),"positivo")</f>
        <v>positivo</v>
      </c>
    </row>
    <row r="4265" ht="15.75" customHeight="1">
      <c r="A4265" s="2" t="s">
        <v>4263</v>
      </c>
      <c r="B4265" s="2" t="s">
        <v>14</v>
      </c>
      <c r="C4265" s="1" t="str">
        <f>IFERROR(__xludf.DUMMYFUNCTION("GOOGLETRANSLATE(A4265,""en"",""pt-br"")"),"novidade")</f>
        <v>novidade</v>
      </c>
      <c r="D4265" s="1" t="str">
        <f>IFERROR(__xludf.DUMMYFUNCTION("GOOGLETRANSLATE(B4265,""en"",""pt-br"")"),"positivo")</f>
        <v>positivo</v>
      </c>
    </row>
    <row r="4266" ht="15.75" customHeight="1">
      <c r="A4266" s="2" t="s">
        <v>4264</v>
      </c>
      <c r="B4266" s="2" t="s">
        <v>3</v>
      </c>
      <c r="C4266" s="1" t="str">
        <f>IFERROR(__xludf.DUMMYFUNCTION("GOOGLETRANSLATE(A4266,""en"",""pt-br"")"),"nocivo")</f>
        <v>nocivo</v>
      </c>
      <c r="D4266" s="1" t="str">
        <f>IFERROR(__xludf.DUMMYFUNCTION("GOOGLETRANSLATE(B4266,""en"",""pt-br"")"),"negativo")</f>
        <v>negativo</v>
      </c>
    </row>
    <row r="4267" ht="15.75" customHeight="1">
      <c r="A4267" s="2" t="s">
        <v>4265</v>
      </c>
      <c r="B4267" s="2" t="s">
        <v>3</v>
      </c>
      <c r="C4267" s="1" t="str">
        <f>IFERROR(__xludf.DUMMYFUNCTION("GOOGLETRANSLATE(A4267,""en"",""pt-br"")"),"aborrecimento")</f>
        <v>aborrecimento</v>
      </c>
      <c r="D4267" s="1" t="str">
        <f>IFERROR(__xludf.DUMMYFUNCTION("GOOGLETRANSLATE(B4267,""en"",""pt-br"")"),"negativo")</f>
        <v>negativo</v>
      </c>
    </row>
    <row r="4268" ht="15.75" customHeight="1">
      <c r="A4268" s="2" t="s">
        <v>4266</v>
      </c>
      <c r="B4268" s="2" t="s">
        <v>3</v>
      </c>
      <c r="C4268" s="1" t="str">
        <f>IFERROR(__xludf.DUMMYFUNCTION("GOOGLETRANSLATE(A4268,""en"",""pt-br"")"),"dormente")</f>
        <v>dormente</v>
      </c>
      <c r="D4268" s="1" t="str">
        <f>IFERROR(__xludf.DUMMYFUNCTION("GOOGLETRANSLATE(B4268,""en"",""pt-br"")"),"negativo")</f>
        <v>negativo</v>
      </c>
    </row>
    <row r="4269" ht="15.75" customHeight="1">
      <c r="A4269" s="2" t="s">
        <v>4267</v>
      </c>
      <c r="B4269" s="2" t="s">
        <v>14</v>
      </c>
      <c r="C4269" s="1" t="str">
        <f>IFERROR(__xludf.DUMMYFUNCTION("GOOGLETRANSLATE(A4269,""en"",""pt-br"")"),"carinho")</f>
        <v>carinho</v>
      </c>
      <c r="D4269" s="1" t="str">
        <f>IFERROR(__xludf.DUMMYFUNCTION("GOOGLETRANSLATE(B4269,""en"",""pt-br"")"),"positivo")</f>
        <v>positivo</v>
      </c>
    </row>
    <row r="4270" ht="15.75" customHeight="1">
      <c r="A4270" s="2" t="s">
        <v>4268</v>
      </c>
      <c r="B4270" s="2" t="s">
        <v>14</v>
      </c>
      <c r="C4270" s="1" t="str">
        <f>IFERROR(__xludf.DUMMYFUNCTION("GOOGLETRANSLATE(A4270,""en"",""pt-br"")"),"oásis")</f>
        <v>oásis</v>
      </c>
      <c r="D4270" s="1" t="str">
        <f>IFERROR(__xludf.DUMMYFUNCTION("GOOGLETRANSLATE(B4270,""en"",""pt-br"")"),"positivo")</f>
        <v>positivo</v>
      </c>
    </row>
    <row r="4271" ht="15.75" customHeight="1">
      <c r="A4271" s="2" t="s">
        <v>4269</v>
      </c>
      <c r="B4271" s="2" t="s">
        <v>3</v>
      </c>
      <c r="C4271" s="1" t="str">
        <f>IFERROR(__xludf.DUMMYFUNCTION("GOOGLETRANSLATE(A4271,""en"",""pt-br"")"),"obeso")</f>
        <v>obeso</v>
      </c>
      <c r="D4271" s="1" t="str">
        <f>IFERROR(__xludf.DUMMYFUNCTION("GOOGLETRANSLATE(B4271,""en"",""pt-br"")"),"negativo")</f>
        <v>negativo</v>
      </c>
    </row>
    <row r="4272" ht="15.75" customHeight="1">
      <c r="A4272" s="2" t="s">
        <v>4270</v>
      </c>
      <c r="B4272" s="2" t="s">
        <v>3</v>
      </c>
      <c r="C4272" s="1" t="str">
        <f>IFERROR(__xludf.DUMMYFUNCTION("GOOGLETRANSLATE(A4272,""en"",""pt-br"")"),"objeto")</f>
        <v>objeto</v>
      </c>
      <c r="D4272" s="1" t="str">
        <f>IFERROR(__xludf.DUMMYFUNCTION("GOOGLETRANSLATE(B4272,""en"",""pt-br"")"),"negativo")</f>
        <v>negativo</v>
      </c>
    </row>
    <row r="4273" ht="15.75" customHeight="1">
      <c r="A4273" s="2" t="s">
        <v>4271</v>
      </c>
      <c r="B4273" s="2" t="s">
        <v>3</v>
      </c>
      <c r="C4273" s="1" t="str">
        <f>IFERROR(__xludf.DUMMYFUNCTION("GOOGLETRANSLATE(A4273,""en"",""pt-br"")"),"objeção")</f>
        <v>objeção</v>
      </c>
      <c r="D4273" s="1" t="str">
        <f>IFERROR(__xludf.DUMMYFUNCTION("GOOGLETRANSLATE(B4273,""en"",""pt-br"")"),"negativo")</f>
        <v>negativo</v>
      </c>
    </row>
    <row r="4274" ht="15.75" customHeight="1">
      <c r="A4274" s="2" t="s">
        <v>4272</v>
      </c>
      <c r="B4274" s="2" t="s">
        <v>3</v>
      </c>
      <c r="C4274" s="1" t="str">
        <f>IFERROR(__xludf.DUMMYFUNCTION("GOOGLETRANSLATE(A4274,""en"",""pt-br"")"),"censurável")</f>
        <v>censurável</v>
      </c>
      <c r="D4274" s="1" t="str">
        <f>IFERROR(__xludf.DUMMYFUNCTION("GOOGLETRANSLATE(B4274,""en"",""pt-br"")"),"negativo")</f>
        <v>negativo</v>
      </c>
    </row>
    <row r="4275" ht="15.75" customHeight="1">
      <c r="A4275" s="2" t="s">
        <v>4273</v>
      </c>
      <c r="B4275" s="2" t="s">
        <v>3</v>
      </c>
      <c r="C4275" s="1" t="str">
        <f>IFERROR(__xludf.DUMMYFUNCTION("GOOGLETRANSLATE(A4275,""en"",""pt-br"")"),"objeções")</f>
        <v>objeções</v>
      </c>
      <c r="D4275" s="1" t="str">
        <f>IFERROR(__xludf.DUMMYFUNCTION("GOOGLETRANSLATE(B4275,""en"",""pt-br"")"),"negativo")</f>
        <v>negativo</v>
      </c>
    </row>
    <row r="4276" ht="15.75" customHeight="1">
      <c r="A4276" s="2" t="s">
        <v>4274</v>
      </c>
      <c r="B4276" s="2" t="s">
        <v>3</v>
      </c>
      <c r="C4276" s="1" t="str">
        <f>IFERROR(__xludf.DUMMYFUNCTION("GOOGLETRANSLATE(A4276,""en"",""pt-br"")"),"oblíquo")</f>
        <v>oblíquo</v>
      </c>
      <c r="D4276" s="1" t="str">
        <f>IFERROR(__xludf.DUMMYFUNCTION("GOOGLETRANSLATE(B4276,""en"",""pt-br"")"),"negativo")</f>
        <v>negativo</v>
      </c>
    </row>
    <row r="4277" ht="15.75" customHeight="1">
      <c r="A4277" s="2" t="s">
        <v>4275</v>
      </c>
      <c r="B4277" s="2" t="s">
        <v>3</v>
      </c>
      <c r="C4277" s="1" t="str">
        <f>IFERROR(__xludf.DUMMYFUNCTION("GOOGLETRANSLATE(A4277,""en"",""pt-br"")"),"obliterar")</f>
        <v>obliterar</v>
      </c>
      <c r="D4277" s="1" t="str">
        <f>IFERROR(__xludf.DUMMYFUNCTION("GOOGLETRANSLATE(B4277,""en"",""pt-br"")"),"negativo")</f>
        <v>negativo</v>
      </c>
    </row>
    <row r="4278" ht="15.75" customHeight="1">
      <c r="A4278" s="2" t="s">
        <v>4276</v>
      </c>
      <c r="B4278" s="2" t="s">
        <v>3</v>
      </c>
      <c r="C4278" s="1" t="str">
        <f>IFERROR(__xludf.DUMMYFUNCTION("GOOGLETRANSLATE(A4278,""en"",""pt-br"")"),"obliterado")</f>
        <v>obliterado</v>
      </c>
      <c r="D4278" s="1" t="str">
        <f>IFERROR(__xludf.DUMMYFUNCTION("GOOGLETRANSLATE(B4278,""en"",""pt-br"")"),"negativo")</f>
        <v>negativo</v>
      </c>
    </row>
    <row r="4279" ht="15.75" customHeight="1">
      <c r="A4279" s="2" t="s">
        <v>4277</v>
      </c>
      <c r="B4279" s="2" t="s">
        <v>3</v>
      </c>
      <c r="C4279" s="1" t="str">
        <f>IFERROR(__xludf.DUMMYFUNCTION("GOOGLETRANSLATE(A4279,""en"",""pt-br"")"),"desatento")</f>
        <v>desatento</v>
      </c>
      <c r="D4279" s="1" t="str">
        <f>IFERROR(__xludf.DUMMYFUNCTION("GOOGLETRANSLATE(B4279,""en"",""pt-br"")"),"negativo")</f>
        <v>negativo</v>
      </c>
    </row>
    <row r="4280" ht="15.75" customHeight="1">
      <c r="A4280" s="2" t="s">
        <v>4278</v>
      </c>
      <c r="B4280" s="2" t="s">
        <v>3</v>
      </c>
      <c r="C4280" s="1" t="str">
        <f>IFERROR(__xludf.DUMMYFUNCTION("GOOGLETRANSLATE(A4280,""en"",""pt-br"")"),"obnóxio")</f>
        <v>obnóxio</v>
      </c>
      <c r="D4280" s="1" t="str">
        <f>IFERROR(__xludf.DUMMYFUNCTION("GOOGLETRANSLATE(B4280,""en"",""pt-br"")"),"negativo")</f>
        <v>negativo</v>
      </c>
    </row>
    <row r="4281" ht="15.75" customHeight="1">
      <c r="A4281" s="2" t="s">
        <v>4279</v>
      </c>
      <c r="B4281" s="2" t="s">
        <v>3</v>
      </c>
      <c r="C4281" s="1" t="str">
        <f>IFERROR(__xludf.DUMMYFUNCTION("GOOGLETRANSLATE(A4281,""en"",""pt-br"")"),"obnoxiously")</f>
        <v>obnoxiously</v>
      </c>
      <c r="D4281" s="1" t="str">
        <f>IFERROR(__xludf.DUMMYFUNCTION("GOOGLETRANSLATE(B4281,""en"",""pt-br"")"),"negativo")</f>
        <v>negativo</v>
      </c>
    </row>
    <row r="4282" ht="15.75" customHeight="1">
      <c r="A4282" s="2" t="s">
        <v>4280</v>
      </c>
      <c r="B4282" s="2" t="s">
        <v>3</v>
      </c>
      <c r="C4282" s="1" t="str">
        <f>IFERROR(__xludf.DUMMYFUNCTION("GOOGLETRANSLATE(A4282,""en"",""pt-br"")"),"obsceno")</f>
        <v>obsceno</v>
      </c>
      <c r="D4282" s="1" t="str">
        <f>IFERROR(__xludf.DUMMYFUNCTION("GOOGLETRANSLATE(B4282,""en"",""pt-br"")"),"negativo")</f>
        <v>negativo</v>
      </c>
    </row>
    <row r="4283" ht="15.75" customHeight="1">
      <c r="A4283" s="2" t="s">
        <v>4281</v>
      </c>
      <c r="B4283" s="2" t="s">
        <v>3</v>
      </c>
      <c r="C4283" s="1" t="str">
        <f>IFERROR(__xludf.DUMMYFUNCTION("GOOGLETRANSLATE(A4283,""en"",""pt-br"")"),"obscenamente")</f>
        <v>obscenamente</v>
      </c>
      <c r="D4283" s="1" t="str">
        <f>IFERROR(__xludf.DUMMYFUNCTION("GOOGLETRANSLATE(B4283,""en"",""pt-br"")"),"negativo")</f>
        <v>negativo</v>
      </c>
    </row>
    <row r="4284" ht="15.75" customHeight="1">
      <c r="A4284" s="2" t="s">
        <v>4282</v>
      </c>
      <c r="B4284" s="2" t="s">
        <v>3</v>
      </c>
      <c r="C4284" s="1" t="str">
        <f>IFERROR(__xludf.DUMMYFUNCTION("GOOGLETRANSLATE(A4284,""en"",""pt-br"")"),"obscenidade")</f>
        <v>obscenidade</v>
      </c>
      <c r="D4284" s="1" t="str">
        <f>IFERROR(__xludf.DUMMYFUNCTION("GOOGLETRANSLATE(B4284,""en"",""pt-br"")"),"negativo")</f>
        <v>negativo</v>
      </c>
    </row>
    <row r="4285" ht="15.75" customHeight="1">
      <c r="A4285" s="2" t="s">
        <v>4283</v>
      </c>
      <c r="B4285" s="2" t="s">
        <v>3</v>
      </c>
      <c r="C4285" s="1" t="str">
        <f>IFERROR(__xludf.DUMMYFUNCTION("GOOGLETRANSLATE(A4285,""en"",""pt-br"")"),"obscurecer")</f>
        <v>obscurecer</v>
      </c>
      <c r="D4285" s="1" t="str">
        <f>IFERROR(__xludf.DUMMYFUNCTION("GOOGLETRANSLATE(B4285,""en"",""pt-br"")"),"negativo")</f>
        <v>negativo</v>
      </c>
    </row>
    <row r="4286" ht="15.75" customHeight="1">
      <c r="A4286" s="2" t="s">
        <v>4284</v>
      </c>
      <c r="B4286" s="2" t="s">
        <v>3</v>
      </c>
      <c r="C4286" s="1" t="str">
        <f>IFERROR(__xludf.DUMMYFUNCTION("GOOGLETRANSLATE(A4286,""en"",""pt-br"")"),"obscurecida")</f>
        <v>obscurecida</v>
      </c>
      <c r="D4286" s="1" t="str">
        <f>IFERROR(__xludf.DUMMYFUNCTION("GOOGLETRANSLATE(B4286,""en"",""pt-br"")"),"negativo")</f>
        <v>negativo</v>
      </c>
    </row>
    <row r="4287" ht="15.75" customHeight="1">
      <c r="A4287" s="2" t="s">
        <v>4285</v>
      </c>
      <c r="B4287" s="2" t="s">
        <v>3</v>
      </c>
      <c r="C4287" s="1" t="str">
        <f>IFERROR(__xludf.DUMMYFUNCTION("GOOGLETRANSLATE(A4287,""en"",""pt-br"")"),"obscurece")</f>
        <v>obscurece</v>
      </c>
      <c r="D4287" s="1" t="str">
        <f>IFERROR(__xludf.DUMMYFUNCTION("GOOGLETRANSLATE(B4287,""en"",""pt-br"")"),"negativo")</f>
        <v>negativo</v>
      </c>
    </row>
    <row r="4288" ht="15.75" customHeight="1">
      <c r="A4288" s="2" t="s">
        <v>4286</v>
      </c>
      <c r="B4288" s="2" t="s">
        <v>3</v>
      </c>
      <c r="C4288" s="1" t="str">
        <f>IFERROR(__xludf.DUMMYFUNCTION("GOOGLETRANSLATE(A4288,""en"",""pt-br"")"),"obscuridade")</f>
        <v>obscuridade</v>
      </c>
      <c r="D4288" s="1" t="str">
        <f>IFERROR(__xludf.DUMMYFUNCTION("GOOGLETRANSLATE(B4288,""en"",""pt-br"")"),"negativo")</f>
        <v>negativo</v>
      </c>
    </row>
    <row r="4289" ht="15.75" customHeight="1">
      <c r="A4289" s="2" t="s">
        <v>4287</v>
      </c>
      <c r="B4289" s="2" t="s">
        <v>3</v>
      </c>
      <c r="C4289" s="1" t="str">
        <f>IFERROR(__xludf.DUMMYFUNCTION("GOOGLETRANSLATE(A4289,""en"",""pt-br"")"),"obsess")</f>
        <v>obsess</v>
      </c>
      <c r="D4289" s="1" t="str">
        <f>IFERROR(__xludf.DUMMYFUNCTION("GOOGLETRANSLATE(B4289,""en"",""pt-br"")"),"negativo")</f>
        <v>negativo</v>
      </c>
    </row>
    <row r="4290" ht="15.75" customHeight="1">
      <c r="A4290" s="2" t="s">
        <v>4288</v>
      </c>
      <c r="B4290" s="2" t="s">
        <v>14</v>
      </c>
      <c r="C4290" s="1" t="str">
        <f>IFERROR(__xludf.DUMMYFUNCTION("GOOGLETRANSLATE(A4290,""en"",""pt-br"")"),"obsessão")</f>
        <v>obsessão</v>
      </c>
      <c r="D4290" s="1" t="str">
        <f>IFERROR(__xludf.DUMMYFUNCTION("GOOGLETRANSLATE(B4290,""en"",""pt-br"")"),"positivo")</f>
        <v>positivo</v>
      </c>
    </row>
    <row r="4291" ht="15.75" customHeight="1">
      <c r="A4291" s="2" t="s">
        <v>4289</v>
      </c>
      <c r="B4291" s="2" t="s">
        <v>14</v>
      </c>
      <c r="C4291" s="1" t="str">
        <f>IFERROR(__xludf.DUMMYFUNCTION("GOOGLETRANSLATE(A4291,""en"",""pt-br"")"),"obsessões")</f>
        <v>obsessões</v>
      </c>
      <c r="D4291" s="1" t="str">
        <f>IFERROR(__xludf.DUMMYFUNCTION("GOOGLETRANSLATE(B4291,""en"",""pt-br"")"),"positivo")</f>
        <v>positivo</v>
      </c>
    </row>
    <row r="4292" ht="15.75" customHeight="1">
      <c r="A4292" s="2" t="s">
        <v>4290</v>
      </c>
      <c r="B4292" s="2" t="s">
        <v>3</v>
      </c>
      <c r="C4292" s="1" t="str">
        <f>IFERROR(__xludf.DUMMYFUNCTION("GOOGLETRANSLATE(A4292,""en"",""pt-br"")"),"obsessivo")</f>
        <v>obsessivo</v>
      </c>
      <c r="D4292" s="1" t="str">
        <f>IFERROR(__xludf.DUMMYFUNCTION("GOOGLETRANSLATE(B4292,""en"",""pt-br"")"),"negativo")</f>
        <v>negativo</v>
      </c>
    </row>
    <row r="4293" ht="15.75" customHeight="1">
      <c r="A4293" s="2" t="s">
        <v>4291</v>
      </c>
      <c r="B4293" s="2" t="s">
        <v>3</v>
      </c>
      <c r="C4293" s="1" t="str">
        <f>IFERROR(__xludf.DUMMYFUNCTION("GOOGLETRANSLATE(A4293,""en"",""pt-br"")"),"obsessivamente")</f>
        <v>obsessivamente</v>
      </c>
      <c r="D4293" s="1" t="str">
        <f>IFERROR(__xludf.DUMMYFUNCTION("GOOGLETRANSLATE(B4293,""en"",""pt-br"")"),"negativo")</f>
        <v>negativo</v>
      </c>
    </row>
    <row r="4294" ht="15.75" customHeight="1">
      <c r="A4294" s="2" t="s">
        <v>4292</v>
      </c>
      <c r="B4294" s="2" t="s">
        <v>3</v>
      </c>
      <c r="C4294" s="1" t="str">
        <f>IFERROR(__xludf.DUMMYFUNCTION("GOOGLETRANSLATE(A4294,""en"",""pt-br"")"),"obsessiveness")</f>
        <v>obsessiveness</v>
      </c>
      <c r="D4294" s="1" t="str">
        <f>IFERROR(__xludf.DUMMYFUNCTION("GOOGLETRANSLATE(B4294,""en"",""pt-br"")"),"negativo")</f>
        <v>negativo</v>
      </c>
    </row>
    <row r="4295" ht="15.75" customHeight="1">
      <c r="A4295" s="2" t="s">
        <v>4293</v>
      </c>
      <c r="B4295" s="2" t="s">
        <v>3</v>
      </c>
      <c r="C4295" s="1" t="str">
        <f>IFERROR(__xludf.DUMMYFUNCTION("GOOGLETRANSLATE(A4295,""en"",""pt-br"")"),"obsoleto")</f>
        <v>obsoleto</v>
      </c>
      <c r="D4295" s="1" t="str">
        <f>IFERROR(__xludf.DUMMYFUNCTION("GOOGLETRANSLATE(B4295,""en"",""pt-br"")"),"negativo")</f>
        <v>negativo</v>
      </c>
    </row>
    <row r="4296" ht="15.75" customHeight="1">
      <c r="A4296" s="2" t="s">
        <v>4294</v>
      </c>
      <c r="B4296" s="2" t="s">
        <v>3</v>
      </c>
      <c r="C4296" s="1" t="str">
        <f>IFERROR(__xludf.DUMMYFUNCTION("GOOGLETRANSLATE(A4296,""en"",""pt-br"")"),"obstáculo")</f>
        <v>obstáculo</v>
      </c>
      <c r="D4296" s="1" t="str">
        <f>IFERROR(__xludf.DUMMYFUNCTION("GOOGLETRANSLATE(B4296,""en"",""pt-br"")"),"negativo")</f>
        <v>negativo</v>
      </c>
    </row>
    <row r="4297" ht="15.75" customHeight="1">
      <c r="A4297" s="2" t="s">
        <v>4295</v>
      </c>
      <c r="B4297" s="2" t="s">
        <v>3</v>
      </c>
      <c r="C4297" s="1" t="str">
        <f>IFERROR(__xludf.DUMMYFUNCTION("GOOGLETRANSLATE(A4297,""en"",""pt-br"")"),"obstinado")</f>
        <v>obstinado</v>
      </c>
      <c r="D4297" s="1" t="str">
        <f>IFERROR(__xludf.DUMMYFUNCTION("GOOGLETRANSLATE(B4297,""en"",""pt-br"")"),"negativo")</f>
        <v>negativo</v>
      </c>
    </row>
    <row r="4298" ht="15.75" customHeight="1">
      <c r="A4298" s="2" t="s">
        <v>4296</v>
      </c>
      <c r="B4298" s="2" t="s">
        <v>3</v>
      </c>
      <c r="C4298" s="1" t="str">
        <f>IFERROR(__xludf.DUMMYFUNCTION("GOOGLETRANSLATE(A4298,""en"",""pt-br"")"),"obstinadamente")</f>
        <v>obstinadamente</v>
      </c>
      <c r="D4298" s="1" t="str">
        <f>IFERROR(__xludf.DUMMYFUNCTION("GOOGLETRANSLATE(B4298,""en"",""pt-br"")"),"negativo")</f>
        <v>negativo</v>
      </c>
    </row>
    <row r="4299" ht="15.75" customHeight="1">
      <c r="A4299" s="2" t="s">
        <v>4297</v>
      </c>
      <c r="B4299" s="2" t="s">
        <v>3</v>
      </c>
      <c r="C4299" s="1" t="str">
        <f>IFERROR(__xludf.DUMMYFUNCTION("GOOGLETRANSLATE(A4299,""en"",""pt-br"")"),"obstruir")</f>
        <v>obstruir</v>
      </c>
      <c r="D4299" s="1" t="str">
        <f>IFERROR(__xludf.DUMMYFUNCTION("GOOGLETRANSLATE(B4299,""en"",""pt-br"")"),"negativo")</f>
        <v>negativo</v>
      </c>
    </row>
    <row r="4300" ht="15.75" customHeight="1">
      <c r="A4300" s="2" t="s">
        <v>4298</v>
      </c>
      <c r="B4300" s="2" t="s">
        <v>3</v>
      </c>
      <c r="C4300" s="1" t="str">
        <f>IFERROR(__xludf.DUMMYFUNCTION("GOOGLETRANSLATE(A4300,""en"",""pt-br"")"),"obstruído")</f>
        <v>obstruído</v>
      </c>
      <c r="D4300" s="1" t="str">
        <f>IFERROR(__xludf.DUMMYFUNCTION("GOOGLETRANSLATE(B4300,""en"",""pt-br"")"),"negativo")</f>
        <v>negativo</v>
      </c>
    </row>
    <row r="4301" ht="15.75" customHeight="1">
      <c r="A4301" s="2" t="s">
        <v>4299</v>
      </c>
      <c r="B4301" s="2" t="s">
        <v>3</v>
      </c>
      <c r="C4301" s="1" t="str">
        <f>IFERROR(__xludf.DUMMYFUNCTION("GOOGLETRANSLATE(A4301,""en"",""pt-br"")"),"obstruindo")</f>
        <v>obstruindo</v>
      </c>
      <c r="D4301" s="1" t="str">
        <f>IFERROR(__xludf.DUMMYFUNCTION("GOOGLETRANSLATE(B4301,""en"",""pt-br"")"),"negativo")</f>
        <v>negativo</v>
      </c>
    </row>
    <row r="4302" ht="15.75" customHeight="1">
      <c r="A4302" s="2" t="s">
        <v>4300</v>
      </c>
      <c r="B4302" s="2" t="s">
        <v>3</v>
      </c>
      <c r="C4302" s="1" t="str">
        <f>IFERROR(__xludf.DUMMYFUNCTION("GOOGLETRANSLATE(A4302,""en"",""pt-br"")"),"obstrução")</f>
        <v>obstrução</v>
      </c>
      <c r="D4302" s="1" t="str">
        <f>IFERROR(__xludf.DUMMYFUNCTION("GOOGLETRANSLATE(B4302,""en"",""pt-br"")"),"negativo")</f>
        <v>negativo</v>
      </c>
    </row>
    <row r="4303" ht="15.75" customHeight="1">
      <c r="A4303" s="2" t="s">
        <v>4301</v>
      </c>
      <c r="B4303" s="2" t="s">
        <v>3</v>
      </c>
      <c r="C4303" s="1" t="str">
        <f>IFERROR(__xludf.DUMMYFUNCTION("GOOGLETRANSLATE(A4303,""en"",""pt-br"")"),"obstrua")</f>
        <v>obstrua</v>
      </c>
      <c r="D4303" s="1" t="str">
        <f>IFERROR(__xludf.DUMMYFUNCTION("GOOGLETRANSLATE(B4303,""en"",""pt-br"")"),"negativo")</f>
        <v>negativo</v>
      </c>
    </row>
    <row r="4304" ht="15.75" customHeight="1">
      <c r="A4304" s="2" t="s">
        <v>4302</v>
      </c>
      <c r="B4304" s="2" t="s">
        <v>14</v>
      </c>
      <c r="C4304" s="1" t="str">
        <f>IFERROR(__xludf.DUMMYFUNCTION("GOOGLETRANSLATE(A4304,""en"",""pt-br"")"),"obtível")</f>
        <v>obtível</v>
      </c>
      <c r="D4304" s="1" t="str">
        <f>IFERROR(__xludf.DUMMYFUNCTION("GOOGLETRANSLATE(B4304,""en"",""pt-br"")"),"positivo")</f>
        <v>positivo</v>
      </c>
    </row>
    <row r="4305" ht="15.75" customHeight="1">
      <c r="A4305" s="2" t="s">
        <v>4303</v>
      </c>
      <c r="B4305" s="2" t="s">
        <v>3</v>
      </c>
      <c r="C4305" s="1" t="str">
        <f>IFERROR(__xludf.DUMMYFUNCTION("GOOGLETRANSLATE(A4305,""en"",""pt-br"")"),"indiscreto")</f>
        <v>indiscreto</v>
      </c>
      <c r="D4305" s="1" t="str">
        <f>IFERROR(__xludf.DUMMYFUNCTION("GOOGLETRANSLATE(B4305,""en"",""pt-br"")"),"negativo")</f>
        <v>negativo</v>
      </c>
    </row>
    <row r="4306" ht="15.75" customHeight="1">
      <c r="A4306" s="2" t="s">
        <v>4304</v>
      </c>
      <c r="B4306" s="2" t="s">
        <v>3</v>
      </c>
      <c r="C4306" s="1" t="str">
        <f>IFERROR(__xludf.DUMMYFUNCTION("GOOGLETRANSLATE(A4306,""en"",""pt-br"")"),"obtuso")</f>
        <v>obtuso</v>
      </c>
      <c r="D4306" s="1" t="str">
        <f>IFERROR(__xludf.DUMMYFUNCTION("GOOGLETRANSLATE(B4306,""en"",""pt-br"")"),"negativo")</f>
        <v>negativo</v>
      </c>
    </row>
    <row r="4307" ht="15.75" customHeight="1">
      <c r="A4307" s="2" t="s">
        <v>4305</v>
      </c>
      <c r="B4307" s="2" t="s">
        <v>3</v>
      </c>
      <c r="C4307" s="1" t="str">
        <f>IFERROR(__xludf.DUMMYFUNCTION("GOOGLETRANSLATE(A4307,""en"",""pt-br"")"),"Ocludir")</f>
        <v>Ocludir</v>
      </c>
      <c r="D4307" s="1" t="str">
        <f>IFERROR(__xludf.DUMMYFUNCTION("GOOGLETRANSLATE(B4307,""en"",""pt-br"")"),"negativo")</f>
        <v>negativo</v>
      </c>
    </row>
    <row r="4308" ht="15.75" customHeight="1">
      <c r="A4308" s="2" t="s">
        <v>4306</v>
      </c>
      <c r="B4308" s="2" t="s">
        <v>3</v>
      </c>
      <c r="C4308" s="1" t="str">
        <f>IFERROR(__xludf.DUMMYFUNCTION("GOOGLETRANSLATE(A4308,""en"",""pt-br"")"),"ocluído")</f>
        <v>ocluído</v>
      </c>
      <c r="D4308" s="1" t="str">
        <f>IFERROR(__xludf.DUMMYFUNCTION("GOOGLETRANSLATE(B4308,""en"",""pt-br"")"),"negativo")</f>
        <v>negativo</v>
      </c>
    </row>
    <row r="4309" ht="15.75" customHeight="1">
      <c r="A4309" s="2" t="s">
        <v>4307</v>
      </c>
      <c r="B4309" s="2" t="s">
        <v>3</v>
      </c>
      <c r="C4309" s="1" t="str">
        <f>IFERROR(__xludf.DUMMYFUNCTION("GOOGLETRANSLATE(A4309,""en"",""pt-br"")"),"occludes")</f>
        <v>occludes</v>
      </c>
      <c r="D4309" s="1" t="str">
        <f>IFERROR(__xludf.DUMMYFUNCTION("GOOGLETRANSLATE(B4309,""en"",""pt-br"")"),"negativo")</f>
        <v>negativo</v>
      </c>
    </row>
    <row r="4310" ht="15.75" customHeight="1">
      <c r="A4310" s="2" t="s">
        <v>4308</v>
      </c>
      <c r="B4310" s="2" t="s">
        <v>3</v>
      </c>
      <c r="C4310" s="1" t="str">
        <f>IFERROR(__xludf.DUMMYFUNCTION("GOOGLETRANSLATE(A4310,""en"",""pt-br"")"),"oclusão")</f>
        <v>oclusão</v>
      </c>
      <c r="D4310" s="1" t="str">
        <f>IFERROR(__xludf.DUMMYFUNCTION("GOOGLETRANSLATE(B4310,""en"",""pt-br"")"),"negativo")</f>
        <v>negativo</v>
      </c>
    </row>
    <row r="4311" ht="15.75" customHeight="1">
      <c r="A4311" s="2" t="s">
        <v>4309</v>
      </c>
      <c r="B4311" s="2" t="s">
        <v>3</v>
      </c>
      <c r="C4311" s="1" t="str">
        <f>IFERROR(__xludf.DUMMYFUNCTION("GOOGLETRANSLATE(A4311,""en"",""pt-br"")"),"ímpar")</f>
        <v>ímpar</v>
      </c>
      <c r="D4311" s="1" t="str">
        <f>IFERROR(__xludf.DUMMYFUNCTION("GOOGLETRANSLATE(B4311,""en"",""pt-br"")"),"negativo")</f>
        <v>negativo</v>
      </c>
    </row>
    <row r="4312" ht="15.75" customHeight="1">
      <c r="A4312" s="2" t="s">
        <v>4310</v>
      </c>
      <c r="B4312" s="2" t="s">
        <v>3</v>
      </c>
      <c r="C4312" s="1" t="str">
        <f>IFERROR(__xludf.DUMMYFUNCTION("GOOGLETRANSLATE(A4312,""en"",""pt-br"")"),"odder")</f>
        <v>odder</v>
      </c>
      <c r="D4312" s="1" t="str">
        <f>IFERROR(__xludf.DUMMYFUNCTION("GOOGLETRANSLATE(B4312,""en"",""pt-br"")"),"negativo")</f>
        <v>negativo</v>
      </c>
    </row>
    <row r="4313" ht="15.75" customHeight="1">
      <c r="A4313" s="2" t="s">
        <v>4311</v>
      </c>
      <c r="B4313" s="2" t="s">
        <v>3</v>
      </c>
      <c r="C4313" s="1" t="str">
        <f>IFERROR(__xludf.DUMMYFUNCTION("GOOGLETRANSLATE(A4313,""en"",""pt-br"")"),"mais estranha")</f>
        <v>mais estranha</v>
      </c>
      <c r="D4313" s="1" t="str">
        <f>IFERROR(__xludf.DUMMYFUNCTION("GOOGLETRANSLATE(B4313,""en"",""pt-br"")"),"negativo")</f>
        <v>negativo</v>
      </c>
    </row>
    <row r="4314" ht="15.75" customHeight="1">
      <c r="A4314" s="2" t="s">
        <v>4312</v>
      </c>
      <c r="B4314" s="2" t="s">
        <v>3</v>
      </c>
      <c r="C4314" s="1" t="str">
        <f>IFERROR(__xludf.DUMMYFUNCTION("GOOGLETRANSLATE(A4314,""en"",""pt-br"")"),"esquisitices")</f>
        <v>esquisitices</v>
      </c>
      <c r="D4314" s="1" t="str">
        <f>IFERROR(__xludf.DUMMYFUNCTION("GOOGLETRANSLATE(B4314,""en"",""pt-br"")"),"negativo")</f>
        <v>negativo</v>
      </c>
    </row>
    <row r="4315" ht="15.75" customHeight="1">
      <c r="A4315" s="2" t="s">
        <v>4313</v>
      </c>
      <c r="B4315" s="2" t="s">
        <v>3</v>
      </c>
      <c r="C4315" s="1" t="str">
        <f>IFERROR(__xludf.DUMMYFUNCTION("GOOGLETRANSLATE(A4315,""en"",""pt-br"")"),"esquisitice")</f>
        <v>esquisitice</v>
      </c>
      <c r="D4315" s="1" t="str">
        <f>IFERROR(__xludf.DUMMYFUNCTION("GOOGLETRANSLATE(B4315,""en"",""pt-br"")"),"negativo")</f>
        <v>negativo</v>
      </c>
    </row>
    <row r="4316" ht="15.75" customHeight="1">
      <c r="A4316" s="2" t="s">
        <v>4314</v>
      </c>
      <c r="B4316" s="2" t="s">
        <v>3</v>
      </c>
      <c r="C4316" s="1" t="str">
        <f>IFERROR(__xludf.DUMMYFUNCTION("GOOGLETRANSLATE(A4316,""en"",""pt-br"")"),"estranhamente")</f>
        <v>estranhamente</v>
      </c>
      <c r="D4316" s="1" t="str">
        <f>IFERROR(__xludf.DUMMYFUNCTION("GOOGLETRANSLATE(B4316,""en"",""pt-br"")"),"negativo")</f>
        <v>negativo</v>
      </c>
    </row>
    <row r="4317" ht="15.75" customHeight="1">
      <c r="A4317" s="2" t="s">
        <v>4315</v>
      </c>
      <c r="B4317" s="2" t="s">
        <v>3</v>
      </c>
      <c r="C4317" s="1" t="str">
        <f>IFERROR(__xludf.DUMMYFUNCTION("GOOGLETRANSLATE(A4317,""en"",""pt-br"")"),"odor")</f>
        <v>odor</v>
      </c>
      <c r="D4317" s="1" t="str">
        <f>IFERROR(__xludf.DUMMYFUNCTION("GOOGLETRANSLATE(B4317,""en"",""pt-br"")"),"negativo")</f>
        <v>negativo</v>
      </c>
    </row>
    <row r="4318" ht="15.75" customHeight="1">
      <c r="A4318" s="2" t="s">
        <v>4316</v>
      </c>
      <c r="B4318" s="2" t="s">
        <v>3</v>
      </c>
      <c r="C4318" s="1" t="str">
        <f>IFERROR(__xludf.DUMMYFUNCTION("GOOGLETRANSLATE(A4318,""en"",""pt-br"")"),"ofensa")</f>
        <v>ofensa</v>
      </c>
      <c r="D4318" s="1" t="str">
        <f>IFERROR(__xludf.DUMMYFUNCTION("GOOGLETRANSLATE(B4318,""en"",""pt-br"")"),"negativo")</f>
        <v>negativo</v>
      </c>
    </row>
    <row r="4319" ht="15.75" customHeight="1">
      <c r="A4319" s="2" t="s">
        <v>4317</v>
      </c>
      <c r="B4319" s="2" t="s">
        <v>3</v>
      </c>
      <c r="C4319" s="1" t="str">
        <f>IFERROR(__xludf.DUMMYFUNCTION("GOOGLETRANSLATE(A4319,""en"",""pt-br"")"),"ofender")</f>
        <v>ofender</v>
      </c>
      <c r="D4319" s="1" t="str">
        <f>IFERROR(__xludf.DUMMYFUNCTION("GOOGLETRANSLATE(B4319,""en"",""pt-br"")"),"negativo")</f>
        <v>negativo</v>
      </c>
    </row>
    <row r="4320" ht="15.75" customHeight="1">
      <c r="A4320" s="2" t="s">
        <v>4318</v>
      </c>
      <c r="B4320" s="2" t="s">
        <v>3</v>
      </c>
      <c r="C4320" s="1" t="str">
        <f>IFERROR(__xludf.DUMMYFUNCTION("GOOGLETRANSLATE(A4320,""en"",""pt-br"")"),"ofensor")</f>
        <v>ofensor</v>
      </c>
      <c r="D4320" s="1" t="str">
        <f>IFERROR(__xludf.DUMMYFUNCTION("GOOGLETRANSLATE(B4320,""en"",""pt-br"")"),"negativo")</f>
        <v>negativo</v>
      </c>
    </row>
    <row r="4321" ht="15.75" customHeight="1">
      <c r="A4321" s="2" t="s">
        <v>4319</v>
      </c>
      <c r="B4321" s="2" t="s">
        <v>3</v>
      </c>
      <c r="C4321" s="1" t="str">
        <f>IFERROR(__xludf.DUMMYFUNCTION("GOOGLETRANSLATE(A4321,""en"",""pt-br"")"),"ofensor")</f>
        <v>ofensor</v>
      </c>
      <c r="D4321" s="1" t="str">
        <f>IFERROR(__xludf.DUMMYFUNCTION("GOOGLETRANSLATE(B4321,""en"",""pt-br"")"),"negativo")</f>
        <v>negativo</v>
      </c>
    </row>
    <row r="4322" ht="15.75" customHeight="1">
      <c r="A4322" s="2" t="s">
        <v>4320</v>
      </c>
      <c r="B4322" s="2" t="s">
        <v>3</v>
      </c>
      <c r="C4322" s="1" t="str">
        <f>IFERROR(__xludf.DUMMYFUNCTION("GOOGLETRANSLATE(A4322,""en"",""pt-br"")"),"ofensas")</f>
        <v>ofensas</v>
      </c>
      <c r="D4322" s="1" t="str">
        <f>IFERROR(__xludf.DUMMYFUNCTION("GOOGLETRANSLATE(B4322,""en"",""pt-br"")"),"negativo")</f>
        <v>negativo</v>
      </c>
    </row>
    <row r="4323" ht="15.75" customHeight="1">
      <c r="A4323" s="2" t="s">
        <v>4321</v>
      </c>
      <c r="B4323" s="2" t="s">
        <v>3</v>
      </c>
      <c r="C4323" s="1" t="str">
        <f>IFERROR(__xludf.DUMMYFUNCTION("GOOGLETRANSLATE(A4323,""en"",""pt-br"")"),"ofensiva")</f>
        <v>ofensiva</v>
      </c>
      <c r="D4323" s="1" t="str">
        <f>IFERROR(__xludf.DUMMYFUNCTION("GOOGLETRANSLATE(B4323,""en"",""pt-br"")"),"negativo")</f>
        <v>negativo</v>
      </c>
    </row>
    <row r="4324" ht="15.75" customHeight="1">
      <c r="A4324" s="2" t="s">
        <v>4322</v>
      </c>
      <c r="B4324" s="2" t="s">
        <v>3</v>
      </c>
      <c r="C4324" s="1" t="str">
        <f>IFERROR(__xludf.DUMMYFUNCTION("GOOGLETRANSLATE(A4324,""en"",""pt-br"")"),"ofensivamente")</f>
        <v>ofensivamente</v>
      </c>
      <c r="D4324" s="1" t="str">
        <f>IFERROR(__xludf.DUMMYFUNCTION("GOOGLETRANSLATE(B4324,""en"",""pt-br"")"),"negativo")</f>
        <v>negativo</v>
      </c>
    </row>
    <row r="4325" ht="15.75" customHeight="1">
      <c r="A4325" s="2" t="s">
        <v>4323</v>
      </c>
      <c r="B4325" s="2" t="s">
        <v>3</v>
      </c>
      <c r="C4325" s="1" t="str">
        <f>IFERROR(__xludf.DUMMYFUNCTION("GOOGLETRANSLATE(A4325,""en"",""pt-br"")"),"ofensividade")</f>
        <v>ofensividade</v>
      </c>
      <c r="D4325" s="1" t="str">
        <f>IFERROR(__xludf.DUMMYFUNCTION("GOOGLETRANSLATE(B4325,""en"",""pt-br"")"),"negativo")</f>
        <v>negativo</v>
      </c>
    </row>
    <row r="4326" ht="15.75" customHeight="1">
      <c r="A4326" s="2" t="s">
        <v>4324</v>
      </c>
      <c r="B4326" s="2" t="s">
        <v>3</v>
      </c>
      <c r="C4326" s="1" t="str">
        <f>IFERROR(__xludf.DUMMYFUNCTION("GOOGLETRANSLATE(A4326,""en"",""pt-br"")"),"oficioso")</f>
        <v>oficioso</v>
      </c>
      <c r="D4326" s="1" t="str">
        <f>IFERROR(__xludf.DUMMYFUNCTION("GOOGLETRANSLATE(B4326,""en"",""pt-br"")"),"negativo")</f>
        <v>negativo</v>
      </c>
    </row>
    <row r="4327" ht="15.75" customHeight="1">
      <c r="A4327" s="2" t="s">
        <v>4325</v>
      </c>
      <c r="B4327" s="2" t="s">
        <v>3</v>
      </c>
      <c r="C4327" s="1" t="str">
        <f>IFERROR(__xludf.DUMMYFUNCTION("GOOGLETRANSLATE(A4327,""en"",""pt-br"")"),"ameaçador")</f>
        <v>ameaçador</v>
      </c>
      <c r="D4327" s="1" t="str">
        <f>IFERROR(__xludf.DUMMYFUNCTION("GOOGLETRANSLATE(B4327,""en"",""pt-br"")"),"negativo")</f>
        <v>negativo</v>
      </c>
    </row>
    <row r="4328" ht="15.75" customHeight="1">
      <c r="A4328" s="2" t="s">
        <v>4326</v>
      </c>
      <c r="B4328" s="2" t="s">
        <v>3</v>
      </c>
      <c r="C4328" s="1" t="str">
        <f>IFERROR(__xludf.DUMMYFUNCTION("GOOGLETRANSLATE(A4328,""en"",""pt-br"")"),"ameaçadoramente")</f>
        <v>ameaçadoramente</v>
      </c>
      <c r="D4328" s="1" t="str">
        <f>IFERROR(__xludf.DUMMYFUNCTION("GOOGLETRANSLATE(B4328,""en"",""pt-br"")"),"negativo")</f>
        <v>negativo</v>
      </c>
    </row>
    <row r="4329" ht="15.75" customHeight="1">
      <c r="A4329" s="2" t="s">
        <v>4327</v>
      </c>
      <c r="B4329" s="2" t="s">
        <v>3</v>
      </c>
      <c r="C4329" s="1" t="str">
        <f>IFERROR(__xludf.DUMMYFUNCTION("GOOGLETRANSLATE(A4329,""en"",""pt-br"")"),"omissão")</f>
        <v>omissão</v>
      </c>
      <c r="D4329" s="1" t="str">
        <f>IFERROR(__xludf.DUMMYFUNCTION("GOOGLETRANSLATE(B4329,""en"",""pt-br"")"),"negativo")</f>
        <v>negativo</v>
      </c>
    </row>
    <row r="4330" ht="15.75" customHeight="1">
      <c r="A4330" s="2" t="s">
        <v>4328</v>
      </c>
      <c r="B4330" s="2" t="s">
        <v>3</v>
      </c>
      <c r="C4330" s="1" t="str">
        <f>IFERROR(__xludf.DUMMYFUNCTION("GOOGLETRANSLATE(A4330,""en"",""pt-br"")"),"omitir")</f>
        <v>omitir</v>
      </c>
      <c r="D4330" s="1" t="str">
        <f>IFERROR(__xludf.DUMMYFUNCTION("GOOGLETRANSLATE(B4330,""en"",""pt-br"")"),"negativo")</f>
        <v>negativo</v>
      </c>
    </row>
    <row r="4331" ht="15.75" customHeight="1">
      <c r="A4331" s="2" t="s">
        <v>4329</v>
      </c>
      <c r="B4331" s="2" t="s">
        <v>3</v>
      </c>
      <c r="C4331" s="1" t="str">
        <f>IFERROR(__xludf.DUMMYFUNCTION("GOOGLETRANSLATE(A4331,""en"",""pt-br"")"),"unilateral")</f>
        <v>unilateral</v>
      </c>
      <c r="D4331" s="1" t="str">
        <f>IFERROR(__xludf.DUMMYFUNCTION("GOOGLETRANSLATE(B4331,""en"",""pt-br"")"),"negativo")</f>
        <v>negativo</v>
      </c>
    </row>
    <row r="4332" ht="15.75" customHeight="1">
      <c r="A4332" s="2" t="s">
        <v>4330</v>
      </c>
      <c r="B4332" s="2" t="s">
        <v>3</v>
      </c>
      <c r="C4332" s="1" t="str">
        <f>IFERROR(__xludf.DUMMYFUNCTION("GOOGLETRANSLATE(A4332,""en"",""pt-br"")"),"oneroso")</f>
        <v>oneroso</v>
      </c>
      <c r="D4332" s="1" t="str">
        <f>IFERROR(__xludf.DUMMYFUNCTION("GOOGLETRANSLATE(B4332,""en"",""pt-br"")"),"negativo")</f>
        <v>negativo</v>
      </c>
    </row>
    <row r="4333" ht="15.75" customHeight="1">
      <c r="A4333" s="2" t="s">
        <v>4331</v>
      </c>
      <c r="B4333" s="2" t="s">
        <v>3</v>
      </c>
      <c r="C4333" s="1" t="str">
        <f>IFERROR(__xludf.DUMMYFUNCTION("GOOGLETRANSLATE(A4333,""en"",""pt-br"")"),"onerosamente")</f>
        <v>onerosamente</v>
      </c>
      <c r="D4333" s="1" t="str">
        <f>IFERROR(__xludf.DUMMYFUNCTION("GOOGLETRANSLATE(B4333,""en"",""pt-br"")"),"negativo")</f>
        <v>negativo</v>
      </c>
    </row>
    <row r="4334" ht="15.75" customHeight="1">
      <c r="A4334" s="2" t="s">
        <v>4332</v>
      </c>
      <c r="B4334" s="2" t="s">
        <v>3</v>
      </c>
      <c r="C4334" s="1" t="str">
        <f>IFERROR(__xludf.DUMMYFUNCTION("GOOGLETRANSLATE(A4334,""en"",""pt-br"")"),"investida")</f>
        <v>investida</v>
      </c>
      <c r="D4334" s="1" t="str">
        <f>IFERROR(__xludf.DUMMYFUNCTION("GOOGLETRANSLATE(B4334,""en"",""pt-br"")"),"negativo")</f>
        <v>negativo</v>
      </c>
    </row>
    <row r="4335" ht="15.75" customHeight="1">
      <c r="A4335" s="2" t="s">
        <v>4333</v>
      </c>
      <c r="B4335" s="2" t="s">
        <v>14</v>
      </c>
      <c r="C4335" s="1" t="str">
        <f>IFERROR(__xludf.DUMMYFUNCTION("GOOGLETRANSLATE(A4335,""en"",""pt-br"")"),"abertamente")</f>
        <v>abertamente</v>
      </c>
      <c r="D4335" s="1" t="str">
        <f>IFERROR(__xludf.DUMMYFUNCTION("GOOGLETRANSLATE(B4335,""en"",""pt-br"")"),"positivo")</f>
        <v>positivo</v>
      </c>
    </row>
    <row r="4336" ht="15.75" customHeight="1">
      <c r="A4336" s="2" t="s">
        <v>4334</v>
      </c>
      <c r="B4336" s="2" t="s">
        <v>14</v>
      </c>
      <c r="C4336" s="1" t="str">
        <f>IFERROR(__xludf.DUMMYFUNCTION("GOOGLETRANSLATE(A4336,""en"",""pt-br"")"),"abertura")</f>
        <v>abertura</v>
      </c>
      <c r="D4336" s="1" t="str">
        <f>IFERROR(__xludf.DUMMYFUNCTION("GOOGLETRANSLATE(B4336,""en"",""pt-br"")"),"positivo")</f>
        <v>positivo</v>
      </c>
    </row>
    <row r="4337" ht="15.75" customHeight="1">
      <c r="A4337" s="2" t="s">
        <v>4335</v>
      </c>
      <c r="B4337" s="2" t="s">
        <v>3</v>
      </c>
      <c r="C4337" s="1" t="str">
        <f>IFERROR(__xludf.DUMMYFUNCTION("GOOGLETRANSLATE(A4337,""en"",""pt-br"")"),"opinativo")</f>
        <v>opinativo</v>
      </c>
      <c r="D4337" s="1" t="str">
        <f>IFERROR(__xludf.DUMMYFUNCTION("GOOGLETRANSLATE(B4337,""en"",""pt-br"")"),"negativo")</f>
        <v>negativo</v>
      </c>
    </row>
    <row r="4338" ht="15.75" customHeight="1">
      <c r="A4338" s="2" t="s">
        <v>4336</v>
      </c>
      <c r="B4338" s="2" t="s">
        <v>3</v>
      </c>
      <c r="C4338" s="1" t="str">
        <f>IFERROR(__xludf.DUMMYFUNCTION("GOOGLETRANSLATE(A4338,""en"",""pt-br"")"),"oponente")</f>
        <v>oponente</v>
      </c>
      <c r="D4338" s="1" t="str">
        <f>IFERROR(__xludf.DUMMYFUNCTION("GOOGLETRANSLATE(B4338,""en"",""pt-br"")"),"negativo")</f>
        <v>negativo</v>
      </c>
    </row>
    <row r="4339" ht="15.75" customHeight="1">
      <c r="A4339" s="2" t="s">
        <v>4337</v>
      </c>
      <c r="B4339" s="2" t="s">
        <v>3</v>
      </c>
      <c r="C4339" s="1" t="str">
        <f>IFERROR(__xludf.DUMMYFUNCTION("GOOGLETRANSLATE(A4339,""en"",""pt-br"")"),"oportunista")</f>
        <v>oportunista</v>
      </c>
      <c r="D4339" s="1" t="str">
        <f>IFERROR(__xludf.DUMMYFUNCTION("GOOGLETRANSLATE(B4339,""en"",""pt-br"")"),"negativo")</f>
        <v>negativo</v>
      </c>
    </row>
    <row r="4340" ht="15.75" customHeight="1">
      <c r="A4340" s="2" t="s">
        <v>4338</v>
      </c>
      <c r="B4340" s="2" t="s">
        <v>3</v>
      </c>
      <c r="C4340" s="1" t="str">
        <f>IFERROR(__xludf.DUMMYFUNCTION("GOOGLETRANSLATE(A4340,""en"",""pt-br"")"),"opor")</f>
        <v>opor</v>
      </c>
      <c r="D4340" s="1" t="str">
        <f>IFERROR(__xludf.DUMMYFUNCTION("GOOGLETRANSLATE(B4340,""en"",""pt-br"")"),"negativo")</f>
        <v>negativo</v>
      </c>
    </row>
    <row r="4341" ht="15.75" customHeight="1">
      <c r="A4341" s="2" t="s">
        <v>4339</v>
      </c>
      <c r="B4341" s="2" t="s">
        <v>3</v>
      </c>
      <c r="C4341" s="1" t="str">
        <f>IFERROR(__xludf.DUMMYFUNCTION("GOOGLETRANSLATE(A4341,""en"",""pt-br"")"),"oposição")</f>
        <v>oposição</v>
      </c>
      <c r="D4341" s="1" t="str">
        <f>IFERROR(__xludf.DUMMYFUNCTION("GOOGLETRANSLATE(B4341,""en"",""pt-br"")"),"negativo")</f>
        <v>negativo</v>
      </c>
    </row>
    <row r="4342" ht="15.75" customHeight="1">
      <c r="A4342" s="2" t="s">
        <v>4340</v>
      </c>
      <c r="B4342" s="2" t="s">
        <v>3</v>
      </c>
      <c r="C4342" s="1" t="str">
        <f>IFERROR(__xludf.DUMMYFUNCTION("GOOGLETRANSLATE(A4342,""en"",""pt-br"")"),"oposições")</f>
        <v>oposições</v>
      </c>
      <c r="D4342" s="1" t="str">
        <f>IFERROR(__xludf.DUMMYFUNCTION("GOOGLETRANSLATE(B4342,""en"",""pt-br"")"),"negativo")</f>
        <v>negativo</v>
      </c>
    </row>
    <row r="4343" ht="15.75" customHeight="1">
      <c r="A4343" s="2" t="s">
        <v>4341</v>
      </c>
      <c r="B4343" s="2" t="s">
        <v>3</v>
      </c>
      <c r="C4343" s="1" t="str">
        <f>IFERROR(__xludf.DUMMYFUNCTION("GOOGLETRANSLATE(A4343,""en"",""pt-br"")"),"oprimir")</f>
        <v>oprimir</v>
      </c>
      <c r="D4343" s="1" t="str">
        <f>IFERROR(__xludf.DUMMYFUNCTION("GOOGLETRANSLATE(B4343,""en"",""pt-br"")"),"negativo")</f>
        <v>negativo</v>
      </c>
    </row>
    <row r="4344" ht="15.75" customHeight="1">
      <c r="A4344" s="2" t="s">
        <v>4342</v>
      </c>
      <c r="B4344" s="2" t="s">
        <v>3</v>
      </c>
      <c r="C4344" s="1" t="str">
        <f>IFERROR(__xludf.DUMMYFUNCTION("GOOGLETRANSLATE(A4344,""en"",""pt-br"")"),"opressão")</f>
        <v>opressão</v>
      </c>
      <c r="D4344" s="1" t="str">
        <f>IFERROR(__xludf.DUMMYFUNCTION("GOOGLETRANSLATE(B4344,""en"",""pt-br"")"),"negativo")</f>
        <v>negativo</v>
      </c>
    </row>
    <row r="4345" ht="15.75" customHeight="1">
      <c r="A4345" s="2" t="s">
        <v>4343</v>
      </c>
      <c r="B4345" s="2" t="s">
        <v>3</v>
      </c>
      <c r="C4345" s="1" t="str">
        <f>IFERROR(__xludf.DUMMYFUNCTION("GOOGLETRANSLATE(A4345,""en"",""pt-br"")"),"opressivo")</f>
        <v>opressivo</v>
      </c>
      <c r="D4345" s="1" t="str">
        <f>IFERROR(__xludf.DUMMYFUNCTION("GOOGLETRANSLATE(B4345,""en"",""pt-br"")"),"negativo")</f>
        <v>negativo</v>
      </c>
    </row>
    <row r="4346" ht="15.75" customHeight="1">
      <c r="A4346" s="2" t="s">
        <v>4344</v>
      </c>
      <c r="B4346" s="2" t="s">
        <v>3</v>
      </c>
      <c r="C4346" s="1" t="str">
        <f>IFERROR(__xludf.DUMMYFUNCTION("GOOGLETRANSLATE(A4346,""en"",""pt-br"")"),"oppressively")</f>
        <v>oppressively</v>
      </c>
      <c r="D4346" s="1" t="str">
        <f>IFERROR(__xludf.DUMMYFUNCTION("GOOGLETRANSLATE(B4346,""en"",""pt-br"")"),"negativo")</f>
        <v>negativo</v>
      </c>
    </row>
    <row r="4347" ht="15.75" customHeight="1">
      <c r="A4347" s="2" t="s">
        <v>4345</v>
      </c>
      <c r="B4347" s="2" t="s">
        <v>3</v>
      </c>
      <c r="C4347" s="1" t="str">
        <f>IFERROR(__xludf.DUMMYFUNCTION("GOOGLETRANSLATE(A4347,""en"",""pt-br"")"),"opressão")</f>
        <v>opressão</v>
      </c>
      <c r="D4347" s="1" t="str">
        <f>IFERROR(__xludf.DUMMYFUNCTION("GOOGLETRANSLATE(B4347,""en"",""pt-br"")"),"negativo")</f>
        <v>negativo</v>
      </c>
    </row>
    <row r="4348" ht="15.75" customHeight="1">
      <c r="A4348" s="2" t="s">
        <v>4346</v>
      </c>
      <c r="B4348" s="2" t="s">
        <v>3</v>
      </c>
      <c r="C4348" s="1" t="str">
        <f>IFERROR(__xludf.DUMMYFUNCTION("GOOGLETRANSLATE(A4348,""en"",""pt-br"")"),"opressores")</f>
        <v>opressores</v>
      </c>
      <c r="D4348" s="1" t="str">
        <f>IFERROR(__xludf.DUMMYFUNCTION("GOOGLETRANSLATE(B4348,""en"",""pt-br"")"),"negativo")</f>
        <v>negativo</v>
      </c>
    </row>
    <row r="4349" ht="15.75" customHeight="1">
      <c r="A4349" s="2" t="s">
        <v>4347</v>
      </c>
      <c r="B4349" s="2" t="s">
        <v>14</v>
      </c>
      <c r="C4349" s="1" t="str">
        <f>IFERROR(__xludf.DUMMYFUNCTION("GOOGLETRANSLATE(A4349,""en"",""pt-br"")"),"ótimo")</f>
        <v>ótimo</v>
      </c>
      <c r="D4349" s="1" t="str">
        <f>IFERROR(__xludf.DUMMYFUNCTION("GOOGLETRANSLATE(B4349,""en"",""pt-br"")"),"positivo")</f>
        <v>positivo</v>
      </c>
    </row>
    <row r="4350" ht="15.75" customHeight="1">
      <c r="A4350" s="2" t="s">
        <v>4348</v>
      </c>
      <c r="B4350" s="2" t="s">
        <v>14</v>
      </c>
      <c r="C4350" s="1" t="str">
        <f>IFERROR(__xludf.DUMMYFUNCTION("GOOGLETRANSLATE(A4350,""en"",""pt-br"")"),"otimismo")</f>
        <v>otimismo</v>
      </c>
      <c r="D4350" s="1" t="str">
        <f>IFERROR(__xludf.DUMMYFUNCTION("GOOGLETRANSLATE(B4350,""en"",""pt-br"")"),"positivo")</f>
        <v>positivo</v>
      </c>
    </row>
    <row r="4351" ht="15.75" customHeight="1">
      <c r="A4351" s="2" t="s">
        <v>4349</v>
      </c>
      <c r="B4351" s="2" t="s">
        <v>14</v>
      </c>
      <c r="C4351" s="1" t="str">
        <f>IFERROR(__xludf.DUMMYFUNCTION("GOOGLETRANSLATE(A4351,""en"",""pt-br"")"),"otimista")</f>
        <v>otimista</v>
      </c>
      <c r="D4351" s="1" t="str">
        <f>IFERROR(__xludf.DUMMYFUNCTION("GOOGLETRANSLATE(B4351,""en"",""pt-br"")"),"positivo")</f>
        <v>positivo</v>
      </c>
    </row>
    <row r="4352" ht="15.75" customHeight="1">
      <c r="A4352" s="2" t="s">
        <v>4350</v>
      </c>
      <c r="B4352" s="2" t="s">
        <v>14</v>
      </c>
      <c r="C4352" s="1" t="str">
        <f>IFERROR(__xludf.DUMMYFUNCTION("GOOGLETRANSLATE(A4352,""en"",""pt-br"")"),"opulento")</f>
        <v>opulento</v>
      </c>
      <c r="D4352" s="1" t="str">
        <f>IFERROR(__xludf.DUMMYFUNCTION("GOOGLETRANSLATE(B4352,""en"",""pt-br"")"),"positivo")</f>
        <v>positivo</v>
      </c>
    </row>
    <row r="4353" ht="15.75" customHeight="1">
      <c r="A4353" s="2" t="s">
        <v>4351</v>
      </c>
      <c r="B4353" s="2" t="s">
        <v>3</v>
      </c>
      <c r="C4353" s="1" t="str">
        <f>IFERROR(__xludf.DUMMYFUNCTION("GOOGLETRANSLATE(A4353,""en"",""pt-br"")"),"provação")</f>
        <v>provação</v>
      </c>
      <c r="D4353" s="1" t="str">
        <f>IFERROR(__xludf.DUMMYFUNCTION("GOOGLETRANSLATE(B4353,""en"",""pt-br"")"),"negativo")</f>
        <v>negativo</v>
      </c>
    </row>
    <row r="4354" ht="15.75" customHeight="1">
      <c r="A4354" s="2" t="s">
        <v>4352</v>
      </c>
      <c r="B4354" s="2" t="s">
        <v>14</v>
      </c>
      <c r="C4354" s="1" t="str">
        <f>IFERROR(__xludf.DUMMYFUNCTION("GOOGLETRANSLATE(A4354,""en"",""pt-br"")"),"ordenadamente")</f>
        <v>ordenadamente</v>
      </c>
      <c r="D4354" s="1" t="str">
        <f>IFERROR(__xludf.DUMMYFUNCTION("GOOGLETRANSLATE(B4354,""en"",""pt-br"")"),"positivo")</f>
        <v>positivo</v>
      </c>
    </row>
    <row r="4355" ht="15.75" customHeight="1">
      <c r="A4355" s="2" t="s">
        <v>4353</v>
      </c>
      <c r="B4355" s="2" t="s">
        <v>14</v>
      </c>
      <c r="C4355" s="1" t="str">
        <f>IFERROR(__xludf.DUMMYFUNCTION("GOOGLETRANSLATE(A4355,""en"",""pt-br"")"),"originalidade")</f>
        <v>originalidade</v>
      </c>
      <c r="D4355" s="1" t="str">
        <f>IFERROR(__xludf.DUMMYFUNCTION("GOOGLETRANSLATE(B4355,""en"",""pt-br"")"),"positivo")</f>
        <v>positivo</v>
      </c>
    </row>
    <row r="4356" ht="15.75" customHeight="1">
      <c r="A4356" s="2" t="s">
        <v>4354</v>
      </c>
      <c r="B4356" s="2" t="s">
        <v>3</v>
      </c>
      <c r="C4356" s="1" t="str">
        <f>IFERROR(__xludf.DUMMYFUNCTION("GOOGLETRANSLATE(A4356,""en"",""pt-br"")"),"órfão")</f>
        <v>órfão</v>
      </c>
      <c r="D4356" s="1" t="str">
        <f>IFERROR(__xludf.DUMMYFUNCTION("GOOGLETRANSLATE(B4356,""en"",""pt-br"")"),"negativo")</f>
        <v>negativo</v>
      </c>
    </row>
    <row r="4357" ht="15.75" customHeight="1">
      <c r="A4357" s="2" t="s">
        <v>4355</v>
      </c>
      <c r="B4357" s="2" t="s">
        <v>3</v>
      </c>
      <c r="C4357" s="1" t="str">
        <f>IFERROR(__xludf.DUMMYFUNCTION("GOOGLETRANSLATE(A4357,""en"",""pt-br"")"),"ostracizar")</f>
        <v>ostracizar</v>
      </c>
      <c r="D4357" s="1" t="str">
        <f>IFERROR(__xludf.DUMMYFUNCTION("GOOGLETRANSLATE(B4357,""en"",""pt-br"")"),"negativo")</f>
        <v>negativo</v>
      </c>
    </row>
    <row r="4358" ht="15.75" customHeight="1">
      <c r="A4358" s="2" t="s">
        <v>4356</v>
      </c>
      <c r="B4358" s="2" t="s">
        <v>3</v>
      </c>
      <c r="C4358" s="1" t="str">
        <f>IFERROR(__xludf.DUMMYFUNCTION("GOOGLETRANSLATE(A4358,""en"",""pt-br"")"),"surto")</f>
        <v>surto</v>
      </c>
      <c r="D4358" s="1" t="str">
        <f>IFERROR(__xludf.DUMMYFUNCTION("GOOGLETRANSLATE(B4358,""en"",""pt-br"")"),"negativo")</f>
        <v>negativo</v>
      </c>
    </row>
    <row r="4359" ht="15.75" customHeight="1">
      <c r="A4359" s="2" t="s">
        <v>4357</v>
      </c>
      <c r="B4359" s="2" t="s">
        <v>3</v>
      </c>
      <c r="C4359" s="1" t="str">
        <f>IFERROR(__xludf.DUMMYFUNCTION("GOOGLETRANSLATE(A4359,""en"",""pt-br"")"),"explosão")</f>
        <v>explosão</v>
      </c>
      <c r="D4359" s="1" t="str">
        <f>IFERROR(__xludf.DUMMYFUNCTION("GOOGLETRANSLATE(B4359,""en"",""pt-br"")"),"negativo")</f>
        <v>negativo</v>
      </c>
    </row>
    <row r="4360" ht="15.75" customHeight="1">
      <c r="A4360" s="2" t="s">
        <v>4358</v>
      </c>
      <c r="B4360" s="2" t="s">
        <v>3</v>
      </c>
      <c r="C4360" s="1" t="str">
        <f>IFERROR(__xludf.DUMMYFUNCTION("GOOGLETRANSLATE(A4360,""en"",""pt-br"")"),"explosões")</f>
        <v>explosões</v>
      </c>
      <c r="D4360" s="1" t="str">
        <f>IFERROR(__xludf.DUMMYFUNCTION("GOOGLETRANSLATE(B4360,""en"",""pt-br"")"),"negativo")</f>
        <v>negativo</v>
      </c>
    </row>
    <row r="4361" ht="15.75" customHeight="1">
      <c r="A4361" s="2" t="s">
        <v>4359</v>
      </c>
      <c r="B4361" s="2" t="s">
        <v>3</v>
      </c>
      <c r="C4361" s="1" t="str">
        <f>IFERROR(__xludf.DUMMYFUNCTION("GOOGLETRANSLATE(A4361,""en"",""pt-br"")"),"exilado")</f>
        <v>exilado</v>
      </c>
      <c r="D4361" s="1" t="str">
        <f>IFERROR(__xludf.DUMMYFUNCTION("GOOGLETRANSLATE(B4361,""en"",""pt-br"")"),"negativo")</f>
        <v>negativo</v>
      </c>
    </row>
    <row r="4362" ht="15.75" customHeight="1">
      <c r="A4362" s="2" t="s">
        <v>4360</v>
      </c>
      <c r="B4362" s="2" t="s">
        <v>3</v>
      </c>
      <c r="C4362" s="1" t="str">
        <f>IFERROR(__xludf.DUMMYFUNCTION("GOOGLETRANSLATE(A4362,""en"",""pt-br"")"),"clamor")</f>
        <v>clamor</v>
      </c>
      <c r="D4362" s="1" t="str">
        <f>IFERROR(__xludf.DUMMYFUNCTION("GOOGLETRANSLATE(B4362,""en"",""pt-br"")"),"negativo")</f>
        <v>negativo</v>
      </c>
    </row>
    <row r="4363" ht="15.75" customHeight="1">
      <c r="A4363" s="2" t="s">
        <v>4361</v>
      </c>
      <c r="B4363" s="2" t="s">
        <v>14</v>
      </c>
      <c r="C4363" s="1" t="str">
        <f>IFERROR(__xludf.DUMMYFUNCTION("GOOGLETRANSLATE(A4363,""en"",""pt-br"")"),"Outdo")</f>
        <v>Outdo</v>
      </c>
      <c r="D4363" s="1" t="str">
        <f>IFERROR(__xludf.DUMMYFUNCTION("GOOGLETRANSLATE(B4363,""en"",""pt-br"")"),"positivo")</f>
        <v>positivo</v>
      </c>
    </row>
    <row r="4364" ht="15.75" customHeight="1">
      <c r="A4364" s="2" t="s">
        <v>4362</v>
      </c>
      <c r="B4364" s="2" t="s">
        <v>14</v>
      </c>
      <c r="C4364" s="1" t="str">
        <f>IFERROR(__xludf.DUMMYFUNCTION("GOOGLETRANSLATE(A4364,""en"",""pt-br"")"),"superado")</f>
        <v>superado</v>
      </c>
      <c r="D4364" s="1" t="str">
        <f>IFERROR(__xludf.DUMMYFUNCTION("GOOGLETRANSLATE(B4364,""en"",""pt-br"")"),"positivo")</f>
        <v>positivo</v>
      </c>
    </row>
    <row r="4365" ht="15.75" customHeight="1">
      <c r="A4365" s="2" t="s">
        <v>4363</v>
      </c>
      <c r="B4365" s="2" t="s">
        <v>3</v>
      </c>
      <c r="C4365" s="1" t="str">
        <f>IFERROR(__xludf.DUMMYFUNCTION("GOOGLETRANSLATE(A4365,""en"",""pt-br"")"),"bandido")</f>
        <v>bandido</v>
      </c>
      <c r="D4365" s="1" t="str">
        <f>IFERROR(__xludf.DUMMYFUNCTION("GOOGLETRANSLATE(B4365,""en"",""pt-br"")"),"negativo")</f>
        <v>negativo</v>
      </c>
    </row>
    <row r="4366" ht="15.75" customHeight="1">
      <c r="A4366" s="2" t="s">
        <v>4364</v>
      </c>
      <c r="B4366" s="2" t="s">
        <v>3</v>
      </c>
      <c r="C4366" s="1" t="str">
        <f>IFERROR(__xludf.DUMMYFUNCTION("GOOGLETRANSLATE(A4366,""en"",""pt-br"")"),"fora de moda")</f>
        <v>fora de moda</v>
      </c>
      <c r="D4366" s="1" t="str">
        <f>IFERROR(__xludf.DUMMYFUNCTION("GOOGLETRANSLATE(B4366,""en"",""pt-br"")"),"negativo")</f>
        <v>negativo</v>
      </c>
    </row>
    <row r="4367" ht="15.75" customHeight="1">
      <c r="A4367" s="2" t="s">
        <v>4365</v>
      </c>
      <c r="B4367" s="2" t="s">
        <v>14</v>
      </c>
      <c r="C4367" s="1" t="str">
        <f>IFERROR(__xludf.DUMMYFUNCTION("GOOGLETRANSLATE(A4367,""en"",""pt-br"")"),"outperform")</f>
        <v>outperform</v>
      </c>
      <c r="D4367" s="1" t="str">
        <f>IFERROR(__xludf.DUMMYFUNCTION("GOOGLETRANSLATE(B4367,""en"",""pt-br"")"),"positivo")</f>
        <v>positivo</v>
      </c>
    </row>
    <row r="4368" ht="15.75" customHeight="1">
      <c r="A4368" s="2" t="s">
        <v>4366</v>
      </c>
      <c r="B4368" s="2" t="s">
        <v>14</v>
      </c>
      <c r="C4368" s="1" t="str">
        <f>IFERROR(__xludf.DUMMYFUNCTION("GOOGLETRANSLATE(A4368,""en"",""pt-br"")"),"superou")</f>
        <v>superou</v>
      </c>
      <c r="D4368" s="1" t="str">
        <f>IFERROR(__xludf.DUMMYFUNCTION("GOOGLETRANSLATE(B4368,""en"",""pt-br"")"),"positivo")</f>
        <v>positivo</v>
      </c>
    </row>
    <row r="4369" ht="15.75" customHeight="1">
      <c r="A4369" s="2" t="s">
        <v>4367</v>
      </c>
      <c r="B4369" s="2" t="s">
        <v>14</v>
      </c>
      <c r="C4369" s="1" t="str">
        <f>IFERROR(__xludf.DUMMYFUNCTION("GOOGLETRANSLATE(A4369,""en"",""pt-br"")"),"Outperforming")</f>
        <v>Outperforming</v>
      </c>
      <c r="D4369" s="1" t="str">
        <f>IFERROR(__xludf.DUMMYFUNCTION("GOOGLETRANSLATE(B4369,""en"",""pt-br"")"),"positivo")</f>
        <v>positivo</v>
      </c>
    </row>
    <row r="4370" ht="15.75" customHeight="1">
      <c r="A4370" s="2" t="s">
        <v>4368</v>
      </c>
      <c r="B4370" s="2" t="s">
        <v>14</v>
      </c>
      <c r="C4370" s="1" t="str">
        <f>IFERROR(__xludf.DUMMYFUNCTION("GOOGLETRANSLATE(A4370,""en"",""pt-br"")"),"Supera")</f>
        <v>Supera</v>
      </c>
      <c r="D4370" s="1" t="str">
        <f>IFERROR(__xludf.DUMMYFUNCTION("GOOGLETRANSLATE(B4370,""en"",""pt-br"")"),"positivo")</f>
        <v>positivo</v>
      </c>
    </row>
    <row r="4371" ht="15.75" customHeight="1">
      <c r="A4371" s="2" t="s">
        <v>4369</v>
      </c>
      <c r="B4371" s="2" t="s">
        <v>3</v>
      </c>
      <c r="C4371" s="1" t="str">
        <f>IFERROR(__xludf.DUMMYFUNCTION("GOOGLETRANSLATE(A4371,""en"",""pt-br"")"),"ultraje")</f>
        <v>ultraje</v>
      </c>
      <c r="D4371" s="1" t="str">
        <f>IFERROR(__xludf.DUMMYFUNCTION("GOOGLETRANSLATE(B4371,""en"",""pt-br"")"),"negativo")</f>
        <v>negativo</v>
      </c>
    </row>
    <row r="4372" ht="15.75" customHeight="1">
      <c r="A4372" s="2" t="s">
        <v>4370</v>
      </c>
      <c r="B4372" s="2" t="s">
        <v>3</v>
      </c>
      <c r="C4372" s="1" t="str">
        <f>IFERROR(__xludf.DUMMYFUNCTION("GOOGLETRANSLATE(A4372,""en"",""pt-br"")"),"ultrajado")</f>
        <v>ultrajado</v>
      </c>
      <c r="D4372" s="1" t="str">
        <f>IFERROR(__xludf.DUMMYFUNCTION("GOOGLETRANSLATE(B4372,""en"",""pt-br"")"),"negativo")</f>
        <v>negativo</v>
      </c>
    </row>
    <row r="4373" ht="15.75" customHeight="1">
      <c r="A4373" s="2" t="s">
        <v>4371</v>
      </c>
      <c r="B4373" s="2" t="s">
        <v>3</v>
      </c>
      <c r="C4373" s="1" t="str">
        <f>IFERROR(__xludf.DUMMYFUNCTION("GOOGLETRANSLATE(A4373,""en"",""pt-br"")"),"ultrajante, ultrajoso")</f>
        <v>ultrajante, ultrajoso</v>
      </c>
      <c r="D4373" s="1" t="str">
        <f>IFERROR(__xludf.DUMMYFUNCTION("GOOGLETRANSLATE(B4373,""en"",""pt-br"")"),"negativo")</f>
        <v>negativo</v>
      </c>
    </row>
    <row r="4374" ht="15.75" customHeight="1">
      <c r="A4374" s="2" t="s">
        <v>4372</v>
      </c>
      <c r="B4374" s="2" t="s">
        <v>3</v>
      </c>
      <c r="C4374" s="1" t="str">
        <f>IFERROR(__xludf.DUMMYFUNCTION("GOOGLETRANSLATE(A4374,""en"",""pt-br"")"),"escandalosamente")</f>
        <v>escandalosamente</v>
      </c>
      <c r="D4374" s="1" t="str">
        <f>IFERROR(__xludf.DUMMYFUNCTION("GOOGLETRANSLATE(B4374,""en"",""pt-br"")"),"negativo")</f>
        <v>negativo</v>
      </c>
    </row>
    <row r="4375" ht="15.75" customHeight="1">
      <c r="A4375" s="2" t="s">
        <v>4373</v>
      </c>
      <c r="B4375" s="2" t="s">
        <v>3</v>
      </c>
      <c r="C4375" s="1" t="str">
        <f>IFERROR(__xludf.DUMMYFUNCTION("GOOGLETRANSLATE(A4375,""en"",""pt-br"")"),"outrageousness")</f>
        <v>outrageousness</v>
      </c>
      <c r="D4375" s="1" t="str">
        <f>IFERROR(__xludf.DUMMYFUNCTION("GOOGLETRANSLATE(B4375,""en"",""pt-br"")"),"negativo")</f>
        <v>negativo</v>
      </c>
    </row>
    <row r="4376" ht="15.75" customHeight="1">
      <c r="A4376" s="2" t="s">
        <v>4374</v>
      </c>
      <c r="B4376" s="2" t="s">
        <v>3</v>
      </c>
      <c r="C4376" s="1" t="str">
        <f>IFERROR(__xludf.DUMMYFUNCTION("GOOGLETRANSLATE(A4376,""en"",""pt-br"")"),"ultrajes")</f>
        <v>ultrajes</v>
      </c>
      <c r="D4376" s="1" t="str">
        <f>IFERROR(__xludf.DUMMYFUNCTION("GOOGLETRANSLATE(B4376,""en"",""pt-br"")"),"negativo")</f>
        <v>negativo</v>
      </c>
    </row>
    <row r="4377" ht="15.75" customHeight="1">
      <c r="A4377" s="2" t="s">
        <v>4375</v>
      </c>
      <c r="B4377" s="2" t="s">
        <v>14</v>
      </c>
      <c r="C4377" s="1" t="str">
        <f>IFERROR(__xludf.DUMMYFUNCTION("GOOGLETRANSLATE(A4377,""en"",""pt-br"")"),"ofuscar")</f>
        <v>ofuscar</v>
      </c>
      <c r="D4377" s="1" t="str">
        <f>IFERROR(__xludf.DUMMYFUNCTION("GOOGLETRANSLATE(B4377,""en"",""pt-br"")"),"positivo")</f>
        <v>positivo</v>
      </c>
    </row>
    <row r="4378" ht="15.75" customHeight="1">
      <c r="A4378" s="2" t="s">
        <v>4376</v>
      </c>
      <c r="B4378" s="2" t="s">
        <v>14</v>
      </c>
      <c r="C4378" s="1" t="str">
        <f>IFERROR(__xludf.DUMMYFUNCTION("GOOGLETRANSLATE(A4378,""en"",""pt-br"")"),"ofuscado")</f>
        <v>ofuscado</v>
      </c>
      <c r="D4378" s="1" t="str">
        <f>IFERROR(__xludf.DUMMYFUNCTION("GOOGLETRANSLATE(B4378,""en"",""pt-br"")"),"positivo")</f>
        <v>positivo</v>
      </c>
    </row>
    <row r="4379" ht="15.75" customHeight="1">
      <c r="A4379" s="2" t="s">
        <v>4377</v>
      </c>
      <c r="B4379" s="2" t="s">
        <v>3</v>
      </c>
      <c r="C4379" s="1" t="str">
        <f>IFERROR(__xludf.DUMMYFUNCTION("GOOGLETRANSLATE(A4379,""en"",""pt-br"")"),"estranho")</f>
        <v>estranho</v>
      </c>
      <c r="D4379" s="1" t="str">
        <f>IFERROR(__xludf.DUMMYFUNCTION("GOOGLETRANSLATE(B4379,""en"",""pt-br"")"),"negativo")</f>
        <v>negativo</v>
      </c>
    </row>
    <row r="4380" ht="15.75" customHeight="1">
      <c r="A4380" s="2" t="s">
        <v>4378</v>
      </c>
      <c r="B4380" s="2" t="s">
        <v>14</v>
      </c>
      <c r="C4380" s="1" t="str">
        <f>IFERROR(__xludf.DUMMYFUNCTION("GOOGLETRANSLATE(A4380,""en"",""pt-br"")"),"Ser mais esperto que")</f>
        <v>Ser mais esperto que</v>
      </c>
      <c r="D4380" s="1" t="str">
        <f>IFERROR(__xludf.DUMMYFUNCTION("GOOGLETRANSLATE(B4380,""en"",""pt-br"")"),"positivo")</f>
        <v>positivo</v>
      </c>
    </row>
    <row r="4381" ht="15.75" customHeight="1">
      <c r="A4381" s="2" t="s">
        <v>4379</v>
      </c>
      <c r="B4381" s="2" t="s">
        <v>14</v>
      </c>
      <c r="C4381" s="1" t="str">
        <f>IFERROR(__xludf.DUMMYFUNCTION("GOOGLETRANSLATE(A4381,""en"",""pt-br"")"),"excepcional")</f>
        <v>excepcional</v>
      </c>
      <c r="D4381" s="1" t="str">
        <f>IFERROR(__xludf.DUMMYFUNCTION("GOOGLETRANSLATE(B4381,""en"",""pt-br"")"),"positivo")</f>
        <v>positivo</v>
      </c>
    </row>
    <row r="4382" ht="15.75" customHeight="1">
      <c r="A4382" s="2" t="s">
        <v>4380</v>
      </c>
      <c r="B4382" s="2" t="s">
        <v>14</v>
      </c>
      <c r="C4382" s="1" t="str">
        <f>IFERROR(__xludf.DUMMYFUNCTION("GOOGLETRANSLATE(A4382,""en"",""pt-br"")"),"extraordinariamente")</f>
        <v>extraordinariamente</v>
      </c>
      <c r="D4382" s="1" t="str">
        <f>IFERROR(__xludf.DUMMYFUNCTION("GOOGLETRANSLATE(B4382,""en"",""pt-br"")"),"positivo")</f>
        <v>positivo</v>
      </c>
    </row>
    <row r="4383" ht="15.75" customHeight="1">
      <c r="A4383" s="2" t="s">
        <v>4381</v>
      </c>
      <c r="B4383" s="2" t="s">
        <v>14</v>
      </c>
      <c r="C4383" s="1" t="str">
        <f>IFERROR(__xludf.DUMMYFUNCTION("GOOGLETRANSLATE(A4383,""en"",""pt-br"")"),"outstrip")</f>
        <v>outstrip</v>
      </c>
      <c r="D4383" s="1" t="str">
        <f>IFERROR(__xludf.DUMMYFUNCTION("GOOGLETRANSLATE(B4383,""en"",""pt-br"")"),"positivo")</f>
        <v>positivo</v>
      </c>
    </row>
    <row r="4384" ht="15.75" customHeight="1">
      <c r="A4384" s="2" t="s">
        <v>4382</v>
      </c>
      <c r="B4384" s="2" t="s">
        <v>14</v>
      </c>
      <c r="C4384" s="1" t="str">
        <f>IFERROR(__xludf.DUMMYFUNCTION("GOOGLETRANSLATE(A4384,""en"",""pt-br"")"),"outwit")</f>
        <v>outwit</v>
      </c>
      <c r="D4384" s="1" t="str">
        <f>IFERROR(__xludf.DUMMYFUNCTION("GOOGLETRANSLATE(B4384,""en"",""pt-br"")"),"positivo")</f>
        <v>positivo</v>
      </c>
    </row>
    <row r="4385" ht="15.75" customHeight="1">
      <c r="A4385" s="2" t="s">
        <v>4383</v>
      </c>
      <c r="B4385" s="2" t="s">
        <v>14</v>
      </c>
      <c r="C4385" s="1" t="str">
        <f>IFERROR(__xludf.DUMMYFUNCTION("GOOGLETRANSLATE(A4385,""en"",""pt-br"")"),"ovação")</f>
        <v>ovação</v>
      </c>
      <c r="D4385" s="1" t="str">
        <f>IFERROR(__xludf.DUMMYFUNCTION("GOOGLETRANSLATE(B4385,""en"",""pt-br"")"),"positivo")</f>
        <v>positivo</v>
      </c>
    </row>
    <row r="4386" ht="15.75" customHeight="1">
      <c r="A4386" s="2" t="s">
        <v>4384</v>
      </c>
      <c r="B4386" s="2" t="s">
        <v>3</v>
      </c>
      <c r="C4386" s="1" t="str">
        <f>IFERROR(__xludf.DUMMYFUNCTION("GOOGLETRANSLATE(A4386,""en"",""pt-br"")"),"over-actuado")</f>
        <v>over-actuado</v>
      </c>
      <c r="D4386" s="1" t="str">
        <f>IFERROR(__xludf.DUMMYFUNCTION("GOOGLETRANSLATE(B4386,""en"",""pt-br"")"),"negativo")</f>
        <v>negativo</v>
      </c>
    </row>
    <row r="4387" ht="15.75" customHeight="1">
      <c r="A4387" s="2" t="s">
        <v>4385</v>
      </c>
      <c r="B4387" s="2" t="s">
        <v>3</v>
      </c>
      <c r="C4387" s="1" t="str">
        <f>IFERROR(__xludf.DUMMYFUNCTION("GOOGLETRANSLATE(A4387,""en"",""pt-br"")"),"intimidar")</f>
        <v>intimidar</v>
      </c>
      <c r="D4387" s="1" t="str">
        <f>IFERROR(__xludf.DUMMYFUNCTION("GOOGLETRANSLATE(B4387,""en"",""pt-br"")"),"negativo")</f>
        <v>negativo</v>
      </c>
    </row>
    <row r="4388" ht="15.75" customHeight="1">
      <c r="A4388" s="2" t="s">
        <v>4386</v>
      </c>
      <c r="B4388" s="2" t="s">
        <v>3</v>
      </c>
      <c r="C4388" s="1" t="str">
        <f>IFERROR(__xludf.DUMMYFUNCTION("GOOGLETRANSLATE(A4388,""en"",""pt-br"")"),"mais equilibrada")</f>
        <v>mais equilibrada</v>
      </c>
      <c r="D4388" s="1" t="str">
        <f>IFERROR(__xludf.DUMMYFUNCTION("GOOGLETRANSLATE(B4388,""en"",""pt-br"")"),"negativo")</f>
        <v>negativo</v>
      </c>
    </row>
    <row r="4389" ht="15.75" customHeight="1">
      <c r="A4389" s="2" t="s">
        <v>4387</v>
      </c>
      <c r="B4389" s="2" t="s">
        <v>3</v>
      </c>
      <c r="C4389" s="1" t="str">
        <f>IFERROR(__xludf.DUMMYFUNCTION("GOOGLETRANSLATE(A4389,""en"",""pt-br"")"),"mais sensacionalistas")</f>
        <v>mais sensacionalistas</v>
      </c>
      <c r="D4389" s="1" t="str">
        <f>IFERROR(__xludf.DUMMYFUNCTION("GOOGLETRANSLATE(B4389,""en"",""pt-br"")"),"negativo")</f>
        <v>negativo</v>
      </c>
    </row>
    <row r="4390" ht="15.75" customHeight="1">
      <c r="A4390" s="2" t="s">
        <v>4388</v>
      </c>
      <c r="B4390" s="2" t="s">
        <v>3</v>
      </c>
      <c r="C4390" s="1" t="str">
        <f>IFERROR(__xludf.DUMMYFUNCTION("GOOGLETRANSLATE(A4390,""en"",""pt-br"")"),"sobre-preço")</f>
        <v>sobre-preço</v>
      </c>
      <c r="D4390" s="1" t="str">
        <f>IFERROR(__xludf.DUMMYFUNCTION("GOOGLETRANSLATE(B4390,""en"",""pt-br"")"),"negativo")</f>
        <v>negativo</v>
      </c>
    </row>
    <row r="4391" ht="15.75" customHeight="1">
      <c r="A4391" s="2" t="s">
        <v>4389</v>
      </c>
      <c r="B4391" s="2" t="s">
        <v>3</v>
      </c>
      <c r="C4391" s="1" t="str">
        <f>IFERROR(__xludf.DUMMYFUNCTION("GOOGLETRANSLATE(A4391,""en"",""pt-br"")"),"sobrevalorização")</f>
        <v>sobrevalorização</v>
      </c>
      <c r="D4391" s="1" t="str">
        <f>IFERROR(__xludf.DUMMYFUNCTION("GOOGLETRANSLATE(B4391,""en"",""pt-br"")"),"negativo")</f>
        <v>negativo</v>
      </c>
    </row>
    <row r="4392" ht="15.75" customHeight="1">
      <c r="A4392" s="2" t="s">
        <v>4390</v>
      </c>
      <c r="B4392" s="2" t="s">
        <v>3</v>
      </c>
      <c r="C4392" s="1" t="str">
        <f>IFERROR(__xludf.DUMMYFUNCTION("GOOGLETRANSLATE(A4392,""en"",""pt-br"")"),"exagerar")</f>
        <v>exagerar</v>
      </c>
      <c r="D4392" s="1" t="str">
        <f>IFERROR(__xludf.DUMMYFUNCTION("GOOGLETRANSLATE(B4392,""en"",""pt-br"")"),"negativo")</f>
        <v>negativo</v>
      </c>
    </row>
    <row r="4393" ht="15.75" customHeight="1">
      <c r="A4393" s="2" t="s">
        <v>4391</v>
      </c>
      <c r="B4393" s="2" t="s">
        <v>3</v>
      </c>
      <c r="C4393" s="1" t="str">
        <f>IFERROR(__xludf.DUMMYFUNCTION("GOOGLETRANSLATE(A4393,""en"",""pt-br"")"),"overacted")</f>
        <v>overacted</v>
      </c>
      <c r="D4393" s="1" t="str">
        <f>IFERROR(__xludf.DUMMYFUNCTION("GOOGLETRANSLATE(B4393,""en"",""pt-br"")"),"negativo")</f>
        <v>negativo</v>
      </c>
    </row>
    <row r="4394" ht="15.75" customHeight="1">
      <c r="A4394" s="2" t="s">
        <v>4392</v>
      </c>
      <c r="B4394" s="2" t="s">
        <v>3</v>
      </c>
      <c r="C4394" s="1" t="str">
        <f>IFERROR(__xludf.DUMMYFUNCTION("GOOGLETRANSLATE(A4394,""en"",""pt-br"")"),"intimidar")</f>
        <v>intimidar</v>
      </c>
      <c r="D4394" s="1" t="str">
        <f>IFERROR(__xludf.DUMMYFUNCTION("GOOGLETRANSLATE(B4394,""en"",""pt-br"")"),"negativo")</f>
        <v>negativo</v>
      </c>
    </row>
    <row r="4395" ht="15.75" customHeight="1">
      <c r="A4395" s="2" t="s">
        <v>4393</v>
      </c>
      <c r="B4395" s="2" t="s">
        <v>3</v>
      </c>
      <c r="C4395" s="1" t="str">
        <f>IFERROR(__xludf.DUMMYFUNCTION("GOOGLETRANSLATE(A4395,""en"",""pt-br"")"),"desequilibrar")</f>
        <v>desequilibrar</v>
      </c>
      <c r="D4395" s="1" t="str">
        <f>IFERROR(__xludf.DUMMYFUNCTION("GOOGLETRANSLATE(B4395,""en"",""pt-br"")"),"negativo")</f>
        <v>negativo</v>
      </c>
    </row>
    <row r="4396" ht="15.75" customHeight="1">
      <c r="A4396" s="2" t="s">
        <v>4394</v>
      </c>
      <c r="B4396" s="2" t="s">
        <v>3</v>
      </c>
      <c r="C4396" s="1" t="str">
        <f>IFERROR(__xludf.DUMMYFUNCTION("GOOGLETRANSLATE(A4396,""en"",""pt-br"")"),"overbalanced")</f>
        <v>overbalanced</v>
      </c>
      <c r="D4396" s="1" t="str">
        <f>IFERROR(__xludf.DUMMYFUNCTION("GOOGLETRANSLATE(B4396,""en"",""pt-br"")"),"negativo")</f>
        <v>negativo</v>
      </c>
    </row>
    <row r="4397" ht="15.75" customHeight="1">
      <c r="A4397" s="2" t="s">
        <v>4395</v>
      </c>
      <c r="B4397" s="2" t="s">
        <v>3</v>
      </c>
      <c r="C4397" s="1" t="str">
        <f>IFERROR(__xludf.DUMMYFUNCTION("GOOGLETRANSLATE(A4397,""en"",""pt-br"")"),"arrogante")</f>
        <v>arrogante</v>
      </c>
      <c r="D4397" s="1" t="str">
        <f>IFERROR(__xludf.DUMMYFUNCTION("GOOGLETRANSLATE(B4397,""en"",""pt-br"")"),"negativo")</f>
        <v>negativo</v>
      </c>
    </row>
    <row r="4398" ht="15.75" customHeight="1">
      <c r="A4398" s="2" t="s">
        <v>4396</v>
      </c>
      <c r="B4398" s="2" t="s">
        <v>3</v>
      </c>
      <c r="C4398" s="1" t="str">
        <f>IFERROR(__xludf.DUMMYFUNCTION("GOOGLETRANSLATE(A4398,""en"",""pt-br"")"),"overbearingly")</f>
        <v>overbearingly</v>
      </c>
      <c r="D4398" s="1" t="str">
        <f>IFERROR(__xludf.DUMMYFUNCTION("GOOGLETRANSLATE(B4398,""en"",""pt-br"")"),"negativo")</f>
        <v>negativo</v>
      </c>
    </row>
    <row r="4399" ht="15.75" customHeight="1">
      <c r="A4399" s="2" t="s">
        <v>4397</v>
      </c>
      <c r="B4399" s="2" t="s">
        <v>3</v>
      </c>
      <c r="C4399" s="1" t="str">
        <f>IFERROR(__xludf.DUMMYFUNCTION("GOOGLETRANSLATE(A4399,""en"",""pt-br"")"),"que já passou")</f>
        <v>que já passou</v>
      </c>
      <c r="D4399" s="1" t="str">
        <f>IFERROR(__xludf.DUMMYFUNCTION("GOOGLETRANSLATE(B4399,""en"",""pt-br"")"),"negativo")</f>
        <v>negativo</v>
      </c>
    </row>
    <row r="4400" ht="15.75" customHeight="1">
      <c r="A4400" s="2" t="s">
        <v>4398</v>
      </c>
      <c r="B4400" s="2" t="s">
        <v>3</v>
      </c>
      <c r="C4400" s="1" t="str">
        <f>IFERROR(__xludf.DUMMYFUNCTION("GOOGLETRANSLATE(A4400,""en"",""pt-br"")"),"exagerar")</f>
        <v>exagerar</v>
      </c>
      <c r="D4400" s="1" t="str">
        <f>IFERROR(__xludf.DUMMYFUNCTION("GOOGLETRANSLATE(B4400,""en"",""pt-br"")"),"negativo")</f>
        <v>negativo</v>
      </c>
    </row>
    <row r="4401" ht="15.75" customHeight="1">
      <c r="A4401" s="2" t="s">
        <v>4399</v>
      </c>
      <c r="B4401" s="2" t="s">
        <v>3</v>
      </c>
      <c r="C4401" s="1" t="str">
        <f>IFERROR(__xludf.DUMMYFUNCTION("GOOGLETRANSLATE(A4401,""en"",""pt-br"")"),"exagerado")</f>
        <v>exagerado</v>
      </c>
      <c r="D4401" s="1" t="str">
        <f>IFERROR(__xludf.DUMMYFUNCTION("GOOGLETRANSLATE(B4401,""en"",""pt-br"")"),"negativo")</f>
        <v>negativo</v>
      </c>
    </row>
    <row r="4402" ht="15.75" customHeight="1">
      <c r="A4402" s="2" t="s">
        <v>4400</v>
      </c>
      <c r="B4402" s="2" t="s">
        <v>3</v>
      </c>
      <c r="C4402" s="1" t="str">
        <f>IFERROR(__xludf.DUMMYFUNCTION("GOOGLETRANSLATE(A4402,""en"",""pt-br"")"),"atrasado")</f>
        <v>atrasado</v>
      </c>
      <c r="D4402" s="1" t="str">
        <f>IFERROR(__xludf.DUMMYFUNCTION("GOOGLETRANSLATE(B4402,""en"",""pt-br"")"),"negativo")</f>
        <v>negativo</v>
      </c>
    </row>
    <row r="4403" ht="15.75" customHeight="1">
      <c r="A4403" s="2" t="s">
        <v>4401</v>
      </c>
      <c r="B4403" s="2" t="s">
        <v>3</v>
      </c>
      <c r="C4403" s="1" t="str">
        <f>IFERROR(__xludf.DUMMYFUNCTION("GOOGLETRANSLATE(A4403,""en"",""pt-br"")"),"overemphasize")</f>
        <v>overemphasize</v>
      </c>
      <c r="D4403" s="1" t="str">
        <f>IFERROR(__xludf.DUMMYFUNCTION("GOOGLETRANSLATE(B4403,""en"",""pt-br"")"),"negativo")</f>
        <v>negativo</v>
      </c>
    </row>
    <row r="4404" ht="15.75" customHeight="1">
      <c r="A4404" s="2" t="s">
        <v>4402</v>
      </c>
      <c r="B4404" s="2" t="s">
        <v>3</v>
      </c>
      <c r="C4404" s="1" t="str">
        <f>IFERROR(__xludf.DUMMYFUNCTION("GOOGLETRANSLATE(A4404,""en"",""pt-br"")"),"superaquecimento")</f>
        <v>superaquecimento</v>
      </c>
      <c r="D4404" s="1" t="str">
        <f>IFERROR(__xludf.DUMMYFUNCTION("GOOGLETRANSLATE(B4404,""en"",""pt-br"")"),"negativo")</f>
        <v>negativo</v>
      </c>
    </row>
    <row r="4405" ht="15.75" customHeight="1">
      <c r="A4405" s="2" t="s">
        <v>4403</v>
      </c>
      <c r="B4405" s="2" t="s">
        <v>14</v>
      </c>
      <c r="C4405" s="1" t="str">
        <f>IFERROR(__xludf.DUMMYFUNCTION("GOOGLETRANSLATE(A4405,""en"",""pt-br"")"),"radiante")</f>
        <v>radiante</v>
      </c>
      <c r="D4405" s="1" t="str">
        <f>IFERROR(__xludf.DUMMYFUNCTION("GOOGLETRANSLATE(B4405,""en"",""pt-br"")"),"positivo")</f>
        <v>positivo</v>
      </c>
    </row>
    <row r="4406" ht="15.75" customHeight="1">
      <c r="A4406" s="2" t="s">
        <v>4404</v>
      </c>
      <c r="B4406" s="2" t="s">
        <v>3</v>
      </c>
      <c r="C4406" s="1" t="str">
        <f>IFERROR(__xludf.DUMMYFUNCTION("GOOGLETRANSLATE(A4406,""en"",""pt-br"")"),"exagero")</f>
        <v>exagero</v>
      </c>
      <c r="D4406" s="1" t="str">
        <f>IFERROR(__xludf.DUMMYFUNCTION("GOOGLETRANSLATE(B4406,""en"",""pt-br"")"),"negativo")</f>
        <v>negativo</v>
      </c>
    </row>
    <row r="4407" ht="15.75" customHeight="1">
      <c r="A4407" s="2" t="s">
        <v>4405</v>
      </c>
      <c r="B4407" s="2" t="s">
        <v>3</v>
      </c>
      <c r="C4407" s="1" t="str">
        <f>IFERROR(__xludf.DUMMYFUNCTION("GOOGLETRANSLATE(A4407,""en"",""pt-br"")"),"sobrecarregado")</f>
        <v>sobrecarregado</v>
      </c>
      <c r="D4407" s="1" t="str">
        <f>IFERROR(__xludf.DUMMYFUNCTION("GOOGLETRANSLATE(B4407,""en"",""pt-br"")"),"negativo")</f>
        <v>negativo</v>
      </c>
    </row>
    <row r="4408" ht="15.75" customHeight="1">
      <c r="A4408" s="2" t="s">
        <v>4406</v>
      </c>
      <c r="B4408" s="2" t="s">
        <v>3</v>
      </c>
      <c r="C4408" s="1" t="str">
        <f>IFERROR(__xludf.DUMMYFUNCTION("GOOGLETRANSLATE(A4408,""en"",""pt-br"")"),"negligenciar")</f>
        <v>negligenciar</v>
      </c>
      <c r="D4408" s="1" t="str">
        <f>IFERROR(__xludf.DUMMYFUNCTION("GOOGLETRANSLATE(B4408,""en"",""pt-br"")"),"negativo")</f>
        <v>negativo</v>
      </c>
    </row>
    <row r="4409" ht="15.75" customHeight="1">
      <c r="A4409" s="2" t="s">
        <v>4407</v>
      </c>
      <c r="B4409" s="2" t="s">
        <v>3</v>
      </c>
      <c r="C4409" s="1" t="str">
        <f>IFERROR(__xludf.DUMMYFUNCTION("GOOGLETRANSLATE(A4409,""en"",""pt-br"")"),"excesso")</f>
        <v>excesso</v>
      </c>
      <c r="D4409" s="1" t="str">
        <f>IFERROR(__xludf.DUMMYFUNCTION("GOOGLETRANSLATE(B4409,""en"",""pt-br"")"),"negativo")</f>
        <v>negativo</v>
      </c>
    </row>
    <row r="4410" ht="15.75" customHeight="1">
      <c r="A4410" s="2" t="s">
        <v>4408</v>
      </c>
      <c r="B4410" s="2" t="s">
        <v>3</v>
      </c>
      <c r="C4410" s="1" t="str">
        <f>IFERROR(__xludf.DUMMYFUNCTION("GOOGLETRANSLATE(A4410,""en"",""pt-br"")"),"overpayed")</f>
        <v>overpayed</v>
      </c>
      <c r="D4410" s="1" t="str">
        <f>IFERROR(__xludf.DUMMYFUNCTION("GOOGLETRANSLATE(B4410,""en"",""pt-br"")"),"negativo")</f>
        <v>negativo</v>
      </c>
    </row>
    <row r="4411" ht="15.75" customHeight="1">
      <c r="A4411" s="2" t="s">
        <v>4409</v>
      </c>
      <c r="B4411" s="2" t="s">
        <v>3</v>
      </c>
      <c r="C4411" s="1" t="str">
        <f>IFERROR(__xludf.DUMMYFUNCTION("GOOGLETRANSLATE(A4411,""en"",""pt-br"")"),"Overplay")</f>
        <v>Overplay</v>
      </c>
      <c r="D4411" s="1" t="str">
        <f>IFERROR(__xludf.DUMMYFUNCTION("GOOGLETRANSLATE(B4411,""en"",""pt-br"")"),"negativo")</f>
        <v>negativo</v>
      </c>
    </row>
    <row r="4412" ht="15.75" customHeight="1">
      <c r="A4412" s="2" t="s">
        <v>4410</v>
      </c>
      <c r="B4412" s="2" t="s">
        <v>3</v>
      </c>
      <c r="C4412" s="1" t="str">
        <f>IFERROR(__xludf.DUMMYFUNCTION("GOOGLETRANSLATE(A4412,""en"",""pt-br"")"),"Overpower")</f>
        <v>Overpower</v>
      </c>
      <c r="D4412" s="1" t="str">
        <f>IFERROR(__xludf.DUMMYFUNCTION("GOOGLETRANSLATE(B4412,""en"",""pt-br"")"),"negativo")</f>
        <v>negativo</v>
      </c>
    </row>
    <row r="4413" ht="15.75" customHeight="1">
      <c r="A4413" s="2" t="s">
        <v>4411</v>
      </c>
      <c r="B4413" s="2" t="s">
        <v>3</v>
      </c>
      <c r="C4413" s="1" t="str">
        <f>IFERROR(__xludf.DUMMYFUNCTION("GOOGLETRANSLATE(A4413,""en"",""pt-br"")"),"superfaturada")</f>
        <v>superfaturada</v>
      </c>
      <c r="D4413" s="1" t="str">
        <f>IFERROR(__xludf.DUMMYFUNCTION("GOOGLETRANSLATE(B4413,""en"",""pt-br"")"),"negativo")</f>
        <v>negativo</v>
      </c>
    </row>
    <row r="4414" ht="15.75" customHeight="1">
      <c r="A4414" s="2" t="s">
        <v>4412</v>
      </c>
      <c r="B4414" s="2" t="s">
        <v>3</v>
      </c>
      <c r="C4414" s="1" t="str">
        <f>IFERROR(__xludf.DUMMYFUNCTION("GOOGLETRANSLATE(A4414,""en"",""pt-br"")"),"superestimado")</f>
        <v>superestimado</v>
      </c>
      <c r="D4414" s="1" t="str">
        <f>IFERROR(__xludf.DUMMYFUNCTION("GOOGLETRANSLATE(B4414,""en"",""pt-br"")"),"negativo")</f>
        <v>negativo</v>
      </c>
    </row>
    <row r="4415" ht="15.75" customHeight="1">
      <c r="A4415" s="2" t="s">
        <v>4413</v>
      </c>
      <c r="B4415" s="2" t="s">
        <v>3</v>
      </c>
      <c r="C4415" s="1" t="str">
        <f>IFERROR(__xludf.DUMMYFUNCTION("GOOGLETRANSLATE(A4415,""en"",""pt-br"")"),"enredo")</f>
        <v>enredo</v>
      </c>
      <c r="D4415" s="1" t="str">
        <f>IFERROR(__xludf.DUMMYFUNCTION("GOOGLETRANSLATE(B4415,""en"",""pt-br"")"),"negativo")</f>
        <v>negativo</v>
      </c>
    </row>
    <row r="4416" ht="15.75" customHeight="1">
      <c r="A4416" s="2" t="s">
        <v>4414</v>
      </c>
      <c r="B4416" s="2" t="s">
        <v>3</v>
      </c>
      <c r="C4416" s="1" t="str">
        <f>IFERROR(__xludf.DUMMYFUNCTION("GOOGLETRANSLATE(A4416,""en"",""pt-br"")"),"superação")</f>
        <v>superação</v>
      </c>
      <c r="D4416" s="1" t="str">
        <f>IFERROR(__xludf.DUMMYFUNCTION("GOOGLETRANSLATE(B4416,""en"",""pt-br"")"),"negativo")</f>
        <v>negativo</v>
      </c>
    </row>
    <row r="4417" ht="15.75" customHeight="1">
      <c r="A4417" s="2" t="s">
        <v>4415</v>
      </c>
      <c r="B4417" s="2" t="s">
        <v>3</v>
      </c>
      <c r="C4417" s="1" t="str">
        <f>IFERROR(__xludf.DUMMYFUNCTION("GOOGLETRANSLATE(A4417,""en"",""pt-br"")"),"ofuscar")</f>
        <v>ofuscar</v>
      </c>
      <c r="D4417" s="1" t="str">
        <f>IFERROR(__xludf.DUMMYFUNCTION("GOOGLETRANSLATE(B4417,""en"",""pt-br"")"),"negativo")</f>
        <v>negativo</v>
      </c>
    </row>
    <row r="4418" ht="15.75" customHeight="1">
      <c r="A4418" s="2" t="s">
        <v>4416</v>
      </c>
      <c r="B4418" s="2" t="s">
        <v>3</v>
      </c>
      <c r="C4418" s="1" t="str">
        <f>IFERROR(__xludf.DUMMYFUNCTION("GOOGLETRANSLATE(A4418,""en"",""pt-br"")"),"fiscalização")</f>
        <v>fiscalização</v>
      </c>
      <c r="D4418" s="1" t="str">
        <f>IFERROR(__xludf.DUMMYFUNCTION("GOOGLETRANSLATE(B4418,""en"",""pt-br"")"),"negativo")</f>
        <v>negativo</v>
      </c>
    </row>
    <row r="4419" ht="15.75" customHeight="1">
      <c r="A4419" s="2" t="s">
        <v>4417</v>
      </c>
      <c r="B4419" s="2" t="s">
        <v>3</v>
      </c>
      <c r="C4419" s="1" t="str">
        <f>IFERROR(__xludf.DUMMYFUNCTION("GOOGLETRANSLATE(A4419,""en"",""pt-br"")"),"descuidos")</f>
        <v>descuidos</v>
      </c>
      <c r="D4419" s="1" t="str">
        <f>IFERROR(__xludf.DUMMYFUNCTION("GOOGLETRANSLATE(B4419,""en"",""pt-br"")"),"negativo")</f>
        <v>negativo</v>
      </c>
    </row>
    <row r="4420" ht="15.75" customHeight="1">
      <c r="A4420" s="2" t="s">
        <v>4418</v>
      </c>
      <c r="B4420" s="2" t="s">
        <v>3</v>
      </c>
      <c r="C4420" s="1" t="str">
        <f>IFERROR(__xludf.DUMMYFUNCTION("GOOGLETRANSLATE(A4420,""en"",""pt-br"")"),"oversimplification")</f>
        <v>oversimplification</v>
      </c>
      <c r="D4420" s="1" t="str">
        <f>IFERROR(__xludf.DUMMYFUNCTION("GOOGLETRANSLATE(B4420,""en"",""pt-br"")"),"negativo")</f>
        <v>negativo</v>
      </c>
    </row>
    <row r="4421" ht="15.75" customHeight="1">
      <c r="A4421" s="2" t="s">
        <v>4419</v>
      </c>
      <c r="B4421" s="2" t="s">
        <v>3</v>
      </c>
      <c r="C4421" s="1" t="str">
        <f>IFERROR(__xludf.DUMMYFUNCTION("GOOGLETRANSLATE(A4421,""en"",""pt-br"")"),"simplificado")</f>
        <v>simplificado</v>
      </c>
      <c r="D4421" s="1" t="str">
        <f>IFERROR(__xludf.DUMMYFUNCTION("GOOGLETRANSLATE(B4421,""en"",""pt-br"")"),"negativo")</f>
        <v>negativo</v>
      </c>
    </row>
    <row r="4422" ht="15.75" customHeight="1">
      <c r="A4422" s="2" t="s">
        <v>4420</v>
      </c>
      <c r="B4422" s="2" t="s">
        <v>3</v>
      </c>
      <c r="C4422" s="1" t="str">
        <f>IFERROR(__xludf.DUMMYFUNCTION("GOOGLETRANSLATE(A4422,""en"",""pt-br"")"),"simplificar")</f>
        <v>simplificar</v>
      </c>
      <c r="D4422" s="1" t="str">
        <f>IFERROR(__xludf.DUMMYFUNCTION("GOOGLETRANSLATE(B4422,""en"",""pt-br"")"),"negativo")</f>
        <v>negativo</v>
      </c>
    </row>
    <row r="4423" ht="15.75" customHeight="1">
      <c r="A4423" s="2" t="s">
        <v>4421</v>
      </c>
      <c r="B4423" s="2" t="s">
        <v>3</v>
      </c>
      <c r="C4423" s="1" t="str">
        <f>IFERROR(__xludf.DUMMYFUNCTION("GOOGLETRANSLATE(A4423,""en"",""pt-br"")"),"tamanho desproporcional")</f>
        <v>tamanho desproporcional</v>
      </c>
      <c r="D4423" s="1" t="str">
        <f>IFERROR(__xludf.DUMMYFUNCTION("GOOGLETRANSLATE(B4423,""en"",""pt-br"")"),"negativo")</f>
        <v>negativo</v>
      </c>
    </row>
    <row r="4424" ht="15.75" customHeight="1">
      <c r="A4424" s="2" t="s">
        <v>4422</v>
      </c>
      <c r="B4424" s="2" t="s">
        <v>3</v>
      </c>
      <c r="C4424" s="1" t="str">
        <f>IFERROR(__xludf.DUMMYFUNCTION("GOOGLETRANSLATE(A4424,""en"",""pt-br"")"),"exagerar")</f>
        <v>exagerar</v>
      </c>
      <c r="D4424" s="1" t="str">
        <f>IFERROR(__xludf.DUMMYFUNCTION("GOOGLETRANSLATE(B4424,""en"",""pt-br"")"),"negativo")</f>
        <v>negativo</v>
      </c>
    </row>
    <row r="4425" ht="15.75" customHeight="1">
      <c r="A4425" s="2" t="s">
        <v>4423</v>
      </c>
      <c r="B4425" s="2" t="s">
        <v>3</v>
      </c>
      <c r="C4425" s="1" t="str">
        <f>IFERROR(__xludf.DUMMYFUNCTION("GOOGLETRANSLATE(A4425,""en"",""pt-br"")"),"exagerada")</f>
        <v>exagerada</v>
      </c>
      <c r="D4425" s="1" t="str">
        <f>IFERROR(__xludf.DUMMYFUNCTION("GOOGLETRANSLATE(B4425,""en"",""pt-br"")"),"negativo")</f>
        <v>negativo</v>
      </c>
    </row>
    <row r="4426" ht="15.75" customHeight="1">
      <c r="A4426" s="2" t="s">
        <v>4424</v>
      </c>
      <c r="B4426" s="2" t="s">
        <v>3</v>
      </c>
      <c r="C4426" s="1" t="str">
        <f>IFERROR(__xludf.DUMMYFUNCTION("GOOGLETRANSLATE(A4426,""en"",""pt-br"")"),"exagero")</f>
        <v>exagero</v>
      </c>
      <c r="D4426" s="1" t="str">
        <f>IFERROR(__xludf.DUMMYFUNCTION("GOOGLETRANSLATE(B4426,""en"",""pt-br"")"),"negativo")</f>
        <v>negativo</v>
      </c>
    </row>
    <row r="4427" ht="15.75" customHeight="1">
      <c r="A4427" s="2" t="s">
        <v>4425</v>
      </c>
      <c r="B4427" s="2" t="s">
        <v>3</v>
      </c>
      <c r="C4427" s="1" t="str">
        <f>IFERROR(__xludf.DUMMYFUNCTION("GOOGLETRANSLATE(A4427,""en"",""pt-br"")"),"overstatements")</f>
        <v>overstatements</v>
      </c>
      <c r="D4427" s="1" t="str">
        <f>IFERROR(__xludf.DUMMYFUNCTION("GOOGLETRANSLATE(B4427,""en"",""pt-br"")"),"negativo")</f>
        <v>negativo</v>
      </c>
    </row>
    <row r="4428" ht="15.75" customHeight="1">
      <c r="A4428" s="2" t="s">
        <v>4426</v>
      </c>
      <c r="B4428" s="2" t="s">
        <v>3</v>
      </c>
      <c r="C4428" s="1" t="str">
        <f>IFERROR(__xludf.DUMMYFUNCTION("GOOGLETRANSLATE(A4428,""en"",""pt-br"")"),"exagera")</f>
        <v>exagera</v>
      </c>
      <c r="D4428" s="1" t="str">
        <f>IFERROR(__xludf.DUMMYFUNCTION("GOOGLETRANSLATE(B4428,""en"",""pt-br"")"),"negativo")</f>
        <v>negativo</v>
      </c>
    </row>
    <row r="4429" ht="15.75" customHeight="1">
      <c r="A4429" s="2" t="s">
        <v>4427</v>
      </c>
      <c r="B4429" s="2" t="s">
        <v>14</v>
      </c>
      <c r="C4429" s="1" t="str">
        <f>IFERROR(__xludf.DUMMYFUNCTION("GOOGLETRANSLATE(A4429,""en"",""pt-br"")"),"ultrapassar")</f>
        <v>ultrapassar</v>
      </c>
      <c r="D4429" s="1" t="str">
        <f>IFERROR(__xludf.DUMMYFUNCTION("GOOGLETRANSLATE(B4429,""en"",""pt-br"")"),"positivo")</f>
        <v>positivo</v>
      </c>
    </row>
    <row r="4430" ht="15.75" customHeight="1">
      <c r="A4430" s="2" t="s">
        <v>4428</v>
      </c>
      <c r="B4430" s="2" t="s">
        <v>14</v>
      </c>
      <c r="C4430" s="1" t="str">
        <f>IFERROR(__xludf.DUMMYFUNCTION("GOOGLETRANSLATE(A4430,""en"",""pt-br"")"),"ultrapassado")</f>
        <v>ultrapassado</v>
      </c>
      <c r="D4430" s="1" t="str">
        <f>IFERROR(__xludf.DUMMYFUNCTION("GOOGLETRANSLATE(B4430,""en"",""pt-br"")"),"positivo")</f>
        <v>positivo</v>
      </c>
    </row>
    <row r="4431" ht="15.75" customHeight="1">
      <c r="A4431" s="2" t="s">
        <v>4429</v>
      </c>
      <c r="B4431" s="2" t="s">
        <v>14</v>
      </c>
      <c r="C4431" s="1" t="str">
        <f>IFERROR(__xludf.DUMMYFUNCTION("GOOGLETRANSLATE(A4431,""en"",""pt-br"")"),"ultrapassagens")</f>
        <v>ultrapassagens</v>
      </c>
      <c r="D4431" s="1" t="str">
        <f>IFERROR(__xludf.DUMMYFUNCTION("GOOGLETRANSLATE(B4431,""en"",""pt-br"")"),"positivo")</f>
        <v>positivo</v>
      </c>
    </row>
    <row r="4432" ht="15.75" customHeight="1">
      <c r="A4432" s="2" t="s">
        <v>4430</v>
      </c>
      <c r="B4432" s="2" t="s">
        <v>14</v>
      </c>
      <c r="C4432" s="1" t="str">
        <f>IFERROR(__xludf.DUMMYFUNCTION("GOOGLETRANSLATE(A4432,""en"",""pt-br"")"),"ultrapassando")</f>
        <v>ultrapassando</v>
      </c>
      <c r="D4432" s="1" t="str">
        <f>IFERROR(__xludf.DUMMYFUNCTION("GOOGLETRANSLATE(B4432,""en"",""pt-br"")"),"positivo")</f>
        <v>positivo</v>
      </c>
    </row>
    <row r="4433" ht="15.75" customHeight="1">
      <c r="A4433" s="2" t="s">
        <v>4431</v>
      </c>
      <c r="B4433" s="2" t="s">
        <v>3</v>
      </c>
      <c r="C4433" s="1" t="str">
        <f>IFERROR(__xludf.DUMMYFUNCTION("GOOGLETRANSLATE(A4433,""en"",""pt-br"")"),"sobrecarregado")</f>
        <v>sobrecarregado</v>
      </c>
      <c r="D4433" s="1" t="str">
        <f>IFERROR(__xludf.DUMMYFUNCTION("GOOGLETRANSLATE(B4433,""en"",""pt-br"")"),"negativo")</f>
        <v>negativo</v>
      </c>
    </row>
    <row r="4434" ht="15.75" customHeight="1">
      <c r="A4434" s="2" t="s">
        <v>4432</v>
      </c>
      <c r="B4434" s="2" t="s">
        <v>3</v>
      </c>
      <c r="C4434" s="1" t="str">
        <f>IFERROR(__xludf.DUMMYFUNCTION("GOOGLETRANSLATE(A4434,""en"",""pt-br"")"),"derrubar")</f>
        <v>derrubar</v>
      </c>
      <c r="D4434" s="1" t="str">
        <f>IFERROR(__xludf.DUMMYFUNCTION("GOOGLETRANSLATE(B4434,""en"",""pt-br"")"),"negativo")</f>
        <v>negativo</v>
      </c>
    </row>
    <row r="4435" ht="15.75" customHeight="1">
      <c r="A4435" s="2" t="s">
        <v>4433</v>
      </c>
      <c r="B4435" s="2" t="s">
        <v>3</v>
      </c>
      <c r="C4435" s="1" t="str">
        <f>IFERROR(__xludf.DUMMYFUNCTION("GOOGLETRANSLATE(A4435,""en"",""pt-br"")"),"overthrows")</f>
        <v>overthrows</v>
      </c>
      <c r="D4435" s="1" t="str">
        <f>IFERROR(__xludf.DUMMYFUNCTION("GOOGLETRANSLATE(B4435,""en"",""pt-br"")"),"negativo")</f>
        <v>negativo</v>
      </c>
    </row>
    <row r="4436" ht="15.75" customHeight="1">
      <c r="A4436" s="2" t="s">
        <v>4434</v>
      </c>
      <c r="B4436" s="2" t="s">
        <v>14</v>
      </c>
      <c r="C4436" s="1" t="str">
        <f>IFERROR(__xludf.DUMMYFUNCTION("GOOGLETRANSLATE(A4436,""en"",""pt-br"")"),"ultrapassou")</f>
        <v>ultrapassou</v>
      </c>
      <c r="D4436" s="1" t="str">
        <f>IFERROR(__xludf.DUMMYFUNCTION("GOOGLETRANSLATE(B4436,""en"",""pt-br"")"),"positivo")</f>
        <v>positivo</v>
      </c>
    </row>
    <row r="4437" ht="15.75" customHeight="1">
      <c r="A4437" s="2" t="s">
        <v>4435</v>
      </c>
      <c r="B4437" s="2" t="s">
        <v>14</v>
      </c>
      <c r="C4437" s="1" t="str">
        <f>IFERROR(__xludf.DUMMYFUNCTION("GOOGLETRANSLATE(A4437,""en"",""pt-br"")"),"abertura")</f>
        <v>abertura</v>
      </c>
      <c r="D4437" s="1" t="str">
        <f>IFERROR(__xludf.DUMMYFUNCTION("GOOGLETRANSLATE(B4437,""en"",""pt-br"")"),"positivo")</f>
        <v>positivo</v>
      </c>
    </row>
    <row r="4438" ht="15.75" customHeight="1">
      <c r="A4438" s="2" t="s">
        <v>4436</v>
      </c>
      <c r="B4438" s="2" t="s">
        <v>3</v>
      </c>
      <c r="C4438" s="1" t="str">
        <f>IFERROR(__xludf.DUMMYFUNCTION("GOOGLETRANSLATE(A4438,""en"",""pt-br"")"),"reviravolta")</f>
        <v>reviravolta</v>
      </c>
      <c r="D4438" s="1" t="str">
        <f>IFERROR(__xludf.DUMMYFUNCTION("GOOGLETRANSLATE(B4438,""en"",""pt-br"")"),"negativo")</f>
        <v>negativo</v>
      </c>
    </row>
    <row r="4439" ht="15.75" customHeight="1">
      <c r="A4439" s="2" t="s">
        <v>4437</v>
      </c>
      <c r="B4439" s="2" t="s">
        <v>3</v>
      </c>
      <c r="C4439" s="1" t="str">
        <f>IFERROR(__xludf.DUMMYFUNCTION("GOOGLETRANSLATE(A4439,""en"",""pt-br"")"),"excesso de peso")</f>
        <v>excesso de peso</v>
      </c>
      <c r="D4439" s="1" t="str">
        <f>IFERROR(__xludf.DUMMYFUNCTION("GOOGLETRANSLATE(B4439,""en"",""pt-br"")"),"negativo")</f>
        <v>negativo</v>
      </c>
    </row>
    <row r="4440" ht="15.75" customHeight="1">
      <c r="A4440" s="2" t="s">
        <v>4438</v>
      </c>
      <c r="B4440" s="2" t="s">
        <v>3</v>
      </c>
      <c r="C4440" s="1" t="str">
        <f>IFERROR(__xludf.DUMMYFUNCTION("GOOGLETRANSLATE(A4440,""en"",""pt-br"")"),"Sobrecarga")</f>
        <v>Sobrecarga</v>
      </c>
      <c r="D4440" s="1" t="str">
        <f>IFERROR(__xludf.DUMMYFUNCTION("GOOGLETRANSLATE(B4440,""en"",""pt-br"")"),"negativo")</f>
        <v>negativo</v>
      </c>
    </row>
    <row r="4441" ht="15.75" customHeight="1">
      <c r="A4441" s="2" t="s">
        <v>4439</v>
      </c>
      <c r="B4441" s="2" t="s">
        <v>3</v>
      </c>
      <c r="C4441" s="1" t="str">
        <f>IFERROR(__xludf.DUMMYFUNCTION("GOOGLETRANSLATE(A4441,""en"",""pt-br"")"),"sobrecarregado")</f>
        <v>sobrecarregado</v>
      </c>
      <c r="D4441" s="1" t="str">
        <f>IFERROR(__xludf.DUMMYFUNCTION("GOOGLETRANSLATE(B4441,""en"",""pt-br"")"),"negativo")</f>
        <v>negativo</v>
      </c>
    </row>
    <row r="4442" ht="15.75" customHeight="1">
      <c r="A4442" s="2" t="s">
        <v>4440</v>
      </c>
      <c r="B4442" s="2" t="s">
        <v>3</v>
      </c>
      <c r="C4442" s="1" t="str">
        <f>IFERROR(__xludf.DUMMYFUNCTION("GOOGLETRANSLATE(A4442,""en"",""pt-br"")"),"esmagadora")</f>
        <v>esmagadora</v>
      </c>
      <c r="D4442" s="1" t="str">
        <f>IFERROR(__xludf.DUMMYFUNCTION("GOOGLETRANSLATE(B4442,""en"",""pt-br"")"),"negativo")</f>
        <v>negativo</v>
      </c>
    </row>
    <row r="4443" ht="15.75" customHeight="1">
      <c r="A4443" s="2" t="s">
        <v>4441</v>
      </c>
      <c r="B4443" s="2" t="s">
        <v>3</v>
      </c>
      <c r="C4443" s="1" t="str">
        <f>IFERROR(__xludf.DUMMYFUNCTION("GOOGLETRANSLATE(A4443,""en"",""pt-br"")"),"esmagadoramente")</f>
        <v>esmagadoramente</v>
      </c>
      <c r="D4443" s="1" t="str">
        <f>IFERROR(__xludf.DUMMYFUNCTION("GOOGLETRANSLATE(B4443,""en"",""pt-br"")"),"negativo")</f>
        <v>negativo</v>
      </c>
    </row>
    <row r="4444" ht="15.75" customHeight="1">
      <c r="A4444" s="2" t="s">
        <v>4442</v>
      </c>
      <c r="B4444" s="2" t="s">
        <v>3</v>
      </c>
      <c r="C4444" s="1" t="str">
        <f>IFERROR(__xludf.DUMMYFUNCTION("GOOGLETRANSLATE(A4444,""en"",""pt-br"")"),"subjuga")</f>
        <v>subjuga</v>
      </c>
      <c r="D4444" s="1" t="str">
        <f>IFERROR(__xludf.DUMMYFUNCTION("GOOGLETRANSLATE(B4444,""en"",""pt-br"")"),"negativo")</f>
        <v>negativo</v>
      </c>
    </row>
    <row r="4445" ht="15.75" customHeight="1">
      <c r="A4445" s="2" t="s">
        <v>4443</v>
      </c>
      <c r="B4445" s="2" t="s">
        <v>3</v>
      </c>
      <c r="C4445" s="1" t="str">
        <f>IFERROR(__xludf.DUMMYFUNCTION("GOOGLETRANSLATE(A4445,""en"",""pt-br"")"),"superzeloso")</f>
        <v>superzeloso</v>
      </c>
      <c r="D4445" s="1" t="str">
        <f>IFERROR(__xludf.DUMMYFUNCTION("GOOGLETRANSLATE(B4445,""en"",""pt-br"")"),"negativo")</f>
        <v>negativo</v>
      </c>
    </row>
    <row r="4446" ht="15.75" customHeight="1">
      <c r="A4446" s="2" t="s">
        <v>4444</v>
      </c>
      <c r="B4446" s="2" t="s">
        <v>3</v>
      </c>
      <c r="C4446" s="1" t="str">
        <f>IFERROR(__xludf.DUMMYFUNCTION("GOOGLETRANSLATE(A4446,""en"",""pt-br"")"),"overzealously")</f>
        <v>overzealously</v>
      </c>
      <c r="D4446" s="1" t="str">
        <f>IFERROR(__xludf.DUMMYFUNCTION("GOOGLETRANSLATE(B4446,""en"",""pt-br"")"),"negativo")</f>
        <v>negativo</v>
      </c>
    </row>
    <row r="4447" ht="15.75" customHeight="1">
      <c r="A4447" s="2" t="s">
        <v>4445</v>
      </c>
      <c r="B4447" s="2" t="s">
        <v>3</v>
      </c>
      <c r="C4447" s="1" t="str">
        <f>IFERROR(__xludf.DUMMYFUNCTION("GOOGLETRANSLATE(A4447,""en"",""pt-br"")"),"overzelous")</f>
        <v>overzelous</v>
      </c>
      <c r="D4447" s="1" t="str">
        <f>IFERROR(__xludf.DUMMYFUNCTION("GOOGLETRANSLATE(B4447,""en"",""pt-br"")"),"negativo")</f>
        <v>negativo</v>
      </c>
    </row>
    <row r="4448" ht="15.75" customHeight="1">
      <c r="A4448" s="2" t="s">
        <v>4446</v>
      </c>
      <c r="B4448" s="2" t="s">
        <v>3</v>
      </c>
      <c r="C4448" s="1" t="str">
        <f>IFERROR(__xludf.DUMMYFUNCTION("GOOGLETRANSLATE(A4448,""en"",""pt-br"")"),"dor")</f>
        <v>dor</v>
      </c>
      <c r="D4448" s="1" t="str">
        <f>IFERROR(__xludf.DUMMYFUNCTION("GOOGLETRANSLATE(B4448,""en"",""pt-br"")"),"negativo")</f>
        <v>negativo</v>
      </c>
    </row>
    <row r="4449" ht="15.75" customHeight="1">
      <c r="A4449" s="2" t="s">
        <v>4447</v>
      </c>
      <c r="B4449" s="2" t="s">
        <v>14</v>
      </c>
      <c r="C4449" s="1" t="str">
        <f>IFERROR(__xludf.DUMMYFUNCTION("GOOGLETRANSLATE(A4449,""en"",""pt-br"")"),"indolor")</f>
        <v>indolor</v>
      </c>
      <c r="D4449" s="1" t="str">
        <f>IFERROR(__xludf.DUMMYFUNCTION("GOOGLETRANSLATE(B4449,""en"",""pt-br"")"),"positivo")</f>
        <v>positivo</v>
      </c>
    </row>
    <row r="4450" ht="15.75" customHeight="1">
      <c r="A4450" s="2" t="s">
        <v>4448</v>
      </c>
      <c r="B4450" s="2" t="s">
        <v>3</v>
      </c>
      <c r="C4450" s="1" t="str">
        <f>IFERROR(__xludf.DUMMYFUNCTION("GOOGLETRANSLATE(A4450,""en"",""pt-br"")"),"doloroso")</f>
        <v>doloroso</v>
      </c>
      <c r="D4450" s="1" t="str">
        <f>IFERROR(__xludf.DUMMYFUNCTION("GOOGLETRANSLATE(B4450,""en"",""pt-br"")"),"negativo")</f>
        <v>negativo</v>
      </c>
    </row>
    <row r="4451" ht="15.75" customHeight="1">
      <c r="A4451" s="2" t="s">
        <v>4449</v>
      </c>
      <c r="B4451" s="2" t="s">
        <v>3</v>
      </c>
      <c r="C4451" s="1" t="str">
        <f>IFERROR(__xludf.DUMMYFUNCTION("GOOGLETRANSLATE(A4451,""en"",""pt-br"")"),"painfull")</f>
        <v>painfull</v>
      </c>
      <c r="D4451" s="1" t="str">
        <f>IFERROR(__xludf.DUMMYFUNCTION("GOOGLETRANSLATE(B4451,""en"",""pt-br"")"),"negativo")</f>
        <v>negativo</v>
      </c>
    </row>
    <row r="4452" ht="15.75" customHeight="1">
      <c r="A4452" s="2" t="s">
        <v>4450</v>
      </c>
      <c r="B4452" s="2" t="s">
        <v>3</v>
      </c>
      <c r="C4452" s="1" t="str">
        <f>IFERROR(__xludf.DUMMYFUNCTION("GOOGLETRANSLATE(A4452,""en"",""pt-br"")"),"dolorosamente")</f>
        <v>dolorosamente</v>
      </c>
      <c r="D4452" s="1" t="str">
        <f>IFERROR(__xludf.DUMMYFUNCTION("GOOGLETRANSLATE(B4452,""en"",""pt-br"")"),"negativo")</f>
        <v>negativo</v>
      </c>
    </row>
    <row r="4453" ht="15.75" customHeight="1">
      <c r="A4453" s="2" t="s">
        <v>4451</v>
      </c>
      <c r="B4453" s="2" t="s">
        <v>14</v>
      </c>
      <c r="C4453" s="1" t="str">
        <f>IFERROR(__xludf.DUMMYFUNCTION("GOOGLETRANSLATE(A4453,""en"",""pt-br"")"),"sem dor")</f>
        <v>sem dor</v>
      </c>
      <c r="D4453" s="1" t="str">
        <f>IFERROR(__xludf.DUMMYFUNCTION("GOOGLETRANSLATE(B4453,""en"",""pt-br"")"),"positivo")</f>
        <v>positivo</v>
      </c>
    </row>
    <row r="4454" ht="15.75" customHeight="1">
      <c r="A4454" s="2" t="s">
        <v>4452</v>
      </c>
      <c r="B4454" s="2" t="s">
        <v>14</v>
      </c>
      <c r="C4454" s="1" t="str">
        <f>IFERROR(__xludf.DUMMYFUNCTION("GOOGLETRANSLATE(A4454,""en"",""pt-br"")"),"indolor")</f>
        <v>indolor</v>
      </c>
      <c r="D4454" s="1" t="str">
        <f>IFERROR(__xludf.DUMMYFUNCTION("GOOGLETRANSLATE(B4454,""en"",""pt-br"")"),"positivo")</f>
        <v>positivo</v>
      </c>
    </row>
    <row r="4455" ht="15.75" customHeight="1">
      <c r="A4455" s="2" t="s">
        <v>4453</v>
      </c>
      <c r="B4455" s="2" t="s">
        <v>3</v>
      </c>
      <c r="C4455" s="1" t="str">
        <f>IFERROR(__xludf.DUMMYFUNCTION("GOOGLETRANSLATE(A4455,""en"",""pt-br"")"),"dores")</f>
        <v>dores</v>
      </c>
      <c r="D4455" s="1" t="str">
        <f>IFERROR(__xludf.DUMMYFUNCTION("GOOGLETRANSLATE(B4455,""en"",""pt-br"")"),"negativo")</f>
        <v>negativo</v>
      </c>
    </row>
    <row r="4456" ht="15.75" customHeight="1">
      <c r="A4456" s="2" t="s">
        <v>4454</v>
      </c>
      <c r="B4456" s="2" t="s">
        <v>14</v>
      </c>
      <c r="C4456" s="1" t="str">
        <f>IFERROR(__xludf.DUMMYFUNCTION("GOOGLETRANSLATE(A4456,""en"",""pt-br"")"),"suntuoso")</f>
        <v>suntuoso</v>
      </c>
      <c r="D4456" s="1" t="str">
        <f>IFERROR(__xludf.DUMMYFUNCTION("GOOGLETRANSLATE(B4456,""en"",""pt-br"")"),"positivo")</f>
        <v>positivo</v>
      </c>
    </row>
    <row r="4457" ht="15.75" customHeight="1">
      <c r="A4457" s="2" t="s">
        <v>4455</v>
      </c>
      <c r="B4457" s="2" t="s">
        <v>3</v>
      </c>
      <c r="C4457" s="1" t="str">
        <f>IFERROR(__xludf.DUMMYFUNCTION("GOOGLETRANSLATE(A4457,""en"",""pt-br"")"),"pálido")</f>
        <v>pálido</v>
      </c>
      <c r="D4457" s="1" t="str">
        <f>IFERROR(__xludf.DUMMYFUNCTION("GOOGLETRANSLATE(B4457,""en"",""pt-br"")"),"negativo")</f>
        <v>negativo</v>
      </c>
    </row>
    <row r="4458" ht="15.75" customHeight="1">
      <c r="A4458" s="2" t="s">
        <v>4456</v>
      </c>
      <c r="B4458" s="2" t="s">
        <v>3</v>
      </c>
      <c r="C4458" s="1" t="str">
        <f>IFERROR(__xludf.DUMMYFUNCTION("GOOGLETRANSLATE(A4458,""en"",""pt-br"")"),"pales")</f>
        <v>pales</v>
      </c>
      <c r="D4458" s="1" t="str">
        <f>IFERROR(__xludf.DUMMYFUNCTION("GOOGLETRANSLATE(B4458,""en"",""pt-br"")"),"negativo")</f>
        <v>negativo</v>
      </c>
    </row>
    <row r="4459" ht="15.75" customHeight="1">
      <c r="A4459" s="2" t="s">
        <v>4457</v>
      </c>
      <c r="B4459" s="2" t="s">
        <v>3</v>
      </c>
      <c r="C4459" s="1" t="str">
        <f>IFERROR(__xludf.DUMMYFUNCTION("GOOGLETRANSLATE(A4459,""en"",""pt-br"")"),"insignificante")</f>
        <v>insignificante</v>
      </c>
      <c r="D4459" s="1" t="str">
        <f>IFERROR(__xludf.DUMMYFUNCTION("GOOGLETRANSLATE(B4459,""en"",""pt-br"")"),"negativo")</f>
        <v>negativo</v>
      </c>
    </row>
    <row r="4460" ht="15.75" customHeight="1">
      <c r="A4460" s="2" t="s">
        <v>4458</v>
      </c>
      <c r="B4460" s="2" t="s">
        <v>14</v>
      </c>
      <c r="C4460" s="1" t="str">
        <f>IFERROR(__xludf.DUMMYFUNCTION("GOOGLETRANSLATE(A4460,""en"",""pt-br"")"),"mimar")</f>
        <v>mimar</v>
      </c>
      <c r="D4460" s="1" t="str">
        <f>IFERROR(__xludf.DUMMYFUNCTION("GOOGLETRANSLATE(B4460,""en"",""pt-br"")"),"positivo")</f>
        <v>positivo</v>
      </c>
    </row>
    <row r="4461" ht="15.75" customHeight="1">
      <c r="A4461" s="2" t="s">
        <v>4459</v>
      </c>
      <c r="B4461" s="2" t="s">
        <v>14</v>
      </c>
      <c r="C4461" s="1" t="str">
        <f>IFERROR(__xludf.DUMMYFUNCTION("GOOGLETRANSLATE(A4461,""en"",""pt-br"")"),"mimado")</f>
        <v>mimado</v>
      </c>
      <c r="D4461" s="1" t="str">
        <f>IFERROR(__xludf.DUMMYFUNCTION("GOOGLETRANSLATE(B4461,""en"",""pt-br"")"),"positivo")</f>
        <v>positivo</v>
      </c>
    </row>
    <row r="4462" ht="15.75" customHeight="1">
      <c r="A4462" s="2" t="s">
        <v>4460</v>
      </c>
      <c r="B4462" s="2" t="s">
        <v>14</v>
      </c>
      <c r="C4462" s="1" t="str">
        <f>IFERROR(__xludf.DUMMYFUNCTION("GOOGLETRANSLATE(A4462,""en"",""pt-br"")"),"pamperedly")</f>
        <v>pamperedly</v>
      </c>
      <c r="D4462" s="1" t="str">
        <f>IFERROR(__xludf.DUMMYFUNCTION("GOOGLETRANSLATE(B4462,""en"",""pt-br"")"),"positivo")</f>
        <v>positivo</v>
      </c>
    </row>
    <row r="4463" ht="15.75" customHeight="1">
      <c r="A4463" s="2" t="s">
        <v>4461</v>
      </c>
      <c r="B4463" s="2" t="s">
        <v>14</v>
      </c>
      <c r="C4463" s="1" t="str">
        <f>IFERROR(__xludf.DUMMYFUNCTION("GOOGLETRANSLATE(A4463,""en"",""pt-br"")"),"pamperedness")</f>
        <v>pamperedness</v>
      </c>
      <c r="D4463" s="1" t="str">
        <f>IFERROR(__xludf.DUMMYFUNCTION("GOOGLETRANSLATE(B4463,""en"",""pt-br"")"),"positivo")</f>
        <v>positivo</v>
      </c>
    </row>
    <row r="4464" ht="15.75" customHeight="1">
      <c r="A4464" s="2" t="s">
        <v>4462</v>
      </c>
      <c r="B4464" s="2" t="s">
        <v>14</v>
      </c>
      <c r="C4464" s="1" t="str">
        <f>IFERROR(__xludf.DUMMYFUNCTION("GOOGLETRANSLATE(A4464,""en"",""pt-br"")"),"Pampers")</f>
        <v>Pampers</v>
      </c>
      <c r="D4464" s="1" t="str">
        <f>IFERROR(__xludf.DUMMYFUNCTION("GOOGLETRANSLATE(B4464,""en"",""pt-br"")"),"positivo")</f>
        <v>positivo</v>
      </c>
    </row>
    <row r="4465" ht="15.75" customHeight="1">
      <c r="A4465" s="2" t="s">
        <v>4463</v>
      </c>
      <c r="B4465" s="2" t="s">
        <v>3</v>
      </c>
      <c r="C4465" s="1" t="str">
        <f>IFERROR(__xludf.DUMMYFUNCTION("GOOGLETRANSLATE(A4465,""en"",""pt-br"")"),"panela")</f>
        <v>panela</v>
      </c>
      <c r="D4465" s="1" t="str">
        <f>IFERROR(__xludf.DUMMYFUNCTION("GOOGLETRANSLATE(B4465,""en"",""pt-br"")"),"negativo")</f>
        <v>negativo</v>
      </c>
    </row>
    <row r="4466" ht="15.75" customHeight="1">
      <c r="A4466" s="2" t="s">
        <v>4464</v>
      </c>
      <c r="B4466" s="2" t="s">
        <v>3</v>
      </c>
      <c r="C4466" s="1" t="str">
        <f>IFERROR(__xludf.DUMMYFUNCTION("GOOGLETRANSLATE(A4466,""en"",""pt-br"")"),"pandemônio")</f>
        <v>pandemônio</v>
      </c>
      <c r="D4466" s="1" t="str">
        <f>IFERROR(__xludf.DUMMYFUNCTION("GOOGLETRANSLATE(B4466,""en"",""pt-br"")"),"negativo")</f>
        <v>negativo</v>
      </c>
    </row>
    <row r="4467" ht="15.75" customHeight="1">
      <c r="A4467" s="2" t="s">
        <v>4465</v>
      </c>
      <c r="B4467" s="2" t="s">
        <v>3</v>
      </c>
      <c r="C4467" s="1" t="str">
        <f>IFERROR(__xludf.DUMMYFUNCTION("GOOGLETRANSLATE(A4467,""en"",""pt-br"")"),"Pander")</f>
        <v>Pander</v>
      </c>
      <c r="D4467" s="1" t="str">
        <f>IFERROR(__xludf.DUMMYFUNCTION("GOOGLETRANSLATE(B4467,""en"",""pt-br"")"),"negativo")</f>
        <v>negativo</v>
      </c>
    </row>
    <row r="4468" ht="15.75" customHeight="1">
      <c r="A4468" s="2" t="s">
        <v>4466</v>
      </c>
      <c r="B4468" s="2" t="s">
        <v>3</v>
      </c>
      <c r="C4468" s="1" t="str">
        <f>IFERROR(__xludf.DUMMYFUNCTION("GOOGLETRANSLATE(A4468,""en"",""pt-br"")"),"pandering")</f>
        <v>pandering</v>
      </c>
      <c r="D4468" s="1" t="str">
        <f>IFERROR(__xludf.DUMMYFUNCTION("GOOGLETRANSLATE(B4468,""en"",""pt-br"")"),"negativo")</f>
        <v>negativo</v>
      </c>
    </row>
    <row r="4469" ht="15.75" customHeight="1">
      <c r="A4469" s="2" t="s">
        <v>4467</v>
      </c>
      <c r="B4469" s="2" t="s">
        <v>3</v>
      </c>
      <c r="C4469" s="1" t="str">
        <f>IFERROR(__xludf.DUMMYFUNCTION("GOOGLETRANSLATE(A4469,""en"",""pt-br"")"),"alcoviteiros")</f>
        <v>alcoviteiros</v>
      </c>
      <c r="D4469" s="1" t="str">
        <f>IFERROR(__xludf.DUMMYFUNCTION("GOOGLETRANSLATE(B4469,""en"",""pt-br"")"),"negativo")</f>
        <v>negativo</v>
      </c>
    </row>
    <row r="4470" ht="15.75" customHeight="1">
      <c r="A4470" s="2" t="s">
        <v>4468</v>
      </c>
      <c r="B4470" s="2" t="s">
        <v>3</v>
      </c>
      <c r="C4470" s="1" t="str">
        <f>IFERROR(__xludf.DUMMYFUNCTION("GOOGLETRANSLATE(A4470,""en"",""pt-br"")"),"pânico")</f>
        <v>pânico</v>
      </c>
      <c r="D4470" s="1" t="str">
        <f>IFERROR(__xludf.DUMMYFUNCTION("GOOGLETRANSLATE(B4470,""en"",""pt-br"")"),"negativo")</f>
        <v>negativo</v>
      </c>
    </row>
    <row r="4471" ht="15.75" customHeight="1">
      <c r="A4471" s="2" t="s">
        <v>4469</v>
      </c>
      <c r="B4471" s="2" t="s">
        <v>3</v>
      </c>
      <c r="C4471" s="1" t="str">
        <f>IFERROR(__xludf.DUMMYFUNCTION("GOOGLETRANSLATE(A4471,""en"",""pt-br"")"),"panick")</f>
        <v>panick</v>
      </c>
      <c r="D4471" s="1" t="str">
        <f>IFERROR(__xludf.DUMMYFUNCTION("GOOGLETRANSLATE(B4471,""en"",""pt-br"")"),"negativo")</f>
        <v>negativo</v>
      </c>
    </row>
    <row r="4472" ht="15.75" customHeight="1">
      <c r="A4472" s="2" t="s">
        <v>4470</v>
      </c>
      <c r="B4472" s="2" t="s">
        <v>3</v>
      </c>
      <c r="C4472" s="1" t="str">
        <f>IFERROR(__xludf.DUMMYFUNCTION("GOOGLETRANSLATE(A4472,""en"",""pt-br"")"),"em pânico")</f>
        <v>em pânico</v>
      </c>
      <c r="D4472" s="1" t="str">
        <f>IFERROR(__xludf.DUMMYFUNCTION("GOOGLETRANSLATE(B4472,""en"",""pt-br"")"),"negativo")</f>
        <v>negativo</v>
      </c>
    </row>
    <row r="4473" ht="15.75" customHeight="1">
      <c r="A4473" s="2" t="s">
        <v>4471</v>
      </c>
      <c r="B4473" s="2" t="s">
        <v>3</v>
      </c>
      <c r="C4473" s="1" t="str">
        <f>IFERROR(__xludf.DUMMYFUNCTION("GOOGLETRANSLATE(A4473,""en"",""pt-br"")"),"pânico")</f>
        <v>pânico</v>
      </c>
      <c r="D4473" s="1" t="str">
        <f>IFERROR(__xludf.DUMMYFUNCTION("GOOGLETRANSLATE(B4473,""en"",""pt-br"")"),"negativo")</f>
        <v>negativo</v>
      </c>
    </row>
    <row r="4474" ht="15.75" customHeight="1">
      <c r="A4474" s="2" t="s">
        <v>4472</v>
      </c>
      <c r="B4474" s="2" t="s">
        <v>3</v>
      </c>
      <c r="C4474" s="1" t="str">
        <f>IFERROR(__xludf.DUMMYFUNCTION("GOOGLETRANSLATE(A4474,""en"",""pt-br"")"),"apavorado")</f>
        <v>apavorado</v>
      </c>
      <c r="D4474" s="1" t="str">
        <f>IFERROR(__xludf.DUMMYFUNCTION("GOOGLETRANSLATE(B4474,""en"",""pt-br"")"),"negativo")</f>
        <v>negativo</v>
      </c>
    </row>
    <row r="4475" ht="15.75" customHeight="1">
      <c r="A4475" s="2" t="s">
        <v>4473</v>
      </c>
      <c r="B4475" s="2" t="s">
        <v>14</v>
      </c>
      <c r="C4475" s="1" t="str">
        <f>IFERROR(__xludf.DUMMYFUNCTION("GOOGLETRANSLATE(A4475,""en"",""pt-br"")"),"panorâmico")</f>
        <v>panorâmico</v>
      </c>
      <c r="D4475" s="1" t="str">
        <f>IFERROR(__xludf.DUMMYFUNCTION("GOOGLETRANSLATE(B4475,""en"",""pt-br"")"),"positivo")</f>
        <v>positivo</v>
      </c>
    </row>
    <row r="4476" ht="15.75" customHeight="1">
      <c r="A4476" s="2" t="s">
        <v>4474</v>
      </c>
      <c r="B4476" s="2" t="s">
        <v>14</v>
      </c>
      <c r="C4476" s="1" t="str">
        <f>IFERROR(__xludf.DUMMYFUNCTION("GOOGLETRANSLATE(A4476,""en"",""pt-br"")"),"paraíso")</f>
        <v>paraíso</v>
      </c>
      <c r="D4476" s="1" t="str">
        <f>IFERROR(__xludf.DUMMYFUNCTION("GOOGLETRANSLATE(B4476,""en"",""pt-br"")"),"positivo")</f>
        <v>positivo</v>
      </c>
    </row>
    <row r="4477" ht="15.75" customHeight="1">
      <c r="A4477" s="2" t="s">
        <v>4475</v>
      </c>
      <c r="B4477" s="2" t="s">
        <v>3</v>
      </c>
      <c r="C4477" s="1" t="str">
        <f>IFERROR(__xludf.DUMMYFUNCTION("GOOGLETRANSLATE(A4477,""en"",""pt-br"")"),"paradoxal")</f>
        <v>paradoxal</v>
      </c>
      <c r="D4477" s="1" t="str">
        <f>IFERROR(__xludf.DUMMYFUNCTION("GOOGLETRANSLATE(B4477,""en"",""pt-br"")"),"negativo")</f>
        <v>negativo</v>
      </c>
    </row>
    <row r="4478" ht="15.75" customHeight="1">
      <c r="A4478" s="2" t="s">
        <v>4476</v>
      </c>
      <c r="B4478" s="2" t="s">
        <v>3</v>
      </c>
      <c r="C4478" s="1" t="str">
        <f>IFERROR(__xludf.DUMMYFUNCTION("GOOGLETRANSLATE(A4478,""en"",""pt-br"")"),"paradoxalmente")</f>
        <v>paradoxalmente</v>
      </c>
      <c r="D4478" s="1" t="str">
        <f>IFERROR(__xludf.DUMMYFUNCTION("GOOGLETRANSLATE(B4478,""en"",""pt-br"")"),"negativo")</f>
        <v>negativo</v>
      </c>
    </row>
    <row r="4479" ht="15.75" customHeight="1">
      <c r="A4479" s="2" t="s">
        <v>4477</v>
      </c>
      <c r="B4479" s="2" t="s">
        <v>3</v>
      </c>
      <c r="C4479" s="1" t="str">
        <f>IFERROR(__xludf.DUMMYFUNCTION("GOOGLETRANSLATE(A4479,""en"",""pt-br"")"),"paralisar")</f>
        <v>paralisar</v>
      </c>
      <c r="D4479" s="1" t="str">
        <f>IFERROR(__xludf.DUMMYFUNCTION("GOOGLETRANSLATE(B4479,""en"",""pt-br"")"),"negativo")</f>
        <v>negativo</v>
      </c>
    </row>
    <row r="4480" ht="15.75" customHeight="1">
      <c r="A4480" s="2" t="s">
        <v>4478</v>
      </c>
      <c r="B4480" s="2" t="s">
        <v>3</v>
      </c>
      <c r="C4480" s="1" t="str">
        <f>IFERROR(__xludf.DUMMYFUNCTION("GOOGLETRANSLATE(A4480,""en"",""pt-br"")"),"paralisado")</f>
        <v>paralisado</v>
      </c>
      <c r="D4480" s="1" t="str">
        <f>IFERROR(__xludf.DUMMYFUNCTION("GOOGLETRANSLATE(B4480,""en"",""pt-br"")"),"negativo")</f>
        <v>negativo</v>
      </c>
    </row>
    <row r="4481" ht="15.75" customHeight="1">
      <c r="A4481" s="2" t="s">
        <v>4479</v>
      </c>
      <c r="B4481" s="2" t="s">
        <v>14</v>
      </c>
      <c r="C4481" s="1" t="str">
        <f>IFERROR(__xludf.DUMMYFUNCTION("GOOGLETRANSLATE(A4481,""en"",""pt-br"")"),"supremo")</f>
        <v>supremo</v>
      </c>
      <c r="D4481" s="1" t="str">
        <f>IFERROR(__xludf.DUMMYFUNCTION("GOOGLETRANSLATE(B4481,""en"",""pt-br"")"),"positivo")</f>
        <v>positivo</v>
      </c>
    </row>
    <row r="4482" ht="15.75" customHeight="1">
      <c r="A4482" s="2" t="s">
        <v>4480</v>
      </c>
      <c r="B4482" s="2" t="s">
        <v>3</v>
      </c>
      <c r="C4482" s="1" t="str">
        <f>IFERROR(__xludf.DUMMYFUNCTION("GOOGLETRANSLATE(A4482,""en"",""pt-br"")"),"paranóia")</f>
        <v>paranóia</v>
      </c>
      <c r="D4482" s="1" t="str">
        <f>IFERROR(__xludf.DUMMYFUNCTION("GOOGLETRANSLATE(B4482,""en"",""pt-br"")"),"negativo")</f>
        <v>negativo</v>
      </c>
    </row>
    <row r="4483" ht="15.75" customHeight="1">
      <c r="A4483" s="2" t="s">
        <v>4481</v>
      </c>
      <c r="B4483" s="2" t="s">
        <v>3</v>
      </c>
      <c r="C4483" s="1" t="str">
        <f>IFERROR(__xludf.DUMMYFUNCTION("GOOGLETRANSLATE(A4483,""en"",""pt-br"")"),"paranóia")</f>
        <v>paranóia</v>
      </c>
      <c r="D4483" s="1" t="str">
        <f>IFERROR(__xludf.DUMMYFUNCTION("GOOGLETRANSLATE(B4483,""en"",""pt-br"")"),"negativo")</f>
        <v>negativo</v>
      </c>
    </row>
    <row r="4484" ht="15.75" customHeight="1">
      <c r="A4484" s="2" t="s">
        <v>4482</v>
      </c>
      <c r="B4484" s="2" t="s">
        <v>3</v>
      </c>
      <c r="C4484" s="1" t="str">
        <f>IFERROR(__xludf.DUMMYFUNCTION("GOOGLETRANSLATE(A4484,""en"",""pt-br"")"),"parasita")</f>
        <v>parasita</v>
      </c>
      <c r="D4484" s="1" t="str">
        <f>IFERROR(__xludf.DUMMYFUNCTION("GOOGLETRANSLATE(B4484,""en"",""pt-br"")"),"negativo")</f>
        <v>negativo</v>
      </c>
    </row>
    <row r="4485" ht="15.75" customHeight="1">
      <c r="A4485" s="2" t="s">
        <v>4483</v>
      </c>
      <c r="B4485" s="2" t="s">
        <v>14</v>
      </c>
      <c r="C4485" s="1" t="str">
        <f>IFERROR(__xludf.DUMMYFUNCTION("GOOGLETRANSLATE(A4485,""en"",""pt-br"")"),"perdão")</f>
        <v>perdão</v>
      </c>
      <c r="D4485" s="1" t="str">
        <f>IFERROR(__xludf.DUMMYFUNCTION("GOOGLETRANSLATE(B4485,""en"",""pt-br"")"),"positivo")</f>
        <v>positivo</v>
      </c>
    </row>
    <row r="4486" ht="15.75" customHeight="1">
      <c r="A4486" s="2" t="s">
        <v>4484</v>
      </c>
      <c r="B4486" s="2" t="s">
        <v>3</v>
      </c>
      <c r="C4486" s="1" t="str">
        <f>IFERROR(__xludf.DUMMYFUNCTION("GOOGLETRANSLATE(A4486,""en"",""pt-br"")"),"pária")</f>
        <v>pária</v>
      </c>
      <c r="D4486" s="1" t="str">
        <f>IFERROR(__xludf.DUMMYFUNCTION("GOOGLETRANSLATE(B4486,""en"",""pt-br"")"),"negativo")</f>
        <v>negativo</v>
      </c>
    </row>
    <row r="4487" ht="15.75" customHeight="1">
      <c r="A4487" s="2" t="s">
        <v>4485</v>
      </c>
      <c r="B4487" s="2" t="s">
        <v>3</v>
      </c>
      <c r="C4487" s="1" t="str">
        <f>IFERROR(__xludf.DUMMYFUNCTION("GOOGLETRANSLATE(A4487,""en"",""pt-br"")"),"paródia")</f>
        <v>paródia</v>
      </c>
      <c r="D4487" s="1" t="str">
        <f>IFERROR(__xludf.DUMMYFUNCTION("GOOGLETRANSLATE(B4487,""en"",""pt-br"")"),"negativo")</f>
        <v>negativo</v>
      </c>
    </row>
    <row r="4488" ht="15.75" customHeight="1">
      <c r="A4488" s="2" t="s">
        <v>4486</v>
      </c>
      <c r="B4488" s="2" t="s">
        <v>3</v>
      </c>
      <c r="C4488" s="1" t="str">
        <f>IFERROR(__xludf.DUMMYFUNCTION("GOOGLETRANSLATE(A4488,""en"",""pt-br"")"),"parcialidade")</f>
        <v>parcialidade</v>
      </c>
      <c r="D4488" s="1" t="str">
        <f>IFERROR(__xludf.DUMMYFUNCTION("GOOGLETRANSLATE(B4488,""en"",""pt-br"")"),"negativo")</f>
        <v>negativo</v>
      </c>
    </row>
    <row r="4489" ht="15.75" customHeight="1">
      <c r="A4489" s="2" t="s">
        <v>4487</v>
      </c>
      <c r="B4489" s="2" t="s">
        <v>3</v>
      </c>
      <c r="C4489" s="1" t="str">
        <f>IFERROR(__xludf.DUMMYFUNCTION("GOOGLETRANSLATE(A4489,""en"",""pt-br"")"),"partidário")</f>
        <v>partidário</v>
      </c>
      <c r="D4489" s="1" t="str">
        <f>IFERROR(__xludf.DUMMYFUNCTION("GOOGLETRANSLATE(B4489,""en"",""pt-br"")"),"negativo")</f>
        <v>negativo</v>
      </c>
    </row>
    <row r="4490" ht="15.75" customHeight="1">
      <c r="A4490" s="2" t="s">
        <v>4488</v>
      </c>
      <c r="B4490" s="2" t="s">
        <v>3</v>
      </c>
      <c r="C4490" s="1" t="str">
        <f>IFERROR(__xludf.DUMMYFUNCTION("GOOGLETRANSLATE(A4490,""en"",""pt-br"")"),"partisans")</f>
        <v>partisans</v>
      </c>
      <c r="D4490" s="1" t="str">
        <f>IFERROR(__xludf.DUMMYFUNCTION("GOOGLETRANSLATE(B4490,""en"",""pt-br"")"),"negativo")</f>
        <v>negativo</v>
      </c>
    </row>
    <row r="4491" ht="15.75" customHeight="1">
      <c r="A4491" s="2" t="s">
        <v>4489</v>
      </c>
      <c r="B4491" s="2" t="s">
        <v>3</v>
      </c>
      <c r="C4491" s="1" t="str">
        <f>IFERROR(__xludf.DUMMYFUNCTION("GOOGLETRANSLATE(A4491,""en"",""pt-br"")"),"fora de moda")</f>
        <v>fora de moda</v>
      </c>
      <c r="D4491" s="1" t="str">
        <f>IFERROR(__xludf.DUMMYFUNCTION("GOOGLETRANSLATE(B4491,""en"",""pt-br"")"),"negativo")</f>
        <v>negativo</v>
      </c>
    </row>
    <row r="4492" ht="15.75" customHeight="1">
      <c r="A4492" s="2" t="s">
        <v>4490</v>
      </c>
      <c r="B4492" s="2" t="s">
        <v>14</v>
      </c>
      <c r="C4492" s="1" t="str">
        <f>IFERROR(__xludf.DUMMYFUNCTION("GOOGLETRANSLATE(A4492,""en"",""pt-br"")"),"paixão")</f>
        <v>paixão</v>
      </c>
      <c r="D4492" s="1" t="str">
        <f>IFERROR(__xludf.DUMMYFUNCTION("GOOGLETRANSLATE(B4492,""en"",""pt-br"")"),"positivo")</f>
        <v>positivo</v>
      </c>
    </row>
    <row r="4493" ht="15.75" customHeight="1">
      <c r="A4493" s="2" t="s">
        <v>4491</v>
      </c>
      <c r="B4493" s="2" t="s">
        <v>14</v>
      </c>
      <c r="C4493" s="1" t="str">
        <f>IFERROR(__xludf.DUMMYFUNCTION("GOOGLETRANSLATE(A4493,""en"",""pt-br"")"),"apaixonado")</f>
        <v>apaixonado</v>
      </c>
      <c r="D4493" s="1" t="str">
        <f>IFERROR(__xludf.DUMMYFUNCTION("GOOGLETRANSLATE(B4493,""en"",""pt-br"")"),"positivo")</f>
        <v>positivo</v>
      </c>
    </row>
    <row r="4494" ht="15.75" customHeight="1">
      <c r="A4494" s="2" t="s">
        <v>4492</v>
      </c>
      <c r="B4494" s="2" t="s">
        <v>14</v>
      </c>
      <c r="C4494" s="1" t="str">
        <f>IFERROR(__xludf.DUMMYFUNCTION("GOOGLETRANSLATE(A4494,""en"",""pt-br"")"),"apaixonadamente")</f>
        <v>apaixonadamente</v>
      </c>
      <c r="D4494" s="1" t="str">
        <f>IFERROR(__xludf.DUMMYFUNCTION("GOOGLETRANSLATE(B4494,""en"",""pt-br"")"),"positivo")</f>
        <v>positivo</v>
      </c>
    </row>
    <row r="4495" ht="15.75" customHeight="1">
      <c r="A4495" s="2" t="s">
        <v>4493</v>
      </c>
      <c r="B4495" s="2" t="s">
        <v>3</v>
      </c>
      <c r="C4495" s="1" t="str">
        <f>IFERROR(__xludf.DUMMYFUNCTION("GOOGLETRANSLATE(A4495,""en"",""pt-br"")"),"passiva")</f>
        <v>passiva</v>
      </c>
      <c r="D4495" s="1" t="str">
        <f>IFERROR(__xludf.DUMMYFUNCTION("GOOGLETRANSLATE(B4495,""en"",""pt-br"")"),"negativo")</f>
        <v>negativo</v>
      </c>
    </row>
    <row r="4496" ht="15.75" customHeight="1">
      <c r="A4496" s="2" t="s">
        <v>4494</v>
      </c>
      <c r="B4496" s="2" t="s">
        <v>3</v>
      </c>
      <c r="C4496" s="1" t="str">
        <f>IFERROR(__xludf.DUMMYFUNCTION("GOOGLETRANSLATE(A4496,""en"",""pt-br"")"),"passividade")</f>
        <v>passividade</v>
      </c>
      <c r="D4496" s="1" t="str">
        <f>IFERROR(__xludf.DUMMYFUNCTION("GOOGLETRANSLATE(B4496,""en"",""pt-br"")"),"negativo")</f>
        <v>negativo</v>
      </c>
    </row>
    <row r="4497" ht="15.75" customHeight="1">
      <c r="A4497" s="2" t="s">
        <v>4495</v>
      </c>
      <c r="B4497" s="2" t="s">
        <v>3</v>
      </c>
      <c r="C4497" s="1" t="str">
        <f>IFERROR(__xludf.DUMMYFUNCTION("GOOGLETRANSLATE(A4497,""en"",""pt-br"")"),"patético")</f>
        <v>patético</v>
      </c>
      <c r="D4497" s="1" t="str">
        <f>IFERROR(__xludf.DUMMYFUNCTION("GOOGLETRANSLATE(B4497,""en"",""pt-br"")"),"negativo")</f>
        <v>negativo</v>
      </c>
    </row>
    <row r="4498" ht="15.75" customHeight="1">
      <c r="A4498" s="2" t="s">
        <v>4496</v>
      </c>
      <c r="B4498" s="2" t="s">
        <v>3</v>
      </c>
      <c r="C4498" s="1" t="str">
        <f>IFERROR(__xludf.DUMMYFUNCTION("GOOGLETRANSLATE(A4498,""en"",""pt-br"")"),"pateticamente")</f>
        <v>pateticamente</v>
      </c>
      <c r="D4498" s="1" t="str">
        <f>IFERROR(__xludf.DUMMYFUNCTION("GOOGLETRANSLATE(B4498,""en"",""pt-br"")"),"negativo")</f>
        <v>negativo</v>
      </c>
    </row>
    <row r="4499" ht="15.75" customHeight="1">
      <c r="A4499" s="2" t="s">
        <v>4497</v>
      </c>
      <c r="B4499" s="2" t="s">
        <v>14</v>
      </c>
      <c r="C4499" s="1" t="str">
        <f>IFERROR(__xludf.DUMMYFUNCTION("GOOGLETRANSLATE(A4499,""en"",""pt-br"")"),"paciência")</f>
        <v>paciência</v>
      </c>
      <c r="D4499" s="1" t="str">
        <f>IFERROR(__xludf.DUMMYFUNCTION("GOOGLETRANSLATE(B4499,""en"",""pt-br"")"),"positivo")</f>
        <v>positivo</v>
      </c>
    </row>
    <row r="4500" ht="15.75" customHeight="1">
      <c r="A4500" s="2" t="s">
        <v>4498</v>
      </c>
      <c r="B4500" s="2" t="s">
        <v>14</v>
      </c>
      <c r="C4500" s="1" t="str">
        <f>IFERROR(__xludf.DUMMYFUNCTION("GOOGLETRANSLATE(A4500,""en"",""pt-br"")"),"paciente")</f>
        <v>paciente</v>
      </c>
      <c r="D4500" s="1" t="str">
        <f>IFERROR(__xludf.DUMMYFUNCTION("GOOGLETRANSLATE(B4500,""en"",""pt-br"")"),"positivo")</f>
        <v>positivo</v>
      </c>
    </row>
    <row r="4501" ht="15.75" customHeight="1">
      <c r="A4501" s="2" t="s">
        <v>4499</v>
      </c>
      <c r="B4501" s="2" t="s">
        <v>14</v>
      </c>
      <c r="C4501" s="1" t="str">
        <f>IFERROR(__xludf.DUMMYFUNCTION("GOOGLETRANSLATE(A4501,""en"",""pt-br"")"),"pacientemente")</f>
        <v>pacientemente</v>
      </c>
      <c r="D4501" s="1" t="str">
        <f>IFERROR(__xludf.DUMMYFUNCTION("GOOGLETRANSLATE(B4501,""en"",""pt-br"")"),"positivo")</f>
        <v>positivo</v>
      </c>
    </row>
    <row r="4502" ht="15.75" customHeight="1">
      <c r="A4502" s="2" t="s">
        <v>4500</v>
      </c>
      <c r="B4502" s="2" t="s">
        <v>14</v>
      </c>
      <c r="C4502" s="1" t="str">
        <f>IFERROR(__xludf.DUMMYFUNCTION("GOOGLETRANSLATE(A4502,""en"",""pt-br"")"),"patriota")</f>
        <v>patriota</v>
      </c>
      <c r="D4502" s="1" t="str">
        <f>IFERROR(__xludf.DUMMYFUNCTION("GOOGLETRANSLATE(B4502,""en"",""pt-br"")"),"positivo")</f>
        <v>positivo</v>
      </c>
    </row>
    <row r="4503" ht="15.75" customHeight="1">
      <c r="A4503" s="2" t="s">
        <v>4501</v>
      </c>
      <c r="B4503" s="2" t="s">
        <v>14</v>
      </c>
      <c r="C4503" s="1" t="str">
        <f>IFERROR(__xludf.DUMMYFUNCTION("GOOGLETRANSLATE(A4503,""en"",""pt-br"")"),"patriótico")</f>
        <v>patriótico</v>
      </c>
      <c r="D4503" s="1" t="str">
        <f>IFERROR(__xludf.DUMMYFUNCTION("GOOGLETRANSLATE(B4503,""en"",""pt-br"")"),"positivo")</f>
        <v>positivo</v>
      </c>
    </row>
    <row r="4504" ht="15.75" customHeight="1">
      <c r="A4504" s="2" t="s">
        <v>4502</v>
      </c>
      <c r="B4504" s="2" t="s">
        <v>3</v>
      </c>
      <c r="C4504" s="1" t="str">
        <f>IFERROR(__xludf.DUMMYFUNCTION("GOOGLETRANSLATE(A4504,""en"",""pt-br"")"),"patrocinar")</f>
        <v>patrocinar</v>
      </c>
      <c r="D4504" s="1" t="str">
        <f>IFERROR(__xludf.DUMMYFUNCTION("GOOGLETRANSLATE(B4504,""en"",""pt-br"")"),"negativo")</f>
        <v>negativo</v>
      </c>
    </row>
    <row r="4505" ht="15.75" customHeight="1">
      <c r="A4505" s="2" t="s">
        <v>4503</v>
      </c>
      <c r="B4505" s="2" t="s">
        <v>3</v>
      </c>
      <c r="C4505" s="1" t="str">
        <f>IFERROR(__xludf.DUMMYFUNCTION("GOOGLETRANSLATE(A4505,""en"",""pt-br"")"),"escassez")</f>
        <v>escassez</v>
      </c>
      <c r="D4505" s="1" t="str">
        <f>IFERROR(__xludf.DUMMYFUNCTION("GOOGLETRANSLATE(B4505,""en"",""pt-br"")"),"negativo")</f>
        <v>negativo</v>
      </c>
    </row>
    <row r="4506" ht="15.75" customHeight="1">
      <c r="A4506" s="2" t="s">
        <v>4504</v>
      </c>
      <c r="B4506" s="2" t="s">
        <v>3</v>
      </c>
      <c r="C4506" s="1" t="str">
        <f>IFERROR(__xludf.DUMMYFUNCTION("GOOGLETRANSLATE(A4506,""en"",""pt-br"")"),"pobre")</f>
        <v>pobre</v>
      </c>
      <c r="D4506" s="1" t="str">
        <f>IFERROR(__xludf.DUMMYFUNCTION("GOOGLETRANSLATE(B4506,""en"",""pt-br"")"),"negativo")</f>
        <v>negativo</v>
      </c>
    </row>
    <row r="4507" ht="15.75" customHeight="1">
      <c r="A4507" s="2" t="s">
        <v>4505</v>
      </c>
      <c r="B4507" s="2" t="s">
        <v>3</v>
      </c>
      <c r="C4507" s="1" t="str">
        <f>IFERROR(__xludf.DUMMYFUNCTION("GOOGLETRANSLATE(A4507,""en"",""pt-br"")"),"paupers")</f>
        <v>paupers</v>
      </c>
      <c r="D4507" s="1" t="str">
        <f>IFERROR(__xludf.DUMMYFUNCTION("GOOGLETRANSLATE(B4507,""en"",""pt-br"")"),"negativo")</f>
        <v>negativo</v>
      </c>
    </row>
    <row r="4508" ht="15.75" customHeight="1">
      <c r="A4508" s="2" t="s">
        <v>4506</v>
      </c>
      <c r="B4508" s="2" t="s">
        <v>3</v>
      </c>
      <c r="C4508" s="1" t="str">
        <f>IFERROR(__xludf.DUMMYFUNCTION("GOOGLETRANSLATE(A4508,""en"",""pt-br"")"),"retorno")</f>
        <v>retorno</v>
      </c>
      <c r="D4508" s="1" t="str">
        <f>IFERROR(__xludf.DUMMYFUNCTION("GOOGLETRANSLATE(B4508,""en"",""pt-br"")"),"negativo")</f>
        <v>negativo</v>
      </c>
    </row>
    <row r="4509" ht="15.75" customHeight="1">
      <c r="A4509" s="2" t="s">
        <v>4507</v>
      </c>
      <c r="B4509" s="2" t="s">
        <v>14</v>
      </c>
      <c r="C4509" s="1" t="str">
        <f>IFERROR(__xludf.DUMMYFUNCTION("GOOGLETRANSLATE(A4509,""en"",""pt-br"")"),"Paz")</f>
        <v>Paz</v>
      </c>
      <c r="D4509" s="1" t="str">
        <f>IFERROR(__xludf.DUMMYFUNCTION("GOOGLETRANSLATE(B4509,""en"",""pt-br"")"),"positivo")</f>
        <v>positivo</v>
      </c>
    </row>
    <row r="4510" ht="15.75" customHeight="1">
      <c r="A4510" s="2" t="s">
        <v>4508</v>
      </c>
      <c r="B4510" s="2" t="s">
        <v>14</v>
      </c>
      <c r="C4510" s="1" t="str">
        <f>IFERROR(__xludf.DUMMYFUNCTION("GOOGLETRANSLATE(A4510,""en"",""pt-br"")"),"pacífico")</f>
        <v>pacífico</v>
      </c>
      <c r="D4510" s="1" t="str">
        <f>IFERROR(__xludf.DUMMYFUNCTION("GOOGLETRANSLATE(B4510,""en"",""pt-br"")"),"positivo")</f>
        <v>positivo</v>
      </c>
    </row>
    <row r="4511" ht="15.75" customHeight="1">
      <c r="A4511" s="2" t="s">
        <v>4509</v>
      </c>
      <c r="B4511" s="2" t="s">
        <v>14</v>
      </c>
      <c r="C4511" s="1" t="str">
        <f>IFERROR(__xludf.DUMMYFUNCTION("GOOGLETRANSLATE(A4511,""en"",""pt-br"")"),"pacífico")</f>
        <v>pacífico</v>
      </c>
      <c r="D4511" s="1" t="str">
        <f>IFERROR(__xludf.DUMMYFUNCTION("GOOGLETRANSLATE(B4511,""en"",""pt-br"")"),"positivo")</f>
        <v>positivo</v>
      </c>
    </row>
    <row r="4512" ht="15.75" customHeight="1">
      <c r="A4512" s="2" t="s">
        <v>4510</v>
      </c>
      <c r="B4512" s="2" t="s">
        <v>14</v>
      </c>
      <c r="C4512" s="1" t="str">
        <f>IFERROR(__xludf.DUMMYFUNCTION("GOOGLETRANSLATE(A4512,""en"",""pt-br"")"),"pacificamente")</f>
        <v>pacificamente</v>
      </c>
      <c r="D4512" s="1" t="str">
        <f>IFERROR(__xludf.DUMMYFUNCTION("GOOGLETRANSLATE(B4512,""en"",""pt-br"")"),"positivo")</f>
        <v>positivo</v>
      </c>
    </row>
    <row r="4513" ht="15.75" customHeight="1">
      <c r="A4513" s="2" t="s">
        <v>4511</v>
      </c>
      <c r="B4513" s="2" t="s">
        <v>14</v>
      </c>
      <c r="C4513" s="1" t="str">
        <f>IFERROR(__xludf.DUMMYFUNCTION("GOOGLETRANSLATE(A4513,""en"",""pt-br"")"),"peacekeepers")</f>
        <v>peacekeepers</v>
      </c>
      <c r="D4513" s="1" t="str">
        <f>IFERROR(__xludf.DUMMYFUNCTION("GOOGLETRANSLATE(B4513,""en"",""pt-br"")"),"positivo")</f>
        <v>positivo</v>
      </c>
    </row>
    <row r="4514" ht="15.75" customHeight="1">
      <c r="A4514" s="2" t="s">
        <v>4512</v>
      </c>
      <c r="B4514" s="2" t="s">
        <v>14</v>
      </c>
      <c r="C4514" s="1" t="str">
        <f>IFERROR(__xludf.DUMMYFUNCTION("GOOGLETRANSLATE(A4514,""en"",""pt-br"")"),"pêssego")</f>
        <v>pêssego</v>
      </c>
      <c r="D4514" s="1" t="str">
        <f>IFERROR(__xludf.DUMMYFUNCTION("GOOGLETRANSLATE(B4514,""en"",""pt-br"")"),"positivo")</f>
        <v>positivo</v>
      </c>
    </row>
    <row r="4515" ht="15.75" customHeight="1">
      <c r="A4515" s="2" t="s">
        <v>4513</v>
      </c>
      <c r="B4515" s="2" t="s">
        <v>3</v>
      </c>
      <c r="C4515" s="1" t="str">
        <f>IFERROR(__xludf.DUMMYFUNCTION("GOOGLETRANSLATE(A4515,""en"",""pt-br"")"),"peculiar")</f>
        <v>peculiar</v>
      </c>
      <c r="D4515" s="1" t="str">
        <f>IFERROR(__xludf.DUMMYFUNCTION("GOOGLETRANSLATE(B4515,""en"",""pt-br"")"),"negativo")</f>
        <v>negativo</v>
      </c>
    </row>
    <row r="4516" ht="15.75" customHeight="1">
      <c r="A4516" s="2" t="s">
        <v>4514</v>
      </c>
      <c r="B4516" s="2" t="s">
        <v>3</v>
      </c>
      <c r="C4516" s="1" t="str">
        <f>IFERROR(__xludf.DUMMYFUNCTION("GOOGLETRANSLATE(A4516,""en"",""pt-br"")"),"singularmente")</f>
        <v>singularmente</v>
      </c>
      <c r="D4516" s="1" t="str">
        <f>IFERROR(__xludf.DUMMYFUNCTION("GOOGLETRANSLATE(B4516,""en"",""pt-br"")"),"negativo")</f>
        <v>negativo</v>
      </c>
    </row>
    <row r="4517" ht="15.75" customHeight="1">
      <c r="A4517" s="2" t="s">
        <v>4515</v>
      </c>
      <c r="B4517" s="2" t="s">
        <v>3</v>
      </c>
      <c r="C4517" s="1" t="str">
        <f>IFERROR(__xludf.DUMMYFUNCTION("GOOGLETRANSLATE(A4517,""en"",""pt-br"")"),"pedante")</f>
        <v>pedante</v>
      </c>
      <c r="D4517" s="1" t="str">
        <f>IFERROR(__xludf.DUMMYFUNCTION("GOOGLETRANSLATE(B4517,""en"",""pt-br"")"),"negativo")</f>
        <v>negativo</v>
      </c>
    </row>
    <row r="4518" ht="15.75" customHeight="1">
      <c r="A4518" s="2" t="s">
        <v>4516</v>
      </c>
      <c r="B4518" s="2" t="s">
        <v>3</v>
      </c>
      <c r="C4518" s="1" t="str">
        <f>IFERROR(__xludf.DUMMYFUNCTION("GOOGLETRANSLATE(A4518,""en"",""pt-br"")"),"descascado")</f>
        <v>descascado</v>
      </c>
      <c r="D4518" s="1" t="str">
        <f>IFERROR(__xludf.DUMMYFUNCTION("GOOGLETRANSLATE(B4518,""en"",""pt-br"")"),"negativo")</f>
        <v>negativo</v>
      </c>
    </row>
    <row r="4519" ht="15.75" customHeight="1">
      <c r="A4519" s="2" t="s">
        <v>4517</v>
      </c>
      <c r="B4519" s="2" t="s">
        <v>14</v>
      </c>
      <c r="C4519" s="1" t="str">
        <f>IFERROR(__xludf.DUMMYFUNCTION("GOOGLETRANSLATE(A4519,""en"",""pt-br"")"),"inigualável")</f>
        <v>inigualável</v>
      </c>
      <c r="D4519" s="1" t="str">
        <f>IFERROR(__xludf.DUMMYFUNCTION("GOOGLETRANSLATE(B4519,""en"",""pt-br"")"),"positivo")</f>
        <v>positivo</v>
      </c>
    </row>
    <row r="4520" ht="15.75" customHeight="1">
      <c r="A4520" s="2" t="s">
        <v>4518</v>
      </c>
      <c r="B4520" s="2" t="s">
        <v>3</v>
      </c>
      <c r="C4520" s="1" t="str">
        <f>IFERROR(__xludf.DUMMYFUNCTION("GOOGLETRANSLATE(A4520,""en"",""pt-br"")"),"gravame")</f>
        <v>gravame</v>
      </c>
      <c r="D4520" s="1" t="str">
        <f>IFERROR(__xludf.DUMMYFUNCTION("GOOGLETRANSLATE(B4520,""en"",""pt-br"")"),"negativo")</f>
        <v>negativo</v>
      </c>
    </row>
    <row r="4521" ht="15.75" customHeight="1">
      <c r="A4521" s="2" t="s">
        <v>4519</v>
      </c>
      <c r="B4521" s="2" t="s">
        <v>3</v>
      </c>
      <c r="C4521" s="1" t="str">
        <f>IFERROR(__xludf.DUMMYFUNCTION("GOOGLETRANSLATE(A4521,""en"",""pt-br"")"),"irritado")</f>
        <v>irritado</v>
      </c>
      <c r="D4521" s="1" t="str">
        <f>IFERROR(__xludf.DUMMYFUNCTION("GOOGLETRANSLATE(B4521,""en"",""pt-br"")"),"negativo")</f>
        <v>negativo</v>
      </c>
    </row>
    <row r="4522" ht="15.75" customHeight="1">
      <c r="A4522" s="2" t="s">
        <v>4520</v>
      </c>
      <c r="B4522" s="2" t="s">
        <v>3</v>
      </c>
      <c r="C4522" s="1" t="str">
        <f>IFERROR(__xludf.DUMMYFUNCTION("GOOGLETRANSLATE(A4522,""en"",""pt-br"")"),"impertinente")</f>
        <v>impertinente</v>
      </c>
      <c r="D4522" s="1" t="str">
        <f>IFERROR(__xludf.DUMMYFUNCTION("GOOGLETRANSLATE(B4522,""en"",""pt-br"")"),"negativo")</f>
        <v>negativo</v>
      </c>
    </row>
    <row r="4523" ht="15.75" customHeight="1">
      <c r="A4523" s="2" t="s">
        <v>4521</v>
      </c>
      <c r="B4523" s="2" t="s">
        <v>3</v>
      </c>
      <c r="C4523" s="1" t="str">
        <f>IFERROR(__xludf.DUMMYFUNCTION("GOOGLETRANSLATE(A4523,""en"",""pt-br"")"),"peevishly")</f>
        <v>peevishly</v>
      </c>
      <c r="D4523" s="1" t="str">
        <f>IFERROR(__xludf.DUMMYFUNCTION("GOOGLETRANSLATE(B4523,""en"",""pt-br"")"),"negativo")</f>
        <v>negativo</v>
      </c>
    </row>
    <row r="4524" ht="15.75" customHeight="1">
      <c r="A4524" s="2" t="s">
        <v>4522</v>
      </c>
      <c r="B4524" s="2" t="s">
        <v>3</v>
      </c>
      <c r="C4524" s="1" t="str">
        <f>IFERROR(__xludf.DUMMYFUNCTION("GOOGLETRANSLATE(A4524,""en"",""pt-br"")"),"penalizar")</f>
        <v>penalizar</v>
      </c>
      <c r="D4524" s="1" t="str">
        <f>IFERROR(__xludf.DUMMYFUNCTION("GOOGLETRANSLATE(B4524,""en"",""pt-br"")"),"negativo")</f>
        <v>negativo</v>
      </c>
    </row>
    <row r="4525" ht="15.75" customHeight="1">
      <c r="A4525" s="2" t="s">
        <v>4523</v>
      </c>
      <c r="B4525" s="2" t="s">
        <v>3</v>
      </c>
      <c r="C4525" s="1" t="str">
        <f>IFERROR(__xludf.DUMMYFUNCTION("GOOGLETRANSLATE(A4525,""en"",""pt-br"")"),"multa")</f>
        <v>multa</v>
      </c>
      <c r="D4525" s="1" t="str">
        <f>IFERROR(__xludf.DUMMYFUNCTION("GOOGLETRANSLATE(B4525,""en"",""pt-br"")"),"negativo")</f>
        <v>negativo</v>
      </c>
    </row>
    <row r="4526" ht="15.75" customHeight="1">
      <c r="A4526" s="2" t="s">
        <v>4524</v>
      </c>
      <c r="B4526" s="2" t="s">
        <v>14</v>
      </c>
      <c r="C4526" s="1" t="str">
        <f>IFERROR(__xludf.DUMMYFUNCTION("GOOGLETRANSLATE(A4526,""en"",""pt-br"")"),"animar")</f>
        <v>animar</v>
      </c>
      <c r="D4526" s="1" t="str">
        <f>IFERROR(__xludf.DUMMYFUNCTION("GOOGLETRANSLATE(B4526,""en"",""pt-br"")"),"positivo")</f>
        <v>positivo</v>
      </c>
    </row>
    <row r="4527" ht="15.75" customHeight="1">
      <c r="A4527" s="2" t="s">
        <v>4525</v>
      </c>
      <c r="B4527" s="2" t="s">
        <v>14</v>
      </c>
      <c r="C4527" s="1" t="str">
        <f>IFERROR(__xludf.DUMMYFUNCTION("GOOGLETRANSLATE(A4527,""en"",""pt-br"")"),"pepped")</f>
        <v>pepped</v>
      </c>
      <c r="D4527" s="1" t="str">
        <f>IFERROR(__xludf.DUMMYFUNCTION("GOOGLETRANSLATE(B4527,""en"",""pt-br"")"),"positivo")</f>
        <v>positivo</v>
      </c>
    </row>
    <row r="4528" ht="15.75" customHeight="1">
      <c r="A4528" s="2" t="s">
        <v>4526</v>
      </c>
      <c r="B4528" s="2" t="s">
        <v>14</v>
      </c>
      <c r="C4528" s="1" t="str">
        <f>IFERROR(__xludf.DUMMYFUNCTION("GOOGLETRANSLATE(A4528,""en"",""pt-br"")"),"Pepping")</f>
        <v>Pepping</v>
      </c>
      <c r="D4528" s="1" t="str">
        <f>IFERROR(__xludf.DUMMYFUNCTION("GOOGLETRANSLATE(B4528,""en"",""pt-br"")"),"positivo")</f>
        <v>positivo</v>
      </c>
    </row>
    <row r="4529" ht="15.75" customHeight="1">
      <c r="A4529" s="2" t="s">
        <v>4527</v>
      </c>
      <c r="B4529" s="2" t="s">
        <v>14</v>
      </c>
      <c r="C4529" s="1" t="str">
        <f>IFERROR(__xludf.DUMMYFUNCTION("GOOGLETRANSLATE(A4529,""en"",""pt-br"")"),"enérgico")</f>
        <v>enérgico</v>
      </c>
      <c r="D4529" s="1" t="str">
        <f>IFERROR(__xludf.DUMMYFUNCTION("GOOGLETRANSLATE(B4529,""en"",""pt-br"")"),"positivo")</f>
        <v>positivo</v>
      </c>
    </row>
    <row r="4530" ht="15.75" customHeight="1">
      <c r="A4530" s="2" t="s">
        <v>4528</v>
      </c>
      <c r="B4530" s="2" t="s">
        <v>14</v>
      </c>
      <c r="C4530" s="1" t="str">
        <f>IFERROR(__xludf.DUMMYFUNCTION("GOOGLETRANSLATE(A4530,""en"",""pt-br"")"),"peps")</f>
        <v>peps</v>
      </c>
      <c r="D4530" s="1" t="str">
        <f>IFERROR(__xludf.DUMMYFUNCTION("GOOGLETRANSLATE(B4530,""en"",""pt-br"")"),"positivo")</f>
        <v>positivo</v>
      </c>
    </row>
    <row r="4531" ht="15.75" customHeight="1">
      <c r="A4531" s="2" t="s">
        <v>4529</v>
      </c>
      <c r="B4531" s="2" t="s">
        <v>14</v>
      </c>
      <c r="C4531" s="1" t="str">
        <f>IFERROR(__xludf.DUMMYFUNCTION("GOOGLETRANSLATE(A4531,""en"",""pt-br"")"),"perfeito")</f>
        <v>perfeito</v>
      </c>
      <c r="D4531" s="1" t="str">
        <f>IFERROR(__xludf.DUMMYFUNCTION("GOOGLETRANSLATE(B4531,""en"",""pt-br"")"),"positivo")</f>
        <v>positivo</v>
      </c>
    </row>
    <row r="4532" ht="15.75" customHeight="1">
      <c r="A4532" s="2" t="s">
        <v>4530</v>
      </c>
      <c r="B4532" s="2" t="s">
        <v>14</v>
      </c>
      <c r="C4532" s="1" t="str">
        <f>IFERROR(__xludf.DUMMYFUNCTION("GOOGLETRANSLATE(A4532,""en"",""pt-br"")"),"perfeição")</f>
        <v>perfeição</v>
      </c>
      <c r="D4532" s="1" t="str">
        <f>IFERROR(__xludf.DUMMYFUNCTION("GOOGLETRANSLATE(B4532,""en"",""pt-br"")"),"positivo")</f>
        <v>positivo</v>
      </c>
    </row>
    <row r="4533" ht="15.75" customHeight="1">
      <c r="A4533" s="2" t="s">
        <v>4531</v>
      </c>
      <c r="B4533" s="2" t="s">
        <v>14</v>
      </c>
      <c r="C4533" s="1" t="str">
        <f>IFERROR(__xludf.DUMMYFUNCTION("GOOGLETRANSLATE(A4533,""en"",""pt-br"")"),"perfeitamente")</f>
        <v>perfeitamente</v>
      </c>
      <c r="D4533" s="1" t="str">
        <f>IFERROR(__xludf.DUMMYFUNCTION("GOOGLETRANSLATE(B4533,""en"",""pt-br"")"),"positivo")</f>
        <v>positivo</v>
      </c>
    </row>
    <row r="4534" ht="15.75" customHeight="1">
      <c r="A4534" s="2" t="s">
        <v>4532</v>
      </c>
      <c r="B4534" s="2" t="s">
        <v>3</v>
      </c>
      <c r="C4534" s="1" t="str">
        <f>IFERROR(__xludf.DUMMYFUNCTION("GOOGLETRANSLATE(A4534,""en"",""pt-br"")"),"pérfido")</f>
        <v>pérfido</v>
      </c>
      <c r="D4534" s="1" t="str">
        <f>IFERROR(__xludf.DUMMYFUNCTION("GOOGLETRANSLATE(B4534,""en"",""pt-br"")"),"negativo")</f>
        <v>negativo</v>
      </c>
    </row>
    <row r="4535" ht="15.75" customHeight="1">
      <c r="A4535" s="2" t="s">
        <v>4533</v>
      </c>
      <c r="B4535" s="2" t="s">
        <v>3</v>
      </c>
      <c r="C4535" s="1" t="str">
        <f>IFERROR(__xludf.DUMMYFUNCTION("GOOGLETRANSLATE(A4535,""en"",""pt-br"")"),"perfidity")</f>
        <v>perfidity</v>
      </c>
      <c r="D4535" s="1" t="str">
        <f>IFERROR(__xludf.DUMMYFUNCTION("GOOGLETRANSLATE(B4535,""en"",""pt-br"")"),"negativo")</f>
        <v>negativo</v>
      </c>
    </row>
    <row r="4536" ht="15.75" customHeight="1">
      <c r="A4536" s="2" t="s">
        <v>4534</v>
      </c>
      <c r="B4536" s="2" t="s">
        <v>3</v>
      </c>
      <c r="C4536" s="1" t="str">
        <f>IFERROR(__xludf.DUMMYFUNCTION("GOOGLETRANSLATE(A4536,""en"",""pt-br"")"),"superficial")</f>
        <v>superficial</v>
      </c>
      <c r="D4536" s="1" t="str">
        <f>IFERROR(__xludf.DUMMYFUNCTION("GOOGLETRANSLATE(B4536,""en"",""pt-br"")"),"negativo")</f>
        <v>negativo</v>
      </c>
    </row>
    <row r="4537" ht="15.75" customHeight="1">
      <c r="A4537" s="2" t="s">
        <v>4535</v>
      </c>
      <c r="B4537" s="2" t="s">
        <v>3</v>
      </c>
      <c r="C4537" s="1" t="str">
        <f>IFERROR(__xludf.DUMMYFUNCTION("GOOGLETRANSLATE(A4537,""en"",""pt-br"")"),"perigo")</f>
        <v>perigo</v>
      </c>
      <c r="D4537" s="1" t="str">
        <f>IFERROR(__xludf.DUMMYFUNCTION("GOOGLETRANSLATE(B4537,""en"",""pt-br"")"),"negativo")</f>
        <v>negativo</v>
      </c>
    </row>
    <row r="4538" ht="15.75" customHeight="1">
      <c r="A4538" s="2" t="s">
        <v>4536</v>
      </c>
      <c r="B4538" s="2" t="s">
        <v>3</v>
      </c>
      <c r="C4538" s="1" t="str">
        <f>IFERROR(__xludf.DUMMYFUNCTION("GOOGLETRANSLATE(A4538,""en"",""pt-br"")"),"perigoso")</f>
        <v>perigoso</v>
      </c>
      <c r="D4538" s="1" t="str">
        <f>IFERROR(__xludf.DUMMYFUNCTION("GOOGLETRANSLATE(B4538,""en"",""pt-br"")"),"negativo")</f>
        <v>negativo</v>
      </c>
    </row>
    <row r="4539" ht="15.75" customHeight="1">
      <c r="A4539" s="2" t="s">
        <v>4537</v>
      </c>
      <c r="B4539" s="2" t="s">
        <v>3</v>
      </c>
      <c r="C4539" s="1" t="str">
        <f>IFERROR(__xludf.DUMMYFUNCTION("GOOGLETRANSLATE(A4539,""en"",""pt-br"")"),"perigosamente")</f>
        <v>perigosamente</v>
      </c>
      <c r="D4539" s="1" t="str">
        <f>IFERROR(__xludf.DUMMYFUNCTION("GOOGLETRANSLATE(B4539,""en"",""pt-br"")"),"negativo")</f>
        <v>negativo</v>
      </c>
    </row>
    <row r="4540" ht="15.75" customHeight="1">
      <c r="A4540" s="2" t="s">
        <v>4538</v>
      </c>
      <c r="B4540" s="2" t="s">
        <v>3</v>
      </c>
      <c r="C4540" s="1" t="str">
        <f>IFERROR(__xludf.DUMMYFUNCTION("GOOGLETRANSLATE(A4540,""en"",""pt-br"")"),"perecer")</f>
        <v>perecer</v>
      </c>
      <c r="D4540" s="1" t="str">
        <f>IFERROR(__xludf.DUMMYFUNCTION("GOOGLETRANSLATE(B4540,""en"",""pt-br"")"),"negativo")</f>
        <v>negativo</v>
      </c>
    </row>
    <row r="4541" ht="15.75" customHeight="1">
      <c r="A4541" s="2" t="s">
        <v>4539</v>
      </c>
      <c r="B4541" s="2" t="s">
        <v>14</v>
      </c>
      <c r="C4541" s="1" t="str">
        <f>IFERROR(__xludf.DUMMYFUNCTION("GOOGLETRANSLATE(A4541,""en"",""pt-br"")"),"permitida")</f>
        <v>permitida</v>
      </c>
      <c r="D4541" s="1" t="str">
        <f>IFERROR(__xludf.DUMMYFUNCTION("GOOGLETRANSLATE(B4541,""en"",""pt-br"")"),"positivo")</f>
        <v>positivo</v>
      </c>
    </row>
    <row r="4542" ht="15.75" customHeight="1">
      <c r="A4542" s="2" t="s">
        <v>4540</v>
      </c>
      <c r="B4542" s="2" t="s">
        <v>3</v>
      </c>
      <c r="C4542" s="1" t="str">
        <f>IFERROR(__xludf.DUMMYFUNCTION("GOOGLETRANSLATE(A4542,""en"",""pt-br"")"),"pernicioso")</f>
        <v>pernicioso</v>
      </c>
      <c r="D4542" s="1" t="str">
        <f>IFERROR(__xludf.DUMMYFUNCTION("GOOGLETRANSLATE(B4542,""en"",""pt-br"")"),"negativo")</f>
        <v>negativo</v>
      </c>
    </row>
    <row r="4543" ht="15.75" customHeight="1">
      <c r="A4543" s="2" t="s">
        <v>4541</v>
      </c>
      <c r="B4543" s="2" t="s">
        <v>3</v>
      </c>
      <c r="C4543" s="1" t="str">
        <f>IFERROR(__xludf.DUMMYFUNCTION("GOOGLETRANSLATE(A4543,""en"",""pt-br"")"),"enlear")</f>
        <v>enlear</v>
      </c>
      <c r="D4543" s="1" t="str">
        <f>IFERROR(__xludf.DUMMYFUNCTION("GOOGLETRANSLATE(B4543,""en"",""pt-br"")"),"negativo")</f>
        <v>negativo</v>
      </c>
    </row>
    <row r="4544" ht="15.75" customHeight="1">
      <c r="A4544" s="2" t="s">
        <v>4542</v>
      </c>
      <c r="B4544" s="2" t="s">
        <v>3</v>
      </c>
      <c r="C4544" s="1" t="str">
        <f>IFERROR(__xludf.DUMMYFUNCTION("GOOGLETRANSLATE(A4544,""en"",""pt-br"")"),"perplexo")</f>
        <v>perplexo</v>
      </c>
      <c r="D4544" s="1" t="str">
        <f>IFERROR(__xludf.DUMMYFUNCTION("GOOGLETRANSLATE(B4544,""en"",""pt-br"")"),"negativo")</f>
        <v>negativo</v>
      </c>
    </row>
    <row r="4545" ht="15.75" customHeight="1">
      <c r="A4545" s="2" t="s">
        <v>4543</v>
      </c>
      <c r="B4545" s="2" t="s">
        <v>3</v>
      </c>
      <c r="C4545" s="1" t="str">
        <f>IFERROR(__xludf.DUMMYFUNCTION("GOOGLETRANSLATE(A4545,""en"",""pt-br"")"),"perplexo")</f>
        <v>perplexo</v>
      </c>
      <c r="D4545" s="1" t="str">
        <f>IFERROR(__xludf.DUMMYFUNCTION("GOOGLETRANSLATE(B4545,""en"",""pt-br"")"),"negativo")</f>
        <v>negativo</v>
      </c>
    </row>
    <row r="4546" ht="15.75" customHeight="1">
      <c r="A4546" s="2" t="s">
        <v>4544</v>
      </c>
      <c r="B4546" s="2" t="s">
        <v>3</v>
      </c>
      <c r="C4546" s="1" t="str">
        <f>IFERROR(__xludf.DUMMYFUNCTION("GOOGLETRANSLATE(A4546,""en"",""pt-br"")"),"perplexidade")</f>
        <v>perplexidade</v>
      </c>
      <c r="D4546" s="1" t="str">
        <f>IFERROR(__xludf.DUMMYFUNCTION("GOOGLETRANSLATE(B4546,""en"",""pt-br"")"),"negativo")</f>
        <v>negativo</v>
      </c>
    </row>
    <row r="4547" ht="15.75" customHeight="1">
      <c r="A4547" s="2" t="s">
        <v>4545</v>
      </c>
      <c r="B4547" s="2" t="s">
        <v>3</v>
      </c>
      <c r="C4547" s="1" t="str">
        <f>IFERROR(__xludf.DUMMYFUNCTION("GOOGLETRANSLATE(A4547,""en"",""pt-br"")"),"perseguir")</f>
        <v>perseguir</v>
      </c>
      <c r="D4547" s="1" t="str">
        <f>IFERROR(__xludf.DUMMYFUNCTION("GOOGLETRANSLATE(B4547,""en"",""pt-br"")"),"negativo")</f>
        <v>negativo</v>
      </c>
    </row>
    <row r="4548" ht="15.75" customHeight="1">
      <c r="A4548" s="2" t="s">
        <v>4546</v>
      </c>
      <c r="B4548" s="2" t="s">
        <v>3</v>
      </c>
      <c r="C4548" s="1" t="str">
        <f>IFERROR(__xludf.DUMMYFUNCTION("GOOGLETRANSLATE(A4548,""en"",""pt-br"")"),"perseguição")</f>
        <v>perseguição</v>
      </c>
      <c r="D4548" s="1" t="str">
        <f>IFERROR(__xludf.DUMMYFUNCTION("GOOGLETRANSLATE(B4548,""en"",""pt-br"")"),"negativo")</f>
        <v>negativo</v>
      </c>
    </row>
    <row r="4549" ht="15.75" customHeight="1">
      <c r="A4549" s="2" t="s">
        <v>4547</v>
      </c>
      <c r="B4549" s="2" t="s">
        <v>14</v>
      </c>
      <c r="C4549" s="1" t="str">
        <f>IFERROR(__xludf.DUMMYFUNCTION("GOOGLETRANSLATE(A4549,""en"",""pt-br"")"),"perseverança")</f>
        <v>perseverança</v>
      </c>
      <c r="D4549" s="1" t="str">
        <f>IFERROR(__xludf.DUMMYFUNCTION("GOOGLETRANSLATE(B4549,""en"",""pt-br"")"),"positivo")</f>
        <v>positivo</v>
      </c>
    </row>
    <row r="4550" ht="15.75" customHeight="1">
      <c r="A4550" s="2" t="s">
        <v>4548</v>
      </c>
      <c r="B4550" s="2" t="s">
        <v>14</v>
      </c>
      <c r="C4550" s="1" t="str">
        <f>IFERROR(__xludf.DUMMYFUNCTION("GOOGLETRANSLATE(A4550,""en"",""pt-br"")"),"perseverar")</f>
        <v>perseverar</v>
      </c>
      <c r="D4550" s="1" t="str">
        <f>IFERROR(__xludf.DUMMYFUNCTION("GOOGLETRANSLATE(B4550,""en"",""pt-br"")"),"positivo")</f>
        <v>positivo</v>
      </c>
    </row>
    <row r="4551" ht="15.75" customHeight="1">
      <c r="A4551" s="2" t="s">
        <v>4549</v>
      </c>
      <c r="B4551" s="2" t="s">
        <v>14</v>
      </c>
      <c r="C4551" s="1" t="str">
        <f>IFERROR(__xludf.DUMMYFUNCTION("GOOGLETRANSLATE(A4551,""en"",""pt-br"")"),"personagens")</f>
        <v>personagens</v>
      </c>
      <c r="D4551" s="1" t="str">
        <f>IFERROR(__xludf.DUMMYFUNCTION("GOOGLETRANSLATE(B4551,""en"",""pt-br"")"),"positivo")</f>
        <v>positivo</v>
      </c>
    </row>
    <row r="4552" ht="15.75" customHeight="1">
      <c r="A4552" s="2" t="s">
        <v>4550</v>
      </c>
      <c r="B4552" s="2" t="s">
        <v>14</v>
      </c>
      <c r="C4552" s="1" t="str">
        <f>IFERROR(__xludf.DUMMYFUNCTION("GOOGLETRANSLATE(A4552,""en"",""pt-br"")"),"personalizado")</f>
        <v>personalizado</v>
      </c>
      <c r="D4552" s="1" t="str">
        <f>IFERROR(__xludf.DUMMYFUNCTION("GOOGLETRANSLATE(B4552,""en"",""pt-br"")"),"positivo")</f>
        <v>positivo</v>
      </c>
    </row>
    <row r="4553" ht="15.75" customHeight="1">
      <c r="A4553" s="2" t="s">
        <v>4551</v>
      </c>
      <c r="B4553" s="2" t="s">
        <v>3</v>
      </c>
      <c r="C4553" s="1" t="str">
        <f>IFERROR(__xludf.DUMMYFUNCTION("GOOGLETRANSLATE(A4553,""en"",""pt-br"")"),"pertinaz")</f>
        <v>pertinaz</v>
      </c>
      <c r="D4553" s="1" t="str">
        <f>IFERROR(__xludf.DUMMYFUNCTION("GOOGLETRANSLATE(B4553,""en"",""pt-br"")"),"negativo")</f>
        <v>negativo</v>
      </c>
    </row>
    <row r="4554" ht="15.75" customHeight="1">
      <c r="A4554" s="2" t="s">
        <v>4552</v>
      </c>
      <c r="B4554" s="2" t="s">
        <v>3</v>
      </c>
      <c r="C4554" s="1" t="str">
        <f>IFERROR(__xludf.DUMMYFUNCTION("GOOGLETRANSLATE(A4554,""en"",""pt-br"")"),"pertinazmente")</f>
        <v>pertinazmente</v>
      </c>
      <c r="D4554" s="1" t="str">
        <f>IFERROR(__xludf.DUMMYFUNCTION("GOOGLETRANSLATE(B4554,""en"",""pt-br"")"),"negativo")</f>
        <v>negativo</v>
      </c>
    </row>
    <row r="4555" ht="15.75" customHeight="1">
      <c r="A4555" s="2" t="s">
        <v>4553</v>
      </c>
      <c r="B4555" s="2" t="s">
        <v>3</v>
      </c>
      <c r="C4555" s="1" t="str">
        <f>IFERROR(__xludf.DUMMYFUNCTION("GOOGLETRANSLATE(A4555,""en"",""pt-br"")"),"pertinácia")</f>
        <v>pertinácia</v>
      </c>
      <c r="D4555" s="1" t="str">
        <f>IFERROR(__xludf.DUMMYFUNCTION("GOOGLETRANSLATE(B4555,""en"",""pt-br"")"),"negativo")</f>
        <v>negativo</v>
      </c>
    </row>
    <row r="4556" ht="15.75" customHeight="1">
      <c r="A4556" s="2" t="s">
        <v>4554</v>
      </c>
      <c r="B4556" s="2" t="s">
        <v>3</v>
      </c>
      <c r="C4556" s="1" t="str">
        <f>IFERROR(__xludf.DUMMYFUNCTION("GOOGLETRANSLATE(A4556,""en"",""pt-br"")"),"perturbar")</f>
        <v>perturbar</v>
      </c>
      <c r="D4556" s="1" t="str">
        <f>IFERROR(__xludf.DUMMYFUNCTION("GOOGLETRANSLATE(B4556,""en"",""pt-br"")"),"negativo")</f>
        <v>negativo</v>
      </c>
    </row>
    <row r="4557" ht="15.75" customHeight="1">
      <c r="A4557" s="2" t="s">
        <v>4555</v>
      </c>
      <c r="B4557" s="2" t="s">
        <v>3</v>
      </c>
      <c r="C4557" s="1" t="str">
        <f>IFERROR(__xludf.DUMMYFUNCTION("GOOGLETRANSLATE(A4557,""en"",""pt-br"")"),"perturbado")</f>
        <v>perturbado</v>
      </c>
      <c r="D4557" s="1" t="str">
        <f>IFERROR(__xludf.DUMMYFUNCTION("GOOGLETRANSLATE(B4557,""en"",""pt-br"")"),"negativo")</f>
        <v>negativo</v>
      </c>
    </row>
    <row r="4558" ht="15.75" customHeight="1">
      <c r="A4558" s="2" t="s">
        <v>4556</v>
      </c>
      <c r="B4558" s="2" t="s">
        <v>3</v>
      </c>
      <c r="C4558" s="1" t="str">
        <f>IFERROR(__xludf.DUMMYFUNCTION("GOOGLETRANSLATE(A4558,""en"",""pt-br"")"),"penetrante")</f>
        <v>penetrante</v>
      </c>
      <c r="D4558" s="1" t="str">
        <f>IFERROR(__xludf.DUMMYFUNCTION("GOOGLETRANSLATE(B4558,""en"",""pt-br"")"),"negativo")</f>
        <v>negativo</v>
      </c>
    </row>
    <row r="4559" ht="15.75" customHeight="1">
      <c r="A4559" s="2" t="s">
        <v>4557</v>
      </c>
      <c r="B4559" s="2" t="s">
        <v>3</v>
      </c>
      <c r="C4559" s="1" t="str">
        <f>IFERROR(__xludf.DUMMYFUNCTION("GOOGLETRANSLATE(A4559,""en"",""pt-br"")"),"perverso")</f>
        <v>perverso</v>
      </c>
      <c r="D4559" s="1" t="str">
        <f>IFERROR(__xludf.DUMMYFUNCTION("GOOGLETRANSLATE(B4559,""en"",""pt-br"")"),"negativo")</f>
        <v>negativo</v>
      </c>
    </row>
    <row r="4560" ht="15.75" customHeight="1">
      <c r="A4560" s="2" t="s">
        <v>4558</v>
      </c>
      <c r="B4560" s="2" t="s">
        <v>3</v>
      </c>
      <c r="C4560" s="1" t="str">
        <f>IFERROR(__xludf.DUMMYFUNCTION("GOOGLETRANSLATE(A4560,""en"",""pt-br"")"),"Perversamente")</f>
        <v>Perversamente</v>
      </c>
      <c r="D4560" s="1" t="str">
        <f>IFERROR(__xludf.DUMMYFUNCTION("GOOGLETRANSLATE(B4560,""en"",""pt-br"")"),"negativo")</f>
        <v>negativo</v>
      </c>
    </row>
    <row r="4561" ht="15.75" customHeight="1">
      <c r="A4561" s="2" t="s">
        <v>4559</v>
      </c>
      <c r="B4561" s="2" t="s">
        <v>3</v>
      </c>
      <c r="C4561" s="1" t="str">
        <f>IFERROR(__xludf.DUMMYFUNCTION("GOOGLETRANSLATE(A4561,""en"",""pt-br"")"),"perversão")</f>
        <v>perversão</v>
      </c>
      <c r="D4561" s="1" t="str">
        <f>IFERROR(__xludf.DUMMYFUNCTION("GOOGLETRANSLATE(B4561,""en"",""pt-br"")"),"negativo")</f>
        <v>negativo</v>
      </c>
    </row>
    <row r="4562" ht="15.75" customHeight="1">
      <c r="A4562" s="2" t="s">
        <v>4560</v>
      </c>
      <c r="B4562" s="2" t="s">
        <v>3</v>
      </c>
      <c r="C4562" s="1" t="str">
        <f>IFERROR(__xludf.DUMMYFUNCTION("GOOGLETRANSLATE(A4562,""en"",""pt-br"")"),"perversidade")</f>
        <v>perversidade</v>
      </c>
      <c r="D4562" s="1" t="str">
        <f>IFERROR(__xludf.DUMMYFUNCTION("GOOGLETRANSLATE(B4562,""en"",""pt-br"")"),"negativo")</f>
        <v>negativo</v>
      </c>
    </row>
    <row r="4563" ht="15.75" customHeight="1">
      <c r="A4563" s="2" t="s">
        <v>4561</v>
      </c>
      <c r="B4563" s="2" t="s">
        <v>3</v>
      </c>
      <c r="C4563" s="1" t="str">
        <f>IFERROR(__xludf.DUMMYFUNCTION("GOOGLETRANSLATE(A4563,""en"",""pt-br"")"),"perverter")</f>
        <v>perverter</v>
      </c>
      <c r="D4563" s="1" t="str">
        <f>IFERROR(__xludf.DUMMYFUNCTION("GOOGLETRANSLATE(B4563,""en"",""pt-br"")"),"negativo")</f>
        <v>negativo</v>
      </c>
    </row>
    <row r="4564" ht="15.75" customHeight="1">
      <c r="A4564" s="2" t="s">
        <v>4562</v>
      </c>
      <c r="B4564" s="2" t="s">
        <v>3</v>
      </c>
      <c r="C4564" s="1" t="str">
        <f>IFERROR(__xludf.DUMMYFUNCTION("GOOGLETRANSLATE(A4564,""en"",""pt-br"")"),"pervertido")</f>
        <v>pervertido</v>
      </c>
      <c r="D4564" s="1" t="str">
        <f>IFERROR(__xludf.DUMMYFUNCTION("GOOGLETRANSLATE(B4564,""en"",""pt-br"")"),"negativo")</f>
        <v>negativo</v>
      </c>
    </row>
    <row r="4565" ht="15.75" customHeight="1">
      <c r="A4565" s="2" t="s">
        <v>4563</v>
      </c>
      <c r="B4565" s="2" t="s">
        <v>3</v>
      </c>
      <c r="C4565" s="1" t="str">
        <f>IFERROR(__xludf.DUMMYFUNCTION("GOOGLETRANSLATE(A4565,""en"",""pt-br"")"),"pervertidos")</f>
        <v>pervertidos</v>
      </c>
      <c r="D4565" s="1" t="str">
        <f>IFERROR(__xludf.DUMMYFUNCTION("GOOGLETRANSLATE(B4565,""en"",""pt-br"")"),"negativo")</f>
        <v>negativo</v>
      </c>
    </row>
    <row r="4566" ht="15.75" customHeight="1">
      <c r="A4566" s="2" t="s">
        <v>4564</v>
      </c>
      <c r="B4566" s="2" t="s">
        <v>3</v>
      </c>
      <c r="C4566" s="1" t="str">
        <f>IFERROR(__xludf.DUMMYFUNCTION("GOOGLETRANSLATE(A4566,""en"",""pt-br"")"),"pessimismo")</f>
        <v>pessimismo</v>
      </c>
      <c r="D4566" s="1" t="str">
        <f>IFERROR(__xludf.DUMMYFUNCTION("GOOGLETRANSLATE(B4566,""en"",""pt-br"")"),"negativo")</f>
        <v>negativo</v>
      </c>
    </row>
    <row r="4567" ht="15.75" customHeight="1">
      <c r="A4567" s="2" t="s">
        <v>4565</v>
      </c>
      <c r="B4567" s="2" t="s">
        <v>3</v>
      </c>
      <c r="C4567" s="1" t="str">
        <f>IFERROR(__xludf.DUMMYFUNCTION("GOOGLETRANSLATE(A4567,""en"",""pt-br"")"),"pessimista")</f>
        <v>pessimista</v>
      </c>
      <c r="D4567" s="1" t="str">
        <f>IFERROR(__xludf.DUMMYFUNCTION("GOOGLETRANSLATE(B4567,""en"",""pt-br"")"),"negativo")</f>
        <v>negativo</v>
      </c>
    </row>
    <row r="4568" ht="15.75" customHeight="1">
      <c r="A4568" s="2" t="s">
        <v>4566</v>
      </c>
      <c r="B4568" s="2" t="s">
        <v>3</v>
      </c>
      <c r="C4568" s="1" t="str">
        <f>IFERROR(__xludf.DUMMYFUNCTION("GOOGLETRANSLATE(A4568,""en"",""pt-br"")"),"pessimistically")</f>
        <v>pessimistically</v>
      </c>
      <c r="D4568" s="1" t="str">
        <f>IFERROR(__xludf.DUMMYFUNCTION("GOOGLETRANSLATE(B4568,""en"",""pt-br"")"),"negativo")</f>
        <v>negativo</v>
      </c>
    </row>
    <row r="4569" ht="15.75" customHeight="1">
      <c r="A4569" s="2" t="s">
        <v>4567</v>
      </c>
      <c r="B4569" s="2" t="s">
        <v>3</v>
      </c>
      <c r="C4569" s="1" t="str">
        <f>IFERROR(__xludf.DUMMYFUNCTION("GOOGLETRANSLATE(A4569,""en"",""pt-br"")"),"praga")</f>
        <v>praga</v>
      </c>
      <c r="D4569" s="1" t="str">
        <f>IFERROR(__xludf.DUMMYFUNCTION("GOOGLETRANSLATE(B4569,""en"",""pt-br"")"),"negativo")</f>
        <v>negativo</v>
      </c>
    </row>
    <row r="4570" ht="15.75" customHeight="1">
      <c r="A4570" s="2" t="s">
        <v>4568</v>
      </c>
      <c r="B4570" s="2" t="s">
        <v>3</v>
      </c>
      <c r="C4570" s="1" t="str">
        <f>IFERROR(__xludf.DUMMYFUNCTION("GOOGLETRANSLATE(A4570,""en"",""pt-br"")"),"pestilento")</f>
        <v>pestilento</v>
      </c>
      <c r="D4570" s="1" t="str">
        <f>IFERROR(__xludf.DUMMYFUNCTION("GOOGLETRANSLATE(B4570,""en"",""pt-br"")"),"negativo")</f>
        <v>negativo</v>
      </c>
    </row>
    <row r="4571" ht="15.75" customHeight="1">
      <c r="A4571" s="2" t="s">
        <v>4569</v>
      </c>
      <c r="B4571" s="2" t="s">
        <v>3</v>
      </c>
      <c r="C4571" s="1" t="str">
        <f>IFERROR(__xludf.DUMMYFUNCTION("GOOGLETRANSLATE(A4571,""en"",""pt-br"")"),"petrificado")</f>
        <v>petrificado</v>
      </c>
      <c r="D4571" s="1" t="str">
        <f>IFERROR(__xludf.DUMMYFUNCTION("GOOGLETRANSLATE(B4571,""en"",""pt-br"")"),"negativo")</f>
        <v>negativo</v>
      </c>
    </row>
    <row r="4572" ht="15.75" customHeight="1">
      <c r="A4572" s="2" t="s">
        <v>4570</v>
      </c>
      <c r="B4572" s="2" t="s">
        <v>3</v>
      </c>
      <c r="C4572" s="1" t="str">
        <f>IFERROR(__xludf.DUMMYFUNCTION("GOOGLETRANSLATE(A4572,""en"",""pt-br"")"),"petrificar")</f>
        <v>petrificar</v>
      </c>
      <c r="D4572" s="1" t="str">
        <f>IFERROR(__xludf.DUMMYFUNCTION("GOOGLETRANSLATE(B4572,""en"",""pt-br"")"),"negativo")</f>
        <v>negativo</v>
      </c>
    </row>
    <row r="4573" ht="15.75" customHeight="1">
      <c r="A4573" s="2" t="s">
        <v>4571</v>
      </c>
      <c r="B4573" s="2" t="s">
        <v>3</v>
      </c>
      <c r="C4573" s="1" t="str">
        <f>IFERROR(__xludf.DUMMYFUNCTION("GOOGLETRANSLATE(A4573,""en"",""pt-br"")"),"chicanar")</f>
        <v>chicanar</v>
      </c>
      <c r="D4573" s="1" t="str">
        <f>IFERROR(__xludf.DUMMYFUNCTION("GOOGLETRANSLATE(B4573,""en"",""pt-br"")"),"negativo")</f>
        <v>negativo</v>
      </c>
    </row>
    <row r="4574" ht="15.75" customHeight="1">
      <c r="A4574" s="2" t="s">
        <v>4572</v>
      </c>
      <c r="B4574" s="2" t="s">
        <v>3</v>
      </c>
      <c r="C4574" s="1" t="str">
        <f>IFERROR(__xludf.DUMMYFUNCTION("GOOGLETRANSLATE(A4574,""en"",""pt-br"")"),"mesquinho")</f>
        <v>mesquinho</v>
      </c>
      <c r="D4574" s="1" t="str">
        <f>IFERROR(__xludf.DUMMYFUNCTION("GOOGLETRANSLATE(B4574,""en"",""pt-br"")"),"negativo")</f>
        <v>negativo</v>
      </c>
    </row>
    <row r="4575" ht="15.75" customHeight="1">
      <c r="A4575" s="2" t="s">
        <v>4573</v>
      </c>
      <c r="B4575" s="2" t="s">
        <v>14</v>
      </c>
      <c r="C4575" s="1" t="str">
        <f>IFERROR(__xludf.DUMMYFUNCTION("GOOGLETRANSLATE(A4575,""en"",""pt-br"")"),"fenomenal")</f>
        <v>fenomenal</v>
      </c>
      <c r="D4575" s="1" t="str">
        <f>IFERROR(__xludf.DUMMYFUNCTION("GOOGLETRANSLATE(B4575,""en"",""pt-br"")"),"positivo")</f>
        <v>positivo</v>
      </c>
    </row>
    <row r="4576" ht="15.75" customHeight="1">
      <c r="A4576" s="2" t="s">
        <v>4574</v>
      </c>
      <c r="B4576" s="2" t="s">
        <v>14</v>
      </c>
      <c r="C4576" s="1" t="str">
        <f>IFERROR(__xludf.DUMMYFUNCTION("GOOGLETRANSLATE(A4576,""en"",""pt-br"")"),"fenomenalmente")</f>
        <v>fenomenalmente</v>
      </c>
      <c r="D4576" s="1" t="str">
        <f>IFERROR(__xludf.DUMMYFUNCTION("GOOGLETRANSLATE(B4576,""en"",""pt-br"")"),"positivo")</f>
        <v>positivo</v>
      </c>
    </row>
    <row r="4577" ht="15.75" customHeight="1">
      <c r="A4577" s="2" t="s">
        <v>4575</v>
      </c>
      <c r="B4577" s="2" t="s">
        <v>3</v>
      </c>
      <c r="C4577" s="1" t="str">
        <f>IFERROR(__xludf.DUMMYFUNCTION("GOOGLETRANSLATE(A4577,""en"",""pt-br"")"),"fobia")</f>
        <v>fobia</v>
      </c>
      <c r="D4577" s="1" t="str">
        <f>IFERROR(__xludf.DUMMYFUNCTION("GOOGLETRANSLATE(B4577,""en"",""pt-br"")"),"negativo")</f>
        <v>negativo</v>
      </c>
    </row>
    <row r="4578" ht="15.75" customHeight="1">
      <c r="A4578" s="2" t="s">
        <v>4576</v>
      </c>
      <c r="B4578" s="2" t="s">
        <v>3</v>
      </c>
      <c r="C4578" s="1" t="str">
        <f>IFERROR(__xludf.DUMMYFUNCTION("GOOGLETRANSLATE(A4578,""en"",""pt-br"")"),"fóbica")</f>
        <v>fóbica</v>
      </c>
      <c r="D4578" s="1" t="str">
        <f>IFERROR(__xludf.DUMMYFUNCTION("GOOGLETRANSLATE(B4578,""en"",""pt-br"")"),"negativo")</f>
        <v>negativo</v>
      </c>
    </row>
    <row r="4579" ht="15.75" customHeight="1">
      <c r="A4579" s="2" t="s">
        <v>4577</v>
      </c>
      <c r="B4579" s="2" t="s">
        <v>3</v>
      </c>
      <c r="C4579" s="1" t="str">
        <f>IFERROR(__xludf.DUMMYFUNCTION("GOOGLETRANSLATE(A4579,""en"",""pt-br"")"),"falso")</f>
        <v>falso</v>
      </c>
      <c r="D4579" s="1" t="str">
        <f>IFERROR(__xludf.DUMMYFUNCTION("GOOGLETRANSLATE(B4579,""en"",""pt-br"")"),"negativo")</f>
        <v>negativo</v>
      </c>
    </row>
    <row r="4580" ht="15.75" customHeight="1">
      <c r="A4580" s="2" t="s">
        <v>4578</v>
      </c>
      <c r="B4580" s="2" t="s">
        <v>3</v>
      </c>
      <c r="C4580" s="1" t="str">
        <f>IFERROR(__xludf.DUMMYFUNCTION("GOOGLETRANSLATE(A4580,""en"",""pt-br"")"),"piquete")</f>
        <v>piquete</v>
      </c>
      <c r="D4580" s="1" t="str">
        <f>IFERROR(__xludf.DUMMYFUNCTION("GOOGLETRANSLATE(B4580,""en"",""pt-br"")"),"negativo")</f>
        <v>negativo</v>
      </c>
    </row>
    <row r="4581" ht="15.75" customHeight="1">
      <c r="A4581" s="2" t="s">
        <v>4579</v>
      </c>
      <c r="B4581" s="2" t="s">
        <v>3</v>
      </c>
      <c r="C4581" s="1" t="str">
        <f>IFERROR(__xludf.DUMMYFUNCTION("GOOGLETRANSLATE(A4581,""en"",""pt-br"")"),"picketed")</f>
        <v>picketed</v>
      </c>
      <c r="D4581" s="1" t="str">
        <f>IFERROR(__xludf.DUMMYFUNCTION("GOOGLETRANSLATE(B4581,""en"",""pt-br"")"),"negativo")</f>
        <v>negativo</v>
      </c>
    </row>
    <row r="4582" ht="15.75" customHeight="1">
      <c r="A4582" s="2" t="s">
        <v>4580</v>
      </c>
      <c r="B4582" s="2" t="s">
        <v>3</v>
      </c>
      <c r="C4582" s="1" t="str">
        <f>IFERROR(__xludf.DUMMYFUNCTION("GOOGLETRANSLATE(A4582,""en"",""pt-br"")"),"piquetes")</f>
        <v>piquetes</v>
      </c>
      <c r="D4582" s="1" t="str">
        <f>IFERROR(__xludf.DUMMYFUNCTION("GOOGLETRANSLATE(B4582,""en"",""pt-br"")"),"negativo")</f>
        <v>negativo</v>
      </c>
    </row>
    <row r="4583" ht="15.75" customHeight="1">
      <c r="A4583" s="2" t="s">
        <v>4581</v>
      </c>
      <c r="B4583" s="2" t="s">
        <v>3</v>
      </c>
      <c r="C4583" s="1" t="str">
        <f>IFERROR(__xludf.DUMMYFUNCTION("GOOGLETRANSLATE(A4583,""en"",""pt-br"")"),"piquetes")</f>
        <v>piquetes</v>
      </c>
      <c r="D4583" s="1" t="str">
        <f>IFERROR(__xludf.DUMMYFUNCTION("GOOGLETRANSLATE(B4583,""en"",""pt-br"")"),"negativo")</f>
        <v>negativo</v>
      </c>
    </row>
    <row r="4584" ht="15.75" customHeight="1">
      <c r="A4584" s="2" t="s">
        <v>4582</v>
      </c>
      <c r="B4584" s="2" t="s">
        <v>3</v>
      </c>
      <c r="C4584" s="1" t="str">
        <f>IFERROR(__xludf.DUMMYFUNCTION("GOOGLETRANSLATE(A4584,""en"",""pt-br"")"),"exigente")</f>
        <v>exigente</v>
      </c>
      <c r="D4584" s="1" t="str">
        <f>IFERROR(__xludf.DUMMYFUNCTION("GOOGLETRANSLATE(B4584,""en"",""pt-br"")"),"negativo")</f>
        <v>negativo</v>
      </c>
    </row>
    <row r="4585" ht="15.75" customHeight="1">
      <c r="A4585" s="2" t="s">
        <v>4583</v>
      </c>
      <c r="B4585" s="2" t="s">
        <v>14</v>
      </c>
      <c r="C4585" s="1" t="str">
        <f>IFERROR(__xludf.DUMMYFUNCTION("GOOGLETRANSLATE(A4585,""en"",""pt-br"")"),"pitoresco")</f>
        <v>pitoresco</v>
      </c>
      <c r="D4585" s="1" t="str">
        <f>IFERROR(__xludf.DUMMYFUNCTION("GOOGLETRANSLATE(B4585,""en"",""pt-br"")"),"positivo")</f>
        <v>positivo</v>
      </c>
    </row>
    <row r="4586" ht="15.75" customHeight="1">
      <c r="A4586" s="2" t="s">
        <v>4584</v>
      </c>
      <c r="B4586" s="2" t="s">
        <v>14</v>
      </c>
      <c r="C4586" s="1" t="str">
        <f>IFERROR(__xludf.DUMMYFUNCTION("GOOGLETRANSLATE(A4586,""en"",""pt-br"")"),"piedade")</f>
        <v>piedade</v>
      </c>
      <c r="D4586" s="1" t="str">
        <f>IFERROR(__xludf.DUMMYFUNCTION("GOOGLETRANSLATE(B4586,""en"",""pt-br"")"),"positivo")</f>
        <v>positivo</v>
      </c>
    </row>
    <row r="4587" ht="15.75" customHeight="1">
      <c r="A4587" s="2" t="s">
        <v>4585</v>
      </c>
      <c r="B4587" s="2" t="s">
        <v>3</v>
      </c>
      <c r="C4587" s="1" t="str">
        <f>IFERROR(__xludf.DUMMYFUNCTION("GOOGLETRANSLATE(A4587,""en"",""pt-br"")"),"porco")</f>
        <v>porco</v>
      </c>
      <c r="D4587" s="1" t="str">
        <f>IFERROR(__xludf.DUMMYFUNCTION("GOOGLETRANSLATE(B4587,""en"",""pt-br"")"),"negativo")</f>
        <v>negativo</v>
      </c>
    </row>
    <row r="4588" ht="15.75" customHeight="1">
      <c r="A4588" s="2" t="s">
        <v>4586</v>
      </c>
      <c r="B4588" s="2" t="s">
        <v>3</v>
      </c>
      <c r="C4588" s="1" t="str">
        <f>IFERROR(__xludf.DUMMYFUNCTION("GOOGLETRANSLATE(A4588,""en"",""pt-br"")"),"porcos")</f>
        <v>porcos</v>
      </c>
      <c r="D4588" s="1" t="str">
        <f>IFERROR(__xludf.DUMMYFUNCTION("GOOGLETRANSLATE(B4588,""en"",""pt-br"")"),"negativo")</f>
        <v>negativo</v>
      </c>
    </row>
    <row r="4589" ht="15.75" customHeight="1">
      <c r="A4589" s="2" t="s">
        <v>4587</v>
      </c>
      <c r="B4589" s="2" t="s">
        <v>3</v>
      </c>
      <c r="C4589" s="1" t="str">
        <f>IFERROR(__xludf.DUMMYFUNCTION("GOOGLETRANSLATE(A4589,""en"",""pt-br"")"),"pilhagem")</f>
        <v>pilhagem</v>
      </c>
      <c r="D4589" s="1" t="str">
        <f>IFERROR(__xludf.DUMMYFUNCTION("GOOGLETRANSLATE(B4589,""en"",""pt-br"")"),"negativo")</f>
        <v>negativo</v>
      </c>
    </row>
    <row r="4590" ht="15.75" customHeight="1">
      <c r="A4590" s="2" t="s">
        <v>4588</v>
      </c>
      <c r="B4590" s="2" t="s">
        <v>3</v>
      </c>
      <c r="C4590" s="1" t="str">
        <f>IFERROR(__xludf.DUMMYFUNCTION("GOOGLETRANSLATE(A4590,""en"",""pt-br"")"),"pelourinho")</f>
        <v>pelourinho</v>
      </c>
      <c r="D4590" s="1" t="str">
        <f>IFERROR(__xludf.DUMMYFUNCTION("GOOGLETRANSLATE(B4590,""en"",""pt-br"")"),"negativo")</f>
        <v>negativo</v>
      </c>
    </row>
    <row r="4591" ht="15.75" customHeight="1">
      <c r="A4591" s="2" t="s">
        <v>4589</v>
      </c>
      <c r="B4591" s="2" t="s">
        <v>3</v>
      </c>
      <c r="C4591" s="1" t="str">
        <f>IFERROR(__xludf.DUMMYFUNCTION("GOOGLETRANSLATE(A4591,""en"",""pt-br"")"),"espinha")</f>
        <v>espinha</v>
      </c>
      <c r="D4591" s="1" t="str">
        <f>IFERROR(__xludf.DUMMYFUNCTION("GOOGLETRANSLATE(B4591,""en"",""pt-br"")"),"negativo")</f>
        <v>negativo</v>
      </c>
    </row>
    <row r="4592" ht="15.75" customHeight="1">
      <c r="A4592" s="2" t="s">
        <v>4590</v>
      </c>
      <c r="B4592" s="2" t="s">
        <v>3</v>
      </c>
      <c r="C4592" s="1" t="str">
        <f>IFERROR(__xludf.DUMMYFUNCTION("GOOGLETRANSLATE(A4592,""en"",""pt-br"")"),"pitada")</f>
        <v>pitada</v>
      </c>
      <c r="D4592" s="1" t="str">
        <f>IFERROR(__xludf.DUMMYFUNCTION("GOOGLETRANSLATE(B4592,""en"",""pt-br"")"),"negativo")</f>
        <v>negativo</v>
      </c>
    </row>
    <row r="4593" ht="15.75" customHeight="1">
      <c r="A4593" s="2" t="s">
        <v>4591</v>
      </c>
      <c r="B4593" s="2" t="s">
        <v>14</v>
      </c>
      <c r="C4593" s="1" t="str">
        <f>IFERROR(__xludf.DUMMYFUNCTION("GOOGLETRANSLATE(A4593,""en"",""pt-br"")"),"pináculo")</f>
        <v>pináculo</v>
      </c>
      <c r="D4593" s="1" t="str">
        <f>IFERROR(__xludf.DUMMYFUNCTION("GOOGLETRANSLATE(B4593,""en"",""pt-br"")"),"positivo")</f>
        <v>positivo</v>
      </c>
    </row>
    <row r="4594" ht="15.75" customHeight="1">
      <c r="A4594" s="2" t="s">
        <v>4592</v>
      </c>
      <c r="B4594" s="2" t="s">
        <v>3</v>
      </c>
      <c r="C4594" s="1" t="str">
        <f>IFERROR(__xludf.DUMMYFUNCTION("GOOGLETRANSLATE(A4594,""en"",""pt-br"")"),"melindre")</f>
        <v>melindre</v>
      </c>
      <c r="D4594" s="1" t="str">
        <f>IFERROR(__xludf.DUMMYFUNCTION("GOOGLETRANSLATE(B4594,""en"",""pt-br"")"),"negativo")</f>
        <v>negativo</v>
      </c>
    </row>
    <row r="4595" ht="15.75" customHeight="1">
      <c r="A4595" s="2" t="s">
        <v>4593</v>
      </c>
      <c r="B4595" s="2" t="s">
        <v>3</v>
      </c>
      <c r="C4595" s="1" t="str">
        <f>IFERROR(__xludf.DUMMYFUNCTION("GOOGLETRANSLATE(A4595,""en"",""pt-br"")"),"lamentável")</f>
        <v>lamentável</v>
      </c>
      <c r="D4595" s="1" t="str">
        <f>IFERROR(__xludf.DUMMYFUNCTION("GOOGLETRANSLATE(B4595,""en"",""pt-br"")"),"negativo")</f>
        <v>negativo</v>
      </c>
    </row>
    <row r="4596" ht="15.75" customHeight="1">
      <c r="A4596" s="2" t="s">
        <v>4594</v>
      </c>
      <c r="B4596" s="2" t="s">
        <v>3</v>
      </c>
      <c r="C4596" s="1" t="str">
        <f>IFERROR(__xludf.DUMMYFUNCTION("GOOGLETRANSLATE(A4596,""en"",""pt-br"")"),"lamentável")</f>
        <v>lamentável</v>
      </c>
      <c r="D4596" s="1" t="str">
        <f>IFERROR(__xludf.DUMMYFUNCTION("GOOGLETRANSLATE(B4596,""en"",""pt-br"")"),"negativo")</f>
        <v>negativo</v>
      </c>
    </row>
    <row r="4597" ht="15.75" customHeight="1">
      <c r="A4597" s="2" t="s">
        <v>4595</v>
      </c>
      <c r="B4597" s="2" t="s">
        <v>3</v>
      </c>
      <c r="C4597" s="1" t="str">
        <f>IFERROR(__xludf.DUMMYFUNCTION("GOOGLETRANSLATE(A4597,""en"",""pt-br"")"),"lamentavelmente")</f>
        <v>lamentavelmente</v>
      </c>
      <c r="D4597" s="1" t="str">
        <f>IFERROR(__xludf.DUMMYFUNCTION("GOOGLETRANSLATE(B4597,""en"",""pt-br"")"),"negativo")</f>
        <v>negativo</v>
      </c>
    </row>
    <row r="4598" ht="15.75" customHeight="1">
      <c r="A4598" s="2" t="s">
        <v>4596</v>
      </c>
      <c r="B4598" s="2" t="s">
        <v>3</v>
      </c>
      <c r="C4598" s="1" t="str">
        <f>IFERROR(__xludf.DUMMYFUNCTION("GOOGLETRANSLATE(A4598,""en"",""pt-br"")"),"impiedoso")</f>
        <v>impiedoso</v>
      </c>
      <c r="D4598" s="1" t="str">
        <f>IFERROR(__xludf.DUMMYFUNCTION("GOOGLETRANSLATE(B4598,""en"",""pt-br"")"),"negativo")</f>
        <v>negativo</v>
      </c>
    </row>
    <row r="4599" ht="15.75" customHeight="1">
      <c r="A4599" s="2" t="s">
        <v>4597</v>
      </c>
      <c r="B4599" s="2" t="s">
        <v>3</v>
      </c>
      <c r="C4599" s="1" t="str">
        <f>IFERROR(__xludf.DUMMYFUNCTION("GOOGLETRANSLATE(A4599,""en"",""pt-br"")"),"impiedosamente")</f>
        <v>impiedosamente</v>
      </c>
      <c r="D4599" s="1" t="str">
        <f>IFERROR(__xludf.DUMMYFUNCTION("GOOGLETRANSLATE(B4599,""en"",""pt-br"")"),"negativo")</f>
        <v>negativo</v>
      </c>
    </row>
    <row r="4600" ht="15.75" customHeight="1">
      <c r="A4600" s="2" t="s">
        <v>4598</v>
      </c>
      <c r="B4600" s="2" t="s">
        <v>3</v>
      </c>
      <c r="C4600" s="1" t="str">
        <f>IFERROR(__xludf.DUMMYFUNCTION("GOOGLETRANSLATE(A4600,""en"",""pt-br"")"),"insignificância")</f>
        <v>insignificância</v>
      </c>
      <c r="D4600" s="1" t="str">
        <f>IFERROR(__xludf.DUMMYFUNCTION("GOOGLETRANSLATE(B4600,""en"",""pt-br"")"),"negativo")</f>
        <v>negativo</v>
      </c>
    </row>
    <row r="4601" ht="15.75" customHeight="1">
      <c r="A4601" s="2" t="s">
        <v>4599</v>
      </c>
      <c r="B4601" s="2" t="s">
        <v>3</v>
      </c>
      <c r="C4601" s="1" t="str">
        <f>IFERROR(__xludf.DUMMYFUNCTION("GOOGLETRANSLATE(A4601,""en"",""pt-br"")"),"pena")</f>
        <v>pena</v>
      </c>
      <c r="D4601" s="1" t="str">
        <f>IFERROR(__xludf.DUMMYFUNCTION("GOOGLETRANSLATE(B4601,""en"",""pt-br"")"),"negativo")</f>
        <v>negativo</v>
      </c>
    </row>
    <row r="4602" ht="15.75" customHeight="1">
      <c r="A4602" s="2" t="s">
        <v>4600</v>
      </c>
      <c r="B4602" s="2" t="s">
        <v>3</v>
      </c>
      <c r="C4602" s="1" t="str">
        <f>IFERROR(__xludf.DUMMYFUNCTION("GOOGLETRANSLATE(A4602,""en"",""pt-br"")"),"plagiar")</f>
        <v>plagiar</v>
      </c>
      <c r="D4602" s="1" t="str">
        <f>IFERROR(__xludf.DUMMYFUNCTION("GOOGLETRANSLATE(B4602,""en"",""pt-br"")"),"negativo")</f>
        <v>negativo</v>
      </c>
    </row>
    <row r="4603" ht="15.75" customHeight="1">
      <c r="A4603" s="2" t="s">
        <v>4601</v>
      </c>
      <c r="B4603" s="2" t="s">
        <v>3</v>
      </c>
      <c r="C4603" s="1" t="str">
        <f>IFERROR(__xludf.DUMMYFUNCTION("GOOGLETRANSLATE(A4603,""en"",""pt-br"")"),"praga")</f>
        <v>praga</v>
      </c>
      <c r="D4603" s="1" t="str">
        <f>IFERROR(__xludf.DUMMYFUNCTION("GOOGLETRANSLATE(B4603,""en"",""pt-br"")"),"negativo")</f>
        <v>negativo</v>
      </c>
    </row>
    <row r="4604" ht="15.75" customHeight="1">
      <c r="A4604" s="2" t="s">
        <v>4602</v>
      </c>
      <c r="B4604" s="2" t="s">
        <v>3</v>
      </c>
      <c r="C4604" s="1" t="str">
        <f>IFERROR(__xludf.DUMMYFUNCTION("GOOGLETRANSLATE(A4604,""en"",""pt-br"")"),"plasticky")</f>
        <v>plasticky</v>
      </c>
      <c r="D4604" s="1" t="str">
        <f>IFERROR(__xludf.DUMMYFUNCTION("GOOGLETRANSLATE(B4604,""en"",""pt-br"")"),"negativo")</f>
        <v>negativo</v>
      </c>
    </row>
    <row r="4605" ht="15.75" customHeight="1">
      <c r="A4605" s="2" t="s">
        <v>4603</v>
      </c>
      <c r="B4605" s="2" t="s">
        <v>14</v>
      </c>
      <c r="C4605" s="1" t="str">
        <f>IFERROR(__xludf.DUMMYFUNCTION("GOOGLETRANSLATE(A4605,""en"",""pt-br"")"),"brincalhão")</f>
        <v>brincalhão</v>
      </c>
      <c r="D4605" s="1" t="str">
        <f>IFERROR(__xludf.DUMMYFUNCTION("GOOGLETRANSLATE(B4605,""en"",""pt-br"")"),"positivo")</f>
        <v>positivo</v>
      </c>
    </row>
    <row r="4606" ht="15.75" customHeight="1">
      <c r="A4606" s="2" t="s">
        <v>4604</v>
      </c>
      <c r="B4606" s="2" t="s">
        <v>14</v>
      </c>
      <c r="C4606" s="1" t="str">
        <f>IFERROR(__xludf.DUMMYFUNCTION("GOOGLETRANSLATE(A4606,""en"",""pt-br"")"),"brincadeira")</f>
        <v>brincadeira</v>
      </c>
      <c r="D4606" s="1" t="str">
        <f>IFERROR(__xludf.DUMMYFUNCTION("GOOGLETRANSLATE(B4606,""en"",""pt-br"")"),"positivo")</f>
        <v>positivo</v>
      </c>
    </row>
    <row r="4607" ht="15.75" customHeight="1">
      <c r="A4607" s="2" t="s">
        <v>4605</v>
      </c>
      <c r="B4607" s="2" t="s">
        <v>3</v>
      </c>
      <c r="C4607" s="1" t="str">
        <f>IFERROR(__xludf.DUMMYFUNCTION("GOOGLETRANSLATE(A4607,""en"",""pt-br"")"),"brinquedo")</f>
        <v>brinquedo</v>
      </c>
      <c r="D4607" s="1" t="str">
        <f>IFERROR(__xludf.DUMMYFUNCTION("GOOGLETRANSLATE(B4607,""en"",""pt-br"")"),"negativo")</f>
        <v>negativo</v>
      </c>
    </row>
    <row r="4608" ht="15.75" customHeight="1">
      <c r="A4608" s="2" t="s">
        <v>4606</v>
      </c>
      <c r="B4608" s="2" t="s">
        <v>3</v>
      </c>
      <c r="C4608" s="1" t="str">
        <f>IFERROR(__xludf.DUMMYFUNCTION("GOOGLETRANSLATE(A4608,""en"",""pt-br"")"),"apelo")</f>
        <v>apelo</v>
      </c>
      <c r="D4608" s="1" t="str">
        <f>IFERROR(__xludf.DUMMYFUNCTION("GOOGLETRANSLATE(B4608,""en"",""pt-br"")"),"negativo")</f>
        <v>negativo</v>
      </c>
    </row>
    <row r="4609" ht="15.75" customHeight="1">
      <c r="A4609" s="2" t="s">
        <v>4607</v>
      </c>
      <c r="B4609" s="2" t="s">
        <v>3</v>
      </c>
      <c r="C4609" s="1" t="str">
        <f>IFERROR(__xludf.DUMMYFUNCTION("GOOGLETRANSLATE(A4609,""en"",""pt-br"")"),"súplicas")</f>
        <v>súplicas</v>
      </c>
      <c r="D4609" s="1" t="str">
        <f>IFERROR(__xludf.DUMMYFUNCTION("GOOGLETRANSLATE(B4609,""en"",""pt-br"")"),"negativo")</f>
        <v>negativo</v>
      </c>
    </row>
    <row r="4610" ht="15.75" customHeight="1">
      <c r="A4610" s="2" t="s">
        <v>4608</v>
      </c>
      <c r="B4610" s="2" t="s">
        <v>14</v>
      </c>
      <c r="C4610" s="1" t="str">
        <f>IFERROR(__xludf.DUMMYFUNCTION("GOOGLETRANSLATE(A4610,""en"",""pt-br"")"),"agradável")</f>
        <v>agradável</v>
      </c>
      <c r="D4610" s="1" t="str">
        <f>IFERROR(__xludf.DUMMYFUNCTION("GOOGLETRANSLATE(B4610,""en"",""pt-br"")"),"positivo")</f>
        <v>positivo</v>
      </c>
    </row>
    <row r="4611" ht="15.75" customHeight="1">
      <c r="A4611" s="2" t="s">
        <v>4609</v>
      </c>
      <c r="B4611" s="2" t="s">
        <v>14</v>
      </c>
      <c r="C4611" s="1" t="str">
        <f>IFERROR(__xludf.DUMMYFUNCTION("GOOGLETRANSLATE(A4611,""en"",""pt-br"")"),"agradavelmente")</f>
        <v>agradavelmente</v>
      </c>
      <c r="D4611" s="1" t="str">
        <f>IFERROR(__xludf.DUMMYFUNCTION("GOOGLETRANSLATE(B4611,""en"",""pt-br"")"),"positivo")</f>
        <v>positivo</v>
      </c>
    </row>
    <row r="4612" ht="15.75" customHeight="1">
      <c r="A4612" s="2" t="s">
        <v>4610</v>
      </c>
      <c r="B4612" s="2" t="s">
        <v>14</v>
      </c>
      <c r="C4612" s="1" t="str">
        <f>IFERROR(__xludf.DUMMYFUNCTION("GOOGLETRANSLATE(A4612,""en"",""pt-br"")"),"satisfeito")</f>
        <v>satisfeito</v>
      </c>
      <c r="D4612" s="1" t="str">
        <f>IFERROR(__xludf.DUMMYFUNCTION("GOOGLETRANSLATE(B4612,""en"",""pt-br"")"),"positivo")</f>
        <v>positivo</v>
      </c>
    </row>
    <row r="4613" ht="15.75" customHeight="1">
      <c r="A4613" s="2" t="s">
        <v>4611</v>
      </c>
      <c r="B4613" s="2" t="s">
        <v>14</v>
      </c>
      <c r="C4613" s="1" t="str">
        <f>IFERROR(__xludf.DUMMYFUNCTION("GOOGLETRANSLATE(A4613,""en"",""pt-br"")"),"agrada")</f>
        <v>agrada</v>
      </c>
      <c r="D4613" s="1" t="str">
        <f>IFERROR(__xludf.DUMMYFUNCTION("GOOGLETRANSLATE(B4613,""en"",""pt-br"")"),"positivo")</f>
        <v>positivo</v>
      </c>
    </row>
    <row r="4614" ht="15.75" customHeight="1">
      <c r="A4614" s="2" t="s">
        <v>4612</v>
      </c>
      <c r="B4614" s="2" t="s">
        <v>14</v>
      </c>
      <c r="C4614" s="1" t="str">
        <f>IFERROR(__xludf.DUMMYFUNCTION("GOOGLETRANSLATE(A4614,""en"",""pt-br"")"),"agradável")</f>
        <v>agradável</v>
      </c>
      <c r="D4614" s="1" t="str">
        <f>IFERROR(__xludf.DUMMYFUNCTION("GOOGLETRANSLATE(B4614,""en"",""pt-br"")"),"positivo")</f>
        <v>positivo</v>
      </c>
    </row>
    <row r="4615" ht="15.75" customHeight="1">
      <c r="A4615" s="2" t="s">
        <v>4613</v>
      </c>
      <c r="B4615" s="2" t="s">
        <v>14</v>
      </c>
      <c r="C4615" s="1" t="str">
        <f>IFERROR(__xludf.DUMMYFUNCTION("GOOGLETRANSLATE(A4615,""en"",""pt-br"")"),"agradavelmente")</f>
        <v>agradavelmente</v>
      </c>
      <c r="D4615" s="1" t="str">
        <f>IFERROR(__xludf.DUMMYFUNCTION("GOOGLETRANSLATE(B4615,""en"",""pt-br"")"),"positivo")</f>
        <v>positivo</v>
      </c>
    </row>
    <row r="4616" ht="15.75" customHeight="1">
      <c r="A4616" s="2" t="s">
        <v>4614</v>
      </c>
      <c r="B4616" s="2" t="s">
        <v>14</v>
      </c>
      <c r="C4616" s="1" t="str">
        <f>IFERROR(__xludf.DUMMYFUNCTION("GOOGLETRANSLATE(A4616,""en"",""pt-br"")"),"agradável")</f>
        <v>agradável</v>
      </c>
      <c r="D4616" s="1" t="str">
        <f>IFERROR(__xludf.DUMMYFUNCTION("GOOGLETRANSLATE(B4616,""en"",""pt-br"")"),"positivo")</f>
        <v>positivo</v>
      </c>
    </row>
    <row r="4617" ht="15.75" customHeight="1">
      <c r="A4617" s="2" t="s">
        <v>4615</v>
      </c>
      <c r="B4617" s="2" t="s">
        <v>14</v>
      </c>
      <c r="C4617" s="1" t="str">
        <f>IFERROR(__xludf.DUMMYFUNCTION("GOOGLETRANSLATE(A4617,""en"",""pt-br"")"),"pleasurably")</f>
        <v>pleasurably</v>
      </c>
      <c r="D4617" s="1" t="str">
        <f>IFERROR(__xludf.DUMMYFUNCTION("GOOGLETRANSLATE(B4617,""en"",""pt-br"")"),"positivo")</f>
        <v>positivo</v>
      </c>
    </row>
    <row r="4618" ht="15.75" customHeight="1">
      <c r="A4618" s="2" t="s">
        <v>4616</v>
      </c>
      <c r="B4618" s="2" t="s">
        <v>14</v>
      </c>
      <c r="C4618" s="1" t="str">
        <f>IFERROR(__xludf.DUMMYFUNCTION("GOOGLETRANSLATE(A4618,""en"",""pt-br"")"),"prazer")</f>
        <v>prazer</v>
      </c>
      <c r="D4618" s="1" t="str">
        <f>IFERROR(__xludf.DUMMYFUNCTION("GOOGLETRANSLATE(B4618,""en"",""pt-br"")"),"positivo")</f>
        <v>positivo</v>
      </c>
    </row>
    <row r="4619" ht="15.75" customHeight="1">
      <c r="A4619" s="2" t="s">
        <v>4617</v>
      </c>
      <c r="B4619" s="2" t="s">
        <v>3</v>
      </c>
      <c r="C4619" s="1" t="str">
        <f>IFERROR(__xludf.DUMMYFUNCTION("GOOGLETRANSLATE(A4619,""en"",""pt-br"")"),"plebeu")</f>
        <v>plebeu</v>
      </c>
      <c r="D4619" s="1" t="str">
        <f>IFERROR(__xludf.DUMMYFUNCTION("GOOGLETRANSLATE(B4619,""en"",""pt-br"")"),"negativo")</f>
        <v>negativo</v>
      </c>
    </row>
    <row r="4620" ht="15.75" customHeight="1">
      <c r="A4620" s="2" t="s">
        <v>4618</v>
      </c>
      <c r="B4620" s="2" t="s">
        <v>14</v>
      </c>
      <c r="C4620" s="1" t="str">
        <f>IFERROR(__xludf.DUMMYFUNCTION("GOOGLETRANSLATE(A4620,""en"",""pt-br"")"),"abundante")</f>
        <v>abundante</v>
      </c>
      <c r="D4620" s="1" t="str">
        <f>IFERROR(__xludf.DUMMYFUNCTION("GOOGLETRANSLATE(B4620,""en"",""pt-br"")"),"positivo")</f>
        <v>positivo</v>
      </c>
    </row>
    <row r="4621" ht="15.75" customHeight="1">
      <c r="A4621" s="2" t="s">
        <v>4619</v>
      </c>
      <c r="B4621" s="2" t="s">
        <v>3</v>
      </c>
      <c r="C4621" s="1" t="str">
        <f>IFERROR(__xludf.DUMMYFUNCTION("GOOGLETRANSLATE(A4621,""en"",""pt-br"")"),"apuro")</f>
        <v>apuro</v>
      </c>
      <c r="D4621" s="1" t="str">
        <f>IFERROR(__xludf.DUMMYFUNCTION("GOOGLETRANSLATE(B4621,""en"",""pt-br"")"),"negativo")</f>
        <v>negativo</v>
      </c>
    </row>
    <row r="4622" ht="15.75" customHeight="1">
      <c r="A4622" s="2" t="s">
        <v>4620</v>
      </c>
      <c r="B4622" s="2" t="s">
        <v>3</v>
      </c>
      <c r="C4622" s="1" t="str">
        <f>IFERROR(__xludf.DUMMYFUNCTION("GOOGLETRANSLATE(A4622,""en"",""pt-br"")"),"enredo")</f>
        <v>enredo</v>
      </c>
      <c r="D4622" s="1" t="str">
        <f>IFERROR(__xludf.DUMMYFUNCTION("GOOGLETRANSLATE(B4622,""en"",""pt-br"")"),"negativo")</f>
        <v>negativo</v>
      </c>
    </row>
    <row r="4623" ht="15.75" customHeight="1">
      <c r="A4623" s="2" t="s">
        <v>4621</v>
      </c>
      <c r="B4623" s="2" t="s">
        <v>3</v>
      </c>
      <c r="C4623" s="1" t="str">
        <f>IFERROR(__xludf.DUMMYFUNCTION("GOOGLETRANSLATE(A4623,""en"",""pt-br"")"),"plotters")</f>
        <v>plotters</v>
      </c>
      <c r="D4623" s="1" t="str">
        <f>IFERROR(__xludf.DUMMYFUNCTION("GOOGLETRANSLATE(B4623,""en"",""pt-br"")"),"negativo")</f>
        <v>negativo</v>
      </c>
    </row>
    <row r="4624" ht="15.75" customHeight="1">
      <c r="A4624" s="2" t="s">
        <v>4622</v>
      </c>
      <c r="B4624" s="2" t="s">
        <v>3</v>
      </c>
      <c r="C4624" s="1" t="str">
        <f>IFERROR(__xludf.DUMMYFUNCTION("GOOGLETRANSLATE(A4624,""en"",""pt-br"")"),"estratagema")</f>
        <v>estratagema</v>
      </c>
      <c r="D4624" s="1" t="str">
        <f>IFERROR(__xludf.DUMMYFUNCTION("GOOGLETRANSLATE(B4624,""en"",""pt-br"")"),"negativo")</f>
        <v>negativo</v>
      </c>
    </row>
    <row r="4625" ht="15.75" customHeight="1">
      <c r="A4625" s="2" t="s">
        <v>4623</v>
      </c>
      <c r="B4625" s="2" t="s">
        <v>3</v>
      </c>
      <c r="C4625" s="1" t="str">
        <f>IFERROR(__xludf.DUMMYFUNCTION("GOOGLETRANSLATE(A4625,""en"",""pt-br"")"),"pilhagem")</f>
        <v>pilhagem</v>
      </c>
      <c r="D4625" s="1" t="str">
        <f>IFERROR(__xludf.DUMMYFUNCTION("GOOGLETRANSLATE(B4625,""en"",""pt-br"")"),"negativo")</f>
        <v>negativo</v>
      </c>
    </row>
    <row r="4626" ht="15.75" customHeight="1">
      <c r="A4626" s="2" t="s">
        <v>4624</v>
      </c>
      <c r="B4626" s="2" t="s">
        <v>3</v>
      </c>
      <c r="C4626" s="1" t="str">
        <f>IFERROR(__xludf.DUMMYFUNCTION("GOOGLETRANSLATE(A4626,""en"",""pt-br"")"),"saqueador")</f>
        <v>saqueador</v>
      </c>
      <c r="D4626" s="1" t="str">
        <f>IFERROR(__xludf.DUMMYFUNCTION("GOOGLETRANSLATE(B4626,""en"",""pt-br"")"),"negativo")</f>
        <v>negativo</v>
      </c>
    </row>
    <row r="4627" ht="15.75" customHeight="1">
      <c r="A4627" s="2" t="s">
        <v>4625</v>
      </c>
      <c r="B4627" s="2" t="s">
        <v>14</v>
      </c>
      <c r="C4627" s="1" t="str">
        <f>IFERROR(__xludf.DUMMYFUNCTION("GOOGLETRANSLATE(A4627,""en"",""pt-br"")"),"vantagens")</f>
        <v>vantagens</v>
      </c>
      <c r="D4627" s="1" t="str">
        <f>IFERROR(__xludf.DUMMYFUNCTION("GOOGLETRANSLATE(B4627,""en"",""pt-br"")"),"positivo")</f>
        <v>positivo</v>
      </c>
    </row>
    <row r="4628" ht="15.75" customHeight="1">
      <c r="A4628" s="2" t="s">
        <v>4626</v>
      </c>
      <c r="B4628" s="2" t="s">
        <v>14</v>
      </c>
      <c r="C4628" s="1" t="str">
        <f>IFERROR(__xludf.DUMMYFUNCTION("GOOGLETRANSLATE(A4628,""en"",""pt-br"")"),"pelúcia")</f>
        <v>pelúcia</v>
      </c>
      <c r="D4628" s="1" t="str">
        <f>IFERROR(__xludf.DUMMYFUNCTION("GOOGLETRANSLATE(B4628,""en"",""pt-br"")"),"positivo")</f>
        <v>positivo</v>
      </c>
    </row>
    <row r="4629" ht="15.75" customHeight="1">
      <c r="A4629" s="2" t="s">
        <v>4627</v>
      </c>
      <c r="B4629" s="2" t="s">
        <v>14</v>
      </c>
      <c r="C4629" s="1" t="str">
        <f>IFERROR(__xludf.DUMMYFUNCTION("GOOGLETRANSLATE(A4629,""en"",""pt-br"")"),"plusses")</f>
        <v>plusses</v>
      </c>
      <c r="D4629" s="1" t="str">
        <f>IFERROR(__xludf.DUMMYFUNCTION("GOOGLETRANSLATE(B4629,""en"",""pt-br"")"),"positivo")</f>
        <v>positivo</v>
      </c>
    </row>
    <row r="4630" ht="15.75" customHeight="1">
      <c r="A4630" s="2" t="s">
        <v>4628</v>
      </c>
      <c r="B4630" s="2" t="s">
        <v>14</v>
      </c>
      <c r="C4630" s="1" t="str">
        <f>IFERROR(__xludf.DUMMYFUNCTION("GOOGLETRANSLATE(A4630,""en"",""pt-br"")"),"poético")</f>
        <v>poético</v>
      </c>
      <c r="D4630" s="1" t="str">
        <f>IFERROR(__xludf.DUMMYFUNCTION("GOOGLETRANSLATE(B4630,""en"",""pt-br"")"),"positivo")</f>
        <v>positivo</v>
      </c>
    </row>
    <row r="4631" ht="15.75" customHeight="1">
      <c r="A4631" s="2" t="s">
        <v>4629</v>
      </c>
      <c r="B4631" s="2" t="s">
        <v>14</v>
      </c>
      <c r="C4631" s="1" t="str">
        <f>IFERROR(__xludf.DUMMYFUNCTION("GOOGLETRANSLATE(A4631,""en"",""pt-br"")"),"poetizar")</f>
        <v>poetizar</v>
      </c>
      <c r="D4631" s="1" t="str">
        <f>IFERROR(__xludf.DUMMYFUNCTION("GOOGLETRANSLATE(B4631,""en"",""pt-br"")"),"positivo")</f>
        <v>positivo</v>
      </c>
    </row>
    <row r="4632" ht="15.75" customHeight="1">
      <c r="A4632" s="2" t="s">
        <v>4630</v>
      </c>
      <c r="B4632" s="2" t="s">
        <v>14</v>
      </c>
      <c r="C4632" s="1" t="str">
        <f>IFERROR(__xludf.DUMMYFUNCTION("GOOGLETRANSLATE(A4632,""en"",""pt-br"")"),"pungente")</f>
        <v>pungente</v>
      </c>
      <c r="D4632" s="1" t="str">
        <f>IFERROR(__xludf.DUMMYFUNCTION("GOOGLETRANSLATE(B4632,""en"",""pt-br"")"),"positivo")</f>
        <v>positivo</v>
      </c>
    </row>
    <row r="4633" ht="15.75" customHeight="1">
      <c r="A4633" s="2" t="s">
        <v>4631</v>
      </c>
      <c r="B4633" s="2" t="s">
        <v>3</v>
      </c>
      <c r="C4633" s="1" t="str">
        <f>IFERROR(__xludf.DUMMYFUNCTION("GOOGLETRANSLATE(A4633,""en"",""pt-br"")"),"sem sentido")</f>
        <v>sem sentido</v>
      </c>
      <c r="D4633" s="1" t="str">
        <f>IFERROR(__xludf.DUMMYFUNCTION("GOOGLETRANSLATE(B4633,""en"",""pt-br"")"),"negativo")</f>
        <v>negativo</v>
      </c>
    </row>
    <row r="4634" ht="15.75" customHeight="1">
      <c r="A4634" s="2" t="s">
        <v>4632</v>
      </c>
      <c r="B4634" s="2" t="s">
        <v>3</v>
      </c>
      <c r="C4634" s="1" t="str">
        <f>IFERROR(__xludf.DUMMYFUNCTION("GOOGLETRANSLATE(A4634,""en"",""pt-br"")"),"inutilmente")</f>
        <v>inutilmente</v>
      </c>
      <c r="D4634" s="1" t="str">
        <f>IFERROR(__xludf.DUMMYFUNCTION("GOOGLETRANSLATE(B4634,""en"",""pt-br"")"),"negativo")</f>
        <v>negativo</v>
      </c>
    </row>
    <row r="4635" ht="15.75" customHeight="1">
      <c r="A4635" s="2" t="s">
        <v>4633</v>
      </c>
      <c r="B4635" s="2" t="s">
        <v>14</v>
      </c>
      <c r="C4635" s="1" t="str">
        <f>IFERROR(__xludf.DUMMYFUNCTION("GOOGLETRANSLATE(A4635,""en"",""pt-br"")"),"equilíbrio")</f>
        <v>equilíbrio</v>
      </c>
      <c r="D4635" s="1" t="str">
        <f>IFERROR(__xludf.DUMMYFUNCTION("GOOGLETRANSLATE(B4635,""en"",""pt-br"")"),"positivo")</f>
        <v>positivo</v>
      </c>
    </row>
    <row r="4636" ht="15.75" customHeight="1">
      <c r="A4636" s="2" t="s">
        <v>4634</v>
      </c>
      <c r="B4636" s="2" t="s">
        <v>14</v>
      </c>
      <c r="C4636" s="1" t="str">
        <f>IFERROR(__xludf.DUMMYFUNCTION("GOOGLETRANSLATE(A4636,""en"",""pt-br"")"),"pronta")</f>
        <v>pronta</v>
      </c>
      <c r="D4636" s="1" t="str">
        <f>IFERROR(__xludf.DUMMYFUNCTION("GOOGLETRANSLATE(B4636,""en"",""pt-br"")"),"positivo")</f>
        <v>positivo</v>
      </c>
    </row>
    <row r="4637" ht="15.75" customHeight="1">
      <c r="A4637" s="2" t="s">
        <v>4635</v>
      </c>
      <c r="B4637" s="2" t="s">
        <v>3</v>
      </c>
      <c r="C4637" s="1" t="str">
        <f>IFERROR(__xludf.DUMMYFUNCTION("GOOGLETRANSLATE(A4637,""en"",""pt-br"")"),"Poção")</f>
        <v>Poção</v>
      </c>
      <c r="D4637" s="1" t="str">
        <f>IFERROR(__xludf.DUMMYFUNCTION("GOOGLETRANSLATE(B4637,""en"",""pt-br"")"),"negativo")</f>
        <v>negativo</v>
      </c>
    </row>
    <row r="4638" ht="15.75" customHeight="1">
      <c r="A4638" s="2" t="s">
        <v>4636</v>
      </c>
      <c r="B4638" s="2" t="s">
        <v>3</v>
      </c>
      <c r="C4638" s="1" t="str">
        <f>IFERROR(__xludf.DUMMYFUNCTION("GOOGLETRANSLATE(A4638,""en"",""pt-br"")"),"venenoso")</f>
        <v>venenoso</v>
      </c>
      <c r="D4638" s="1" t="str">
        <f>IFERROR(__xludf.DUMMYFUNCTION("GOOGLETRANSLATE(B4638,""en"",""pt-br"")"),"negativo")</f>
        <v>negativo</v>
      </c>
    </row>
    <row r="4639" ht="15.75" customHeight="1">
      <c r="A4639" s="2" t="s">
        <v>4637</v>
      </c>
      <c r="B4639" s="2" t="s">
        <v>3</v>
      </c>
      <c r="C4639" s="1" t="str">
        <f>IFERROR(__xludf.DUMMYFUNCTION("GOOGLETRANSLATE(A4639,""en"",""pt-br"")"),"venenosamente")</f>
        <v>venenosamente</v>
      </c>
      <c r="D4639" s="1" t="str">
        <f>IFERROR(__xludf.DUMMYFUNCTION("GOOGLETRANSLATE(B4639,""en"",""pt-br"")"),"negativo")</f>
        <v>negativo</v>
      </c>
    </row>
    <row r="4640" ht="15.75" customHeight="1">
      <c r="A4640" s="2" t="s">
        <v>4638</v>
      </c>
      <c r="B4640" s="2" t="s">
        <v>3</v>
      </c>
      <c r="C4640" s="1" t="str">
        <f>IFERROR(__xludf.DUMMYFUNCTION("GOOGLETRANSLATE(A4640,""en"",""pt-br"")"),"limitado")</f>
        <v>limitado</v>
      </c>
      <c r="D4640" s="1" t="str">
        <f>IFERROR(__xludf.DUMMYFUNCTION("GOOGLETRANSLATE(B4640,""en"",""pt-br"")"),"negativo")</f>
        <v>negativo</v>
      </c>
    </row>
    <row r="4641" ht="15.75" customHeight="1">
      <c r="A4641" s="2" t="s">
        <v>4639</v>
      </c>
      <c r="B4641" s="2" t="s">
        <v>3</v>
      </c>
      <c r="C4641" s="1" t="str">
        <f>IFERROR(__xludf.DUMMYFUNCTION("GOOGLETRANSLATE(A4641,""en"",""pt-br"")"),"pequeno")</f>
        <v>pequeno</v>
      </c>
      <c r="D4641" s="1" t="str">
        <f>IFERROR(__xludf.DUMMYFUNCTION("GOOGLETRANSLATE(B4641,""en"",""pt-br"")"),"negativo")</f>
        <v>negativo</v>
      </c>
    </row>
    <row r="4642" ht="15.75" customHeight="1">
      <c r="A4642" s="2" t="s">
        <v>4640</v>
      </c>
      <c r="B4642" s="2" t="s">
        <v>3</v>
      </c>
      <c r="C4642" s="1" t="str">
        <f>IFERROR(__xludf.DUMMYFUNCTION("GOOGLETRANSLATE(A4642,""en"",""pt-br"")"),"polarização")</f>
        <v>polarização</v>
      </c>
      <c r="D4642" s="1" t="str">
        <f>IFERROR(__xludf.DUMMYFUNCTION("GOOGLETRANSLATE(B4642,""en"",""pt-br"")"),"negativo")</f>
        <v>negativo</v>
      </c>
    </row>
    <row r="4643" ht="15.75" customHeight="1">
      <c r="A4643" s="2" t="s">
        <v>4641</v>
      </c>
      <c r="B4643" s="2" t="s">
        <v>3</v>
      </c>
      <c r="C4643" s="1" t="str">
        <f>IFERROR(__xludf.DUMMYFUNCTION("GOOGLETRANSLATE(A4643,""en"",""pt-br"")"),"polemizar")</f>
        <v>polemizar</v>
      </c>
      <c r="D4643" s="1" t="str">
        <f>IFERROR(__xludf.DUMMYFUNCTION("GOOGLETRANSLATE(B4643,""en"",""pt-br"")"),"negativo")</f>
        <v>negativo</v>
      </c>
    </row>
    <row r="4644" ht="15.75" customHeight="1">
      <c r="A4644" s="2" t="s">
        <v>4642</v>
      </c>
      <c r="B4644" s="2" t="s">
        <v>14</v>
      </c>
      <c r="C4644" s="1" t="str">
        <f>IFERROR(__xludf.DUMMYFUNCTION("GOOGLETRANSLATE(A4644,""en"",""pt-br"")"),"polido")</f>
        <v>polido</v>
      </c>
      <c r="D4644" s="1" t="str">
        <f>IFERROR(__xludf.DUMMYFUNCTION("GOOGLETRANSLATE(B4644,""en"",""pt-br"")"),"positivo")</f>
        <v>positivo</v>
      </c>
    </row>
    <row r="4645" ht="15.75" customHeight="1">
      <c r="A4645" s="2" t="s">
        <v>4643</v>
      </c>
      <c r="B4645" s="2" t="s">
        <v>14</v>
      </c>
      <c r="C4645" s="1" t="str">
        <f>IFERROR(__xludf.DUMMYFUNCTION("GOOGLETRANSLATE(A4645,""en"",""pt-br"")"),"educado")</f>
        <v>educado</v>
      </c>
      <c r="D4645" s="1" t="str">
        <f>IFERROR(__xludf.DUMMYFUNCTION("GOOGLETRANSLATE(B4645,""en"",""pt-br"")"),"positivo")</f>
        <v>positivo</v>
      </c>
    </row>
    <row r="4646" ht="15.75" customHeight="1">
      <c r="A4646" s="2" t="s">
        <v>4644</v>
      </c>
      <c r="B4646" s="2" t="s">
        <v>14</v>
      </c>
      <c r="C4646" s="1" t="str">
        <f>IFERROR(__xludf.DUMMYFUNCTION("GOOGLETRANSLATE(A4646,""en"",""pt-br"")"),"polidez")</f>
        <v>polidez</v>
      </c>
      <c r="D4646" s="1" t="str">
        <f>IFERROR(__xludf.DUMMYFUNCTION("GOOGLETRANSLATE(B4646,""en"",""pt-br"")"),"positivo")</f>
        <v>positivo</v>
      </c>
    </row>
    <row r="4647" ht="15.75" customHeight="1">
      <c r="A4647" s="2" t="s">
        <v>4645</v>
      </c>
      <c r="B4647" s="2" t="s">
        <v>3</v>
      </c>
      <c r="C4647" s="1" t="str">
        <f>IFERROR(__xludf.DUMMYFUNCTION("GOOGLETRANSLATE(A4647,""en"",""pt-br"")"),"poluir")</f>
        <v>poluir</v>
      </c>
      <c r="D4647" s="1" t="str">
        <f>IFERROR(__xludf.DUMMYFUNCTION("GOOGLETRANSLATE(B4647,""en"",""pt-br"")"),"negativo")</f>
        <v>negativo</v>
      </c>
    </row>
    <row r="4648" ht="15.75" customHeight="1">
      <c r="A4648" s="2" t="s">
        <v>4646</v>
      </c>
      <c r="B4648" s="2" t="s">
        <v>3</v>
      </c>
      <c r="C4648" s="1" t="str">
        <f>IFERROR(__xludf.DUMMYFUNCTION("GOOGLETRANSLATE(A4648,""en"",""pt-br"")"),"poluidor")</f>
        <v>poluidor</v>
      </c>
      <c r="D4648" s="1" t="str">
        <f>IFERROR(__xludf.DUMMYFUNCTION("GOOGLETRANSLATE(B4648,""en"",""pt-br"")"),"negativo")</f>
        <v>negativo</v>
      </c>
    </row>
    <row r="4649" ht="15.75" customHeight="1">
      <c r="A4649" s="2" t="s">
        <v>4647</v>
      </c>
      <c r="B4649" s="2" t="s">
        <v>3</v>
      </c>
      <c r="C4649" s="1" t="str">
        <f>IFERROR(__xludf.DUMMYFUNCTION("GOOGLETRANSLATE(A4649,""en"",""pt-br"")"),"poluidores")</f>
        <v>poluidores</v>
      </c>
      <c r="D4649" s="1" t="str">
        <f>IFERROR(__xludf.DUMMYFUNCTION("GOOGLETRANSLATE(B4649,""en"",""pt-br"")"),"negativo")</f>
        <v>negativo</v>
      </c>
    </row>
    <row r="4650" ht="15.75" customHeight="1">
      <c r="A4650" s="2" t="s">
        <v>4648</v>
      </c>
      <c r="B4650" s="2" t="s">
        <v>3</v>
      </c>
      <c r="C4650" s="1" t="str">
        <f>IFERROR(__xludf.DUMMYFUNCTION("GOOGLETRANSLATE(A4650,""en"",""pt-br"")"),"poluição")</f>
        <v>poluição</v>
      </c>
      <c r="D4650" s="1" t="str">
        <f>IFERROR(__xludf.DUMMYFUNCTION("GOOGLETRANSLATE(B4650,""en"",""pt-br"")"),"negativo")</f>
        <v>negativo</v>
      </c>
    </row>
    <row r="4651" ht="15.75" customHeight="1">
      <c r="A4651" s="2" t="s">
        <v>4649</v>
      </c>
      <c r="B4651" s="2" t="s">
        <v>3</v>
      </c>
      <c r="C4651" s="1" t="str">
        <f>IFERROR(__xludf.DUMMYFUNCTION("GOOGLETRANSLATE(A4651,""en"",""pt-br"")"),"pomposo")</f>
        <v>pomposo</v>
      </c>
      <c r="D4651" s="1" t="str">
        <f>IFERROR(__xludf.DUMMYFUNCTION("GOOGLETRANSLATE(B4651,""en"",""pt-br"")"),"negativo")</f>
        <v>negativo</v>
      </c>
    </row>
    <row r="4652" ht="15.75" customHeight="1">
      <c r="A4652" s="2" t="s">
        <v>4650</v>
      </c>
      <c r="B4652" s="2" t="s">
        <v>3</v>
      </c>
      <c r="C4652" s="1" t="str">
        <f>IFERROR(__xludf.DUMMYFUNCTION("GOOGLETRANSLATE(A4652,""en"",""pt-br"")"),"pobre")</f>
        <v>pobre</v>
      </c>
      <c r="D4652" s="1" t="str">
        <f>IFERROR(__xludf.DUMMYFUNCTION("GOOGLETRANSLATE(B4652,""en"",""pt-br"")"),"negativo")</f>
        <v>negativo</v>
      </c>
    </row>
    <row r="4653" ht="15.75" customHeight="1">
      <c r="A4653" s="2" t="s">
        <v>4651</v>
      </c>
      <c r="B4653" s="2" t="s">
        <v>3</v>
      </c>
      <c r="C4653" s="1" t="str">
        <f>IFERROR(__xludf.DUMMYFUNCTION("GOOGLETRANSLATE(A4653,""en"",""pt-br"")"),"mais pobres")</f>
        <v>mais pobres</v>
      </c>
      <c r="D4653" s="1" t="str">
        <f>IFERROR(__xludf.DUMMYFUNCTION("GOOGLETRANSLATE(B4653,""en"",""pt-br"")"),"negativo")</f>
        <v>negativo</v>
      </c>
    </row>
    <row r="4654" ht="15.75" customHeight="1">
      <c r="A4654" s="2" t="s">
        <v>4652</v>
      </c>
      <c r="B4654" s="2" t="s">
        <v>3</v>
      </c>
      <c r="C4654" s="1" t="str">
        <f>IFERROR(__xludf.DUMMYFUNCTION("GOOGLETRANSLATE(A4654,""en"",""pt-br"")"),"mais pobres")</f>
        <v>mais pobres</v>
      </c>
      <c r="D4654" s="1" t="str">
        <f>IFERROR(__xludf.DUMMYFUNCTION("GOOGLETRANSLATE(B4654,""en"",""pt-br"")"),"negativo")</f>
        <v>negativo</v>
      </c>
    </row>
    <row r="4655" ht="15.75" customHeight="1">
      <c r="A4655" s="2" t="s">
        <v>4653</v>
      </c>
      <c r="B4655" s="2" t="s">
        <v>3</v>
      </c>
      <c r="C4655" s="1" t="str">
        <f>IFERROR(__xludf.DUMMYFUNCTION("GOOGLETRANSLATE(A4655,""en"",""pt-br"")"),"mal")</f>
        <v>mal</v>
      </c>
      <c r="D4655" s="1" t="str">
        <f>IFERROR(__xludf.DUMMYFUNCTION("GOOGLETRANSLATE(B4655,""en"",""pt-br"")"),"negativo")</f>
        <v>negativo</v>
      </c>
    </row>
    <row r="4656" ht="15.75" customHeight="1">
      <c r="A4656" s="2" t="s">
        <v>4654</v>
      </c>
      <c r="B4656" s="2" t="s">
        <v>14</v>
      </c>
      <c r="C4656" s="1" t="str">
        <f>IFERROR(__xludf.DUMMYFUNCTION("GOOGLETRANSLATE(A4656,""en"",""pt-br"")"),"popular")</f>
        <v>popular</v>
      </c>
      <c r="D4656" s="1" t="str">
        <f>IFERROR(__xludf.DUMMYFUNCTION("GOOGLETRANSLATE(B4656,""en"",""pt-br"")"),"positivo")</f>
        <v>positivo</v>
      </c>
    </row>
    <row r="4657" ht="15.75" customHeight="1">
      <c r="A4657" s="2" t="s">
        <v>4655</v>
      </c>
      <c r="B4657" s="2" t="s">
        <v>14</v>
      </c>
      <c r="C4657" s="1" t="str">
        <f>IFERROR(__xludf.DUMMYFUNCTION("GOOGLETRANSLATE(A4657,""en"",""pt-br"")"),"portátil")</f>
        <v>portátil</v>
      </c>
      <c r="D4657" s="1" t="str">
        <f>IFERROR(__xludf.DUMMYFUNCTION("GOOGLETRANSLATE(B4657,""en"",""pt-br"")"),"positivo")</f>
        <v>positivo</v>
      </c>
    </row>
    <row r="4658" ht="15.75" customHeight="1">
      <c r="A4658" s="2" t="s">
        <v>4656</v>
      </c>
      <c r="B4658" s="2" t="s">
        <v>14</v>
      </c>
      <c r="C4658" s="1" t="str">
        <f>IFERROR(__xludf.DUMMYFUNCTION("GOOGLETRANSLATE(A4658,""en"",""pt-br"")"),"elegante")</f>
        <v>elegante</v>
      </c>
      <c r="D4658" s="1" t="str">
        <f>IFERROR(__xludf.DUMMYFUNCTION("GOOGLETRANSLATE(B4658,""en"",""pt-br"")"),"positivo")</f>
        <v>positivo</v>
      </c>
    </row>
    <row r="4659" ht="15.75" customHeight="1">
      <c r="A4659" s="2" t="s">
        <v>14</v>
      </c>
      <c r="B4659" s="2" t="s">
        <v>14</v>
      </c>
      <c r="C4659" s="1" t="str">
        <f>IFERROR(__xludf.DUMMYFUNCTION("GOOGLETRANSLATE(A4659,""en"",""pt-br"")"),"positivo")</f>
        <v>positivo</v>
      </c>
      <c r="D4659" s="1" t="str">
        <f>IFERROR(__xludf.DUMMYFUNCTION("GOOGLETRANSLATE(B4659,""en"",""pt-br"")"),"positivo")</f>
        <v>positivo</v>
      </c>
    </row>
    <row r="4660" ht="15.75" customHeight="1">
      <c r="A4660" s="2" t="s">
        <v>4657</v>
      </c>
      <c r="B4660" s="2" t="s">
        <v>14</v>
      </c>
      <c r="C4660" s="1" t="str">
        <f>IFERROR(__xludf.DUMMYFUNCTION("GOOGLETRANSLATE(A4660,""en"",""pt-br"")"),"positivamente")</f>
        <v>positivamente</v>
      </c>
      <c r="D4660" s="1" t="str">
        <f>IFERROR(__xludf.DUMMYFUNCTION("GOOGLETRANSLATE(B4660,""en"",""pt-br"")"),"positivo")</f>
        <v>positivo</v>
      </c>
    </row>
    <row r="4661" ht="15.75" customHeight="1">
      <c r="A4661" s="2" t="s">
        <v>4658</v>
      </c>
      <c r="B4661" s="2" t="s">
        <v>14</v>
      </c>
      <c r="C4661" s="1" t="str">
        <f>IFERROR(__xludf.DUMMYFUNCTION("GOOGLETRANSLATE(A4661,""en"",""pt-br"")"),"positivos")</f>
        <v>positivos</v>
      </c>
      <c r="D4661" s="1" t="str">
        <f>IFERROR(__xludf.DUMMYFUNCTION("GOOGLETRANSLATE(B4661,""en"",""pt-br"")"),"positivo")</f>
        <v>positivo</v>
      </c>
    </row>
    <row r="4662" ht="15.75" customHeight="1">
      <c r="A4662" s="2" t="s">
        <v>4659</v>
      </c>
      <c r="B4662" s="2" t="s">
        <v>3</v>
      </c>
      <c r="C4662" s="1" t="str">
        <f>IFERROR(__xludf.DUMMYFUNCTION("GOOGLETRANSLATE(A4662,""en"",""pt-br"")"),"postura")</f>
        <v>postura</v>
      </c>
      <c r="D4662" s="1" t="str">
        <f>IFERROR(__xludf.DUMMYFUNCTION("GOOGLETRANSLATE(B4662,""en"",""pt-br"")"),"negativo")</f>
        <v>negativo</v>
      </c>
    </row>
    <row r="4663" ht="15.75" customHeight="1">
      <c r="A4663" s="2" t="s">
        <v>4660</v>
      </c>
      <c r="B4663" s="2" t="s">
        <v>3</v>
      </c>
      <c r="C4663" s="1" t="str">
        <f>IFERROR(__xludf.DUMMYFUNCTION("GOOGLETRANSLATE(A4663,""en"",""pt-br"")"),"beicinho")</f>
        <v>beicinho</v>
      </c>
      <c r="D4663" s="1" t="str">
        <f>IFERROR(__xludf.DUMMYFUNCTION("GOOGLETRANSLATE(B4663,""en"",""pt-br"")"),"negativo")</f>
        <v>negativo</v>
      </c>
    </row>
    <row r="4664" ht="15.75" customHeight="1">
      <c r="A4664" s="2" t="s">
        <v>4661</v>
      </c>
      <c r="B4664" s="2" t="s">
        <v>3</v>
      </c>
      <c r="C4664" s="1" t="str">
        <f>IFERROR(__xludf.DUMMYFUNCTION("GOOGLETRANSLATE(A4664,""en"",""pt-br"")"),"pobreza")</f>
        <v>pobreza</v>
      </c>
      <c r="D4664" s="1" t="str">
        <f>IFERROR(__xludf.DUMMYFUNCTION("GOOGLETRANSLATE(B4664,""en"",""pt-br"")"),"negativo")</f>
        <v>negativo</v>
      </c>
    </row>
    <row r="4665" ht="15.75" customHeight="1">
      <c r="A4665" s="2" t="s">
        <v>4662</v>
      </c>
      <c r="B4665" s="2" t="s">
        <v>14</v>
      </c>
      <c r="C4665" s="1" t="str">
        <f>IFERROR(__xludf.DUMMYFUNCTION("GOOGLETRANSLATE(A4665,""en"",""pt-br"")"),"poderoso")</f>
        <v>poderoso</v>
      </c>
      <c r="D4665" s="1" t="str">
        <f>IFERROR(__xludf.DUMMYFUNCTION("GOOGLETRANSLATE(B4665,""en"",""pt-br"")"),"positivo")</f>
        <v>positivo</v>
      </c>
    </row>
    <row r="4666" ht="15.75" customHeight="1">
      <c r="A4666" s="2" t="s">
        <v>4663</v>
      </c>
      <c r="B4666" s="2" t="s">
        <v>14</v>
      </c>
      <c r="C4666" s="1" t="str">
        <f>IFERROR(__xludf.DUMMYFUNCTION("GOOGLETRANSLATE(A4666,""en"",""pt-br"")"),"poderosamente")</f>
        <v>poderosamente</v>
      </c>
      <c r="D4666" s="1" t="str">
        <f>IFERROR(__xludf.DUMMYFUNCTION("GOOGLETRANSLATE(B4666,""en"",""pt-br"")"),"positivo")</f>
        <v>positivo</v>
      </c>
    </row>
    <row r="4667" ht="15.75" customHeight="1">
      <c r="A4667" s="2" t="s">
        <v>4664</v>
      </c>
      <c r="B4667" s="2" t="s">
        <v>3</v>
      </c>
      <c r="C4667" s="1" t="str">
        <f>IFERROR(__xludf.DUMMYFUNCTION("GOOGLETRANSLATE(A4667,""en"",""pt-br"")"),"impotente")</f>
        <v>impotente</v>
      </c>
      <c r="D4667" s="1" t="str">
        <f>IFERROR(__xludf.DUMMYFUNCTION("GOOGLETRANSLATE(B4667,""en"",""pt-br"")"),"negativo")</f>
        <v>negativo</v>
      </c>
    </row>
    <row r="4668" ht="15.75" customHeight="1">
      <c r="A4668" s="2" t="s">
        <v>4665</v>
      </c>
      <c r="B4668" s="2" t="s">
        <v>14</v>
      </c>
      <c r="C4668" s="1" t="str">
        <f>IFERROR(__xludf.DUMMYFUNCTION("GOOGLETRANSLATE(A4668,""en"",""pt-br"")"),"elogio")</f>
        <v>elogio</v>
      </c>
      <c r="D4668" s="1" t="str">
        <f>IFERROR(__xludf.DUMMYFUNCTION("GOOGLETRANSLATE(B4668,""en"",""pt-br"")"),"positivo")</f>
        <v>positivo</v>
      </c>
    </row>
    <row r="4669" ht="15.75" customHeight="1">
      <c r="A4669" s="2" t="s">
        <v>4666</v>
      </c>
      <c r="B4669" s="2" t="s">
        <v>14</v>
      </c>
      <c r="C4669" s="1" t="str">
        <f>IFERROR(__xludf.DUMMYFUNCTION("GOOGLETRANSLATE(A4669,""en"",""pt-br"")"),"louvável")</f>
        <v>louvável</v>
      </c>
      <c r="D4669" s="1" t="str">
        <f>IFERROR(__xludf.DUMMYFUNCTION("GOOGLETRANSLATE(B4669,""en"",""pt-br"")"),"positivo")</f>
        <v>positivo</v>
      </c>
    </row>
    <row r="4670" ht="15.75" customHeight="1">
      <c r="A4670" s="2" t="s">
        <v>4667</v>
      </c>
      <c r="B4670" s="2" t="s">
        <v>14</v>
      </c>
      <c r="C4670" s="1" t="str">
        <f>IFERROR(__xludf.DUMMYFUNCTION("GOOGLETRANSLATE(A4670,""en"",""pt-br"")"),"louvando")</f>
        <v>louvando</v>
      </c>
      <c r="D4670" s="1" t="str">
        <f>IFERROR(__xludf.DUMMYFUNCTION("GOOGLETRANSLATE(B4670,""en"",""pt-br"")"),"positivo")</f>
        <v>positivo</v>
      </c>
    </row>
    <row r="4671" ht="15.75" customHeight="1">
      <c r="A4671" s="2" t="s">
        <v>4668</v>
      </c>
      <c r="B4671" s="2" t="s">
        <v>3</v>
      </c>
      <c r="C4671" s="1" t="str">
        <f>IFERROR(__xludf.DUMMYFUNCTION("GOOGLETRANSLATE(A4671,""en"",""pt-br"")"),"tagarelice")</f>
        <v>tagarelice</v>
      </c>
      <c r="D4671" s="1" t="str">
        <f>IFERROR(__xludf.DUMMYFUNCTION("GOOGLETRANSLATE(B4671,""en"",""pt-br"")"),"negativo")</f>
        <v>negativo</v>
      </c>
    </row>
    <row r="4672" ht="15.75" customHeight="1">
      <c r="A4672" s="2" t="s">
        <v>4669</v>
      </c>
      <c r="B4672" s="2" t="s">
        <v>3</v>
      </c>
      <c r="C4672" s="1" t="str">
        <f>IFERROR(__xludf.DUMMYFUNCTION("GOOGLETRANSLATE(A4672,""en"",""pt-br"")"),"pratfall")</f>
        <v>pratfall</v>
      </c>
      <c r="D4672" s="1" t="str">
        <f>IFERROR(__xludf.DUMMYFUNCTION("GOOGLETRANSLATE(B4672,""en"",""pt-br"")"),"negativo")</f>
        <v>negativo</v>
      </c>
    </row>
    <row r="4673" ht="15.75" customHeight="1">
      <c r="A4673" s="2" t="s">
        <v>4670</v>
      </c>
      <c r="B4673" s="2" t="s">
        <v>3</v>
      </c>
      <c r="C4673" s="1" t="str">
        <f>IFERROR(__xludf.DUMMYFUNCTION("GOOGLETRANSLATE(A4673,""en"",""pt-br"")"),"cavaqueira")</f>
        <v>cavaqueira</v>
      </c>
      <c r="D4673" s="1" t="str">
        <f>IFERROR(__xludf.DUMMYFUNCTION("GOOGLETRANSLATE(B4673,""en"",""pt-br"")"),"negativo")</f>
        <v>negativo</v>
      </c>
    </row>
    <row r="4674" ht="15.75" customHeight="1">
      <c r="A4674" s="2" t="s">
        <v>4671</v>
      </c>
      <c r="B4674" s="2" t="s">
        <v>14</v>
      </c>
      <c r="C4674" s="1" t="str">
        <f>IFERROR(__xludf.DUMMYFUNCTION("GOOGLETRANSLATE(A4674,""en"",""pt-br"")"),"preeminente")</f>
        <v>preeminente</v>
      </c>
      <c r="D4674" s="1" t="str">
        <f>IFERROR(__xludf.DUMMYFUNCTION("GOOGLETRANSLATE(B4674,""en"",""pt-br"")"),"positivo")</f>
        <v>positivo</v>
      </c>
    </row>
    <row r="4675" ht="15.75" customHeight="1">
      <c r="A4675" s="2" t="s">
        <v>4672</v>
      </c>
      <c r="B4675" s="2" t="s">
        <v>3</v>
      </c>
      <c r="C4675" s="1" t="str">
        <f>IFERROR(__xludf.DUMMYFUNCTION("GOOGLETRANSLATE(A4675,""en"",""pt-br"")"),"precário")</f>
        <v>precário</v>
      </c>
      <c r="D4675" s="1" t="str">
        <f>IFERROR(__xludf.DUMMYFUNCTION("GOOGLETRANSLATE(B4675,""en"",""pt-br"")"),"negativo")</f>
        <v>negativo</v>
      </c>
    </row>
    <row r="4676" ht="15.75" customHeight="1">
      <c r="A4676" s="2" t="s">
        <v>4673</v>
      </c>
      <c r="B4676" s="2" t="s">
        <v>3</v>
      </c>
      <c r="C4676" s="1" t="str">
        <f>IFERROR(__xludf.DUMMYFUNCTION("GOOGLETRANSLATE(A4676,""en"",""pt-br"")"),"precariamente")</f>
        <v>precariamente</v>
      </c>
      <c r="D4676" s="1" t="str">
        <f>IFERROR(__xludf.DUMMYFUNCTION("GOOGLETRANSLATE(B4676,""en"",""pt-br"")"),"negativo")</f>
        <v>negativo</v>
      </c>
    </row>
    <row r="4677" ht="15.75" customHeight="1">
      <c r="A4677" s="2" t="s">
        <v>4674</v>
      </c>
      <c r="B4677" s="2" t="s">
        <v>14</v>
      </c>
      <c r="C4677" s="1" t="str">
        <f>IFERROR(__xludf.DUMMYFUNCTION("GOOGLETRANSLATE(A4677,""en"",""pt-br"")"),"precioso")</f>
        <v>precioso</v>
      </c>
      <c r="D4677" s="1" t="str">
        <f>IFERROR(__xludf.DUMMYFUNCTION("GOOGLETRANSLATE(B4677,""en"",""pt-br"")"),"positivo")</f>
        <v>positivo</v>
      </c>
    </row>
    <row r="4678" ht="15.75" customHeight="1">
      <c r="A4678" s="2" t="s">
        <v>4675</v>
      </c>
      <c r="B4678" s="2" t="s">
        <v>3</v>
      </c>
      <c r="C4678" s="1" t="str">
        <f>IFERROR(__xludf.DUMMYFUNCTION("GOOGLETRANSLATE(A4678,""en"",""pt-br"")"),"precipitado")</f>
        <v>precipitado</v>
      </c>
      <c r="D4678" s="1" t="str">
        <f>IFERROR(__xludf.DUMMYFUNCTION("GOOGLETRANSLATE(B4678,""en"",""pt-br"")"),"negativo")</f>
        <v>negativo</v>
      </c>
    </row>
    <row r="4679" ht="15.75" customHeight="1">
      <c r="A4679" s="2" t="s">
        <v>4676</v>
      </c>
      <c r="B4679" s="2" t="s">
        <v>3</v>
      </c>
      <c r="C4679" s="1" t="str">
        <f>IFERROR(__xludf.DUMMYFUNCTION("GOOGLETRANSLATE(A4679,""en"",""pt-br"")"),"íngreme")</f>
        <v>íngreme</v>
      </c>
      <c r="D4679" s="1" t="str">
        <f>IFERROR(__xludf.DUMMYFUNCTION("GOOGLETRANSLATE(B4679,""en"",""pt-br"")"),"negativo")</f>
        <v>negativo</v>
      </c>
    </row>
    <row r="4680" ht="15.75" customHeight="1">
      <c r="A4680" s="2" t="s">
        <v>4677</v>
      </c>
      <c r="B4680" s="2" t="s">
        <v>14</v>
      </c>
      <c r="C4680" s="1" t="str">
        <f>IFERROR(__xludf.DUMMYFUNCTION("GOOGLETRANSLATE(A4680,""en"",""pt-br"")"),"preciso")</f>
        <v>preciso</v>
      </c>
      <c r="D4680" s="1" t="str">
        <f>IFERROR(__xludf.DUMMYFUNCTION("GOOGLETRANSLATE(B4680,""en"",""pt-br"")"),"positivo")</f>
        <v>positivo</v>
      </c>
    </row>
    <row r="4681" ht="15.75" customHeight="1">
      <c r="A4681" s="2" t="s">
        <v>4678</v>
      </c>
      <c r="B4681" s="2" t="s">
        <v>14</v>
      </c>
      <c r="C4681" s="1" t="str">
        <f>IFERROR(__xludf.DUMMYFUNCTION("GOOGLETRANSLATE(A4681,""en"",""pt-br"")"),"justamente")</f>
        <v>justamente</v>
      </c>
      <c r="D4681" s="1" t="str">
        <f>IFERROR(__xludf.DUMMYFUNCTION("GOOGLETRANSLATE(B4681,""en"",""pt-br"")"),"positivo")</f>
        <v>positivo</v>
      </c>
    </row>
    <row r="4682" ht="15.75" customHeight="1">
      <c r="A4682" s="2" t="s">
        <v>4679</v>
      </c>
      <c r="B4682" s="2" t="s">
        <v>3</v>
      </c>
      <c r="C4682" s="1" t="str">
        <f>IFERROR(__xludf.DUMMYFUNCTION("GOOGLETRANSLATE(A4682,""en"",""pt-br"")"),"predatório")</f>
        <v>predatório</v>
      </c>
      <c r="D4682" s="1" t="str">
        <f>IFERROR(__xludf.DUMMYFUNCTION("GOOGLETRANSLATE(B4682,""en"",""pt-br"")"),"negativo")</f>
        <v>negativo</v>
      </c>
    </row>
    <row r="4683" ht="15.75" customHeight="1">
      <c r="A4683" s="2" t="s">
        <v>4680</v>
      </c>
      <c r="B4683" s="2" t="s">
        <v>3</v>
      </c>
      <c r="C4683" s="1" t="str">
        <f>IFERROR(__xludf.DUMMYFUNCTION("GOOGLETRANSLATE(A4683,""en"",""pt-br"")"),"dilema")</f>
        <v>dilema</v>
      </c>
      <c r="D4683" s="1" t="str">
        <f>IFERROR(__xludf.DUMMYFUNCTION("GOOGLETRANSLATE(B4683,""en"",""pt-br"")"),"negativo")</f>
        <v>negativo</v>
      </c>
    </row>
    <row r="4684" ht="15.75" customHeight="1">
      <c r="A4684" s="2" t="s">
        <v>4681</v>
      </c>
      <c r="B4684" s="2" t="s">
        <v>14</v>
      </c>
      <c r="C4684" s="1" t="str">
        <f>IFERROR(__xludf.DUMMYFUNCTION("GOOGLETRANSLATE(A4684,""en"",""pt-br"")"),"preeminente")</f>
        <v>preeminente</v>
      </c>
      <c r="D4684" s="1" t="str">
        <f>IFERROR(__xludf.DUMMYFUNCTION("GOOGLETRANSLATE(B4684,""en"",""pt-br"")"),"positivo")</f>
        <v>positivo</v>
      </c>
    </row>
    <row r="4685" ht="15.75" customHeight="1">
      <c r="A4685" s="2" t="s">
        <v>4682</v>
      </c>
      <c r="B4685" s="2" t="s">
        <v>14</v>
      </c>
      <c r="C4685" s="1" t="str">
        <f>IFERROR(__xludf.DUMMYFUNCTION("GOOGLETRANSLATE(A4685,""en"",""pt-br"")"),"preferir")</f>
        <v>preferir</v>
      </c>
      <c r="D4685" s="1" t="str">
        <f>IFERROR(__xludf.DUMMYFUNCTION("GOOGLETRANSLATE(B4685,""en"",""pt-br"")"),"positivo")</f>
        <v>positivo</v>
      </c>
    </row>
    <row r="4686" ht="15.75" customHeight="1">
      <c r="A4686" s="2" t="s">
        <v>4683</v>
      </c>
      <c r="B4686" s="2" t="s">
        <v>14</v>
      </c>
      <c r="C4686" s="1" t="str">
        <f>IFERROR(__xludf.DUMMYFUNCTION("GOOGLETRANSLATE(A4686,""en"",""pt-br"")"),"preferível")</f>
        <v>preferível</v>
      </c>
      <c r="D4686" s="1" t="str">
        <f>IFERROR(__xludf.DUMMYFUNCTION("GOOGLETRANSLATE(B4686,""en"",""pt-br"")"),"positivo")</f>
        <v>positivo</v>
      </c>
    </row>
    <row r="4687" ht="15.75" customHeight="1">
      <c r="A4687" s="2" t="s">
        <v>4684</v>
      </c>
      <c r="B4687" s="2" t="s">
        <v>14</v>
      </c>
      <c r="C4687" s="1" t="str">
        <f>IFERROR(__xludf.DUMMYFUNCTION("GOOGLETRANSLATE(A4687,""en"",""pt-br"")"),"preferencialmente")</f>
        <v>preferencialmente</v>
      </c>
      <c r="D4687" s="1" t="str">
        <f>IFERROR(__xludf.DUMMYFUNCTION("GOOGLETRANSLATE(B4687,""en"",""pt-br"")"),"positivo")</f>
        <v>positivo</v>
      </c>
    </row>
    <row r="4688" ht="15.75" customHeight="1">
      <c r="A4688" s="2" t="s">
        <v>4685</v>
      </c>
      <c r="B4688" s="2" t="s">
        <v>14</v>
      </c>
      <c r="C4688" s="1" t="str">
        <f>IFERROR(__xludf.DUMMYFUNCTION("GOOGLETRANSLATE(A4688,""en"",""pt-br"")"),"preferido")</f>
        <v>preferido</v>
      </c>
      <c r="D4688" s="1" t="str">
        <f>IFERROR(__xludf.DUMMYFUNCTION("GOOGLETRANSLATE(B4688,""en"",""pt-br"")"),"positivo")</f>
        <v>positivo</v>
      </c>
    </row>
    <row r="4689" ht="15.75" customHeight="1">
      <c r="A4689" s="2" t="s">
        <v>4686</v>
      </c>
      <c r="B4689" s="2" t="s">
        <v>14</v>
      </c>
      <c r="C4689" s="1" t="str">
        <f>IFERROR(__xludf.DUMMYFUNCTION("GOOGLETRANSLATE(A4689,""en"",""pt-br"")"),"preferes")</f>
        <v>preferes</v>
      </c>
      <c r="D4689" s="1" t="str">
        <f>IFERROR(__xludf.DUMMYFUNCTION("GOOGLETRANSLATE(B4689,""en"",""pt-br"")"),"positivo")</f>
        <v>positivo</v>
      </c>
    </row>
    <row r="4690" ht="15.75" customHeight="1">
      <c r="A4690" s="2" t="s">
        <v>4687</v>
      </c>
      <c r="B4690" s="2" t="s">
        <v>14</v>
      </c>
      <c r="C4690" s="1" t="str">
        <f>IFERROR(__xludf.DUMMYFUNCTION("GOOGLETRANSLATE(A4690,""en"",""pt-br"")"),"preferindo")</f>
        <v>preferindo</v>
      </c>
      <c r="D4690" s="1" t="str">
        <f>IFERROR(__xludf.DUMMYFUNCTION("GOOGLETRANSLATE(B4690,""en"",""pt-br"")"),"positivo")</f>
        <v>positivo</v>
      </c>
    </row>
    <row r="4691" ht="15.75" customHeight="1">
      <c r="A4691" s="2" t="s">
        <v>4688</v>
      </c>
      <c r="B4691" s="2" t="s">
        <v>14</v>
      </c>
      <c r="C4691" s="1" t="str">
        <f>IFERROR(__xludf.DUMMYFUNCTION("GOOGLETRANSLATE(A4691,""en"",""pt-br"")"),"prefere")</f>
        <v>prefere</v>
      </c>
      <c r="D4691" s="1" t="str">
        <f>IFERROR(__xludf.DUMMYFUNCTION("GOOGLETRANSLATE(B4691,""en"",""pt-br"")"),"positivo")</f>
        <v>positivo</v>
      </c>
    </row>
    <row r="4692" ht="15.75" customHeight="1">
      <c r="A4692" s="2" t="s">
        <v>4689</v>
      </c>
      <c r="B4692" s="2" t="s">
        <v>3</v>
      </c>
      <c r="C4692" s="1" t="str">
        <f>IFERROR(__xludf.DUMMYFUNCTION("GOOGLETRANSLATE(A4692,""en"",""pt-br"")"),"Prejulgue")</f>
        <v>Prejulgue</v>
      </c>
      <c r="D4692" s="1" t="str">
        <f>IFERROR(__xludf.DUMMYFUNCTION("GOOGLETRANSLATE(B4692,""en"",""pt-br"")"),"negativo")</f>
        <v>negativo</v>
      </c>
    </row>
    <row r="4693" ht="15.75" customHeight="1">
      <c r="A4693" s="2" t="s">
        <v>4690</v>
      </c>
      <c r="B4693" s="2" t="s">
        <v>3</v>
      </c>
      <c r="C4693" s="1" t="str">
        <f>IFERROR(__xludf.DUMMYFUNCTION("GOOGLETRANSLATE(A4693,""en"",""pt-br"")"),"preconceito")</f>
        <v>preconceito</v>
      </c>
      <c r="D4693" s="1" t="str">
        <f>IFERROR(__xludf.DUMMYFUNCTION("GOOGLETRANSLATE(B4693,""en"",""pt-br"")"),"negativo")</f>
        <v>negativo</v>
      </c>
    </row>
    <row r="4694" ht="15.75" customHeight="1">
      <c r="A4694" s="2" t="s">
        <v>4691</v>
      </c>
      <c r="B4694" s="2" t="s">
        <v>3</v>
      </c>
      <c r="C4694" s="1" t="str">
        <f>IFERROR(__xludf.DUMMYFUNCTION("GOOGLETRANSLATE(A4694,""en"",""pt-br"")"),"preconceitos")</f>
        <v>preconceitos</v>
      </c>
      <c r="D4694" s="1" t="str">
        <f>IFERROR(__xludf.DUMMYFUNCTION("GOOGLETRANSLATE(B4694,""en"",""pt-br"")"),"negativo")</f>
        <v>negativo</v>
      </c>
    </row>
    <row r="4695" ht="15.75" customHeight="1">
      <c r="A4695" s="2" t="s">
        <v>4692</v>
      </c>
      <c r="B4695" s="2" t="s">
        <v>3</v>
      </c>
      <c r="C4695" s="1" t="str">
        <f>IFERROR(__xludf.DUMMYFUNCTION("GOOGLETRANSLATE(A4695,""en"",""pt-br"")"),"prejudicial")</f>
        <v>prejudicial</v>
      </c>
      <c r="D4695" s="1" t="str">
        <f>IFERROR(__xludf.DUMMYFUNCTION("GOOGLETRANSLATE(B4695,""en"",""pt-br"")"),"negativo")</f>
        <v>negativo</v>
      </c>
    </row>
    <row r="4696" ht="15.75" customHeight="1">
      <c r="A4696" s="2" t="s">
        <v>4693</v>
      </c>
      <c r="B4696" s="2" t="s">
        <v>3</v>
      </c>
      <c r="C4696" s="1" t="str">
        <f>IFERROR(__xludf.DUMMYFUNCTION("GOOGLETRANSLATE(A4696,""en"",""pt-br"")"),"premeditado")</f>
        <v>premeditado</v>
      </c>
      <c r="D4696" s="1" t="str">
        <f>IFERROR(__xludf.DUMMYFUNCTION("GOOGLETRANSLATE(B4696,""en"",""pt-br"")"),"negativo")</f>
        <v>negativo</v>
      </c>
    </row>
    <row r="4697" ht="15.75" customHeight="1">
      <c r="A4697" s="2" t="s">
        <v>4694</v>
      </c>
      <c r="B4697" s="2" t="s">
        <v>14</v>
      </c>
      <c r="C4697" s="1" t="str">
        <f>IFERROR(__xludf.DUMMYFUNCTION("GOOGLETRANSLATE(A4697,""en"",""pt-br"")"),"Premier")</f>
        <v>Premier</v>
      </c>
      <c r="D4697" s="1" t="str">
        <f>IFERROR(__xludf.DUMMYFUNCTION("GOOGLETRANSLATE(B4697,""en"",""pt-br"")"),"positivo")</f>
        <v>positivo</v>
      </c>
    </row>
    <row r="4698" ht="15.75" customHeight="1">
      <c r="A4698" s="2" t="s">
        <v>4695</v>
      </c>
      <c r="B4698" s="2" t="s">
        <v>3</v>
      </c>
      <c r="C4698" s="1" t="str">
        <f>IFERROR(__xludf.DUMMYFUNCTION("GOOGLETRANSLATE(A4698,""en"",""pt-br"")"),"preocupar")</f>
        <v>preocupar</v>
      </c>
      <c r="D4698" s="1" t="str">
        <f>IFERROR(__xludf.DUMMYFUNCTION("GOOGLETRANSLATE(B4698,""en"",""pt-br"")"),"negativo")</f>
        <v>negativo</v>
      </c>
    </row>
    <row r="4699" ht="15.75" customHeight="1">
      <c r="A4699" s="2" t="s">
        <v>4696</v>
      </c>
      <c r="B4699" s="2" t="s">
        <v>3</v>
      </c>
      <c r="C4699" s="1" t="str">
        <f>IFERROR(__xludf.DUMMYFUNCTION("GOOGLETRANSLATE(A4699,""en"",""pt-br"")"),"absurdo")</f>
        <v>absurdo</v>
      </c>
      <c r="D4699" s="1" t="str">
        <f>IFERROR(__xludf.DUMMYFUNCTION("GOOGLETRANSLATE(B4699,""en"",""pt-br"")"),"negativo")</f>
        <v>negativo</v>
      </c>
    </row>
    <row r="4700" ht="15.75" customHeight="1">
      <c r="A4700" s="2" t="s">
        <v>4697</v>
      </c>
      <c r="B4700" s="2" t="s">
        <v>3</v>
      </c>
      <c r="C4700" s="1" t="str">
        <f>IFERROR(__xludf.DUMMYFUNCTION("GOOGLETRANSLATE(A4700,""en"",""pt-br"")"),"preposterously")</f>
        <v>preposterously</v>
      </c>
      <c r="D4700" s="1" t="str">
        <f>IFERROR(__xludf.DUMMYFUNCTION("GOOGLETRANSLATE(B4700,""en"",""pt-br"")"),"negativo")</f>
        <v>negativo</v>
      </c>
    </row>
    <row r="4701" ht="15.75" customHeight="1">
      <c r="A4701" s="2" t="s">
        <v>4698</v>
      </c>
      <c r="B4701" s="2" t="s">
        <v>14</v>
      </c>
      <c r="C4701" s="1" t="str">
        <f>IFERROR(__xludf.DUMMYFUNCTION("GOOGLETRANSLATE(A4701,""en"",""pt-br"")"),"prestígio")</f>
        <v>prestígio</v>
      </c>
      <c r="D4701" s="1" t="str">
        <f>IFERROR(__xludf.DUMMYFUNCTION("GOOGLETRANSLATE(B4701,""en"",""pt-br"")"),"positivo")</f>
        <v>positivo</v>
      </c>
    </row>
    <row r="4702" ht="15.75" customHeight="1">
      <c r="A4702" s="2" t="s">
        <v>4699</v>
      </c>
      <c r="B4702" s="2" t="s">
        <v>14</v>
      </c>
      <c r="C4702" s="1" t="str">
        <f>IFERROR(__xludf.DUMMYFUNCTION("GOOGLETRANSLATE(A4702,""en"",""pt-br"")"),"Prestigiado")</f>
        <v>Prestigiado</v>
      </c>
      <c r="D4702" s="1" t="str">
        <f>IFERROR(__xludf.DUMMYFUNCTION("GOOGLETRANSLATE(B4702,""en"",""pt-br"")"),"positivo")</f>
        <v>positivo</v>
      </c>
    </row>
    <row r="4703" ht="15.75" customHeight="1">
      <c r="A4703" s="2" t="s">
        <v>4700</v>
      </c>
      <c r="B4703" s="2" t="s">
        <v>3</v>
      </c>
      <c r="C4703" s="1" t="str">
        <f>IFERROR(__xludf.DUMMYFUNCTION("GOOGLETRANSLATE(A4703,""en"",""pt-br"")"),"presunçoso")</f>
        <v>presunçoso</v>
      </c>
      <c r="D4703" s="1" t="str">
        <f>IFERROR(__xludf.DUMMYFUNCTION("GOOGLETRANSLATE(B4703,""en"",""pt-br"")"),"negativo")</f>
        <v>negativo</v>
      </c>
    </row>
    <row r="4704" ht="15.75" customHeight="1">
      <c r="A4704" s="2" t="s">
        <v>4701</v>
      </c>
      <c r="B4704" s="2" t="s">
        <v>3</v>
      </c>
      <c r="C4704" s="1" t="str">
        <f>IFERROR(__xludf.DUMMYFUNCTION("GOOGLETRANSLATE(A4704,""en"",""pt-br"")"),"presunçosamente")</f>
        <v>presunçosamente</v>
      </c>
      <c r="D4704" s="1" t="str">
        <f>IFERROR(__xludf.DUMMYFUNCTION("GOOGLETRANSLATE(B4704,""en"",""pt-br"")"),"negativo")</f>
        <v>negativo</v>
      </c>
    </row>
    <row r="4705" ht="15.75" customHeight="1">
      <c r="A4705" s="2" t="s">
        <v>4702</v>
      </c>
      <c r="B4705" s="2" t="s">
        <v>3</v>
      </c>
      <c r="C4705" s="1" t="str">
        <f>IFERROR(__xludf.DUMMYFUNCTION("GOOGLETRANSLATE(A4705,""en"",""pt-br"")"),"pretensão")</f>
        <v>pretensão</v>
      </c>
      <c r="D4705" s="1" t="str">
        <f>IFERROR(__xludf.DUMMYFUNCTION("GOOGLETRANSLATE(B4705,""en"",""pt-br"")"),"negativo")</f>
        <v>negativo</v>
      </c>
    </row>
    <row r="4706" ht="15.75" customHeight="1">
      <c r="A4706" s="2" t="s">
        <v>4703</v>
      </c>
      <c r="B4706" s="2" t="s">
        <v>3</v>
      </c>
      <c r="C4706" s="1" t="str">
        <f>IFERROR(__xludf.DUMMYFUNCTION("GOOGLETRANSLATE(A4706,""en"",""pt-br"")"),"fingir")</f>
        <v>fingir</v>
      </c>
      <c r="D4706" s="1" t="str">
        <f>IFERROR(__xludf.DUMMYFUNCTION("GOOGLETRANSLATE(B4706,""en"",""pt-br"")"),"negativo")</f>
        <v>negativo</v>
      </c>
    </row>
    <row r="4707" ht="15.75" customHeight="1">
      <c r="A4707" s="2" t="s">
        <v>4704</v>
      </c>
      <c r="B4707" s="2" t="s">
        <v>3</v>
      </c>
      <c r="C4707" s="1" t="str">
        <f>IFERROR(__xludf.DUMMYFUNCTION("GOOGLETRANSLATE(A4707,""en"",""pt-br"")"),"pretensão")</f>
        <v>pretensão</v>
      </c>
      <c r="D4707" s="1" t="str">
        <f>IFERROR(__xludf.DUMMYFUNCTION("GOOGLETRANSLATE(B4707,""en"",""pt-br"")"),"negativo")</f>
        <v>negativo</v>
      </c>
    </row>
    <row r="4708" ht="15.75" customHeight="1">
      <c r="A4708" s="2" t="s">
        <v>4705</v>
      </c>
      <c r="B4708" s="2" t="s">
        <v>3</v>
      </c>
      <c r="C4708" s="1" t="str">
        <f>IFERROR(__xludf.DUMMYFUNCTION("GOOGLETRANSLATE(A4708,""en"",""pt-br"")"),"pretensioso")</f>
        <v>pretensioso</v>
      </c>
      <c r="D4708" s="1" t="str">
        <f>IFERROR(__xludf.DUMMYFUNCTION("GOOGLETRANSLATE(B4708,""en"",""pt-br"")"),"negativo")</f>
        <v>negativo</v>
      </c>
    </row>
    <row r="4709" ht="15.75" customHeight="1">
      <c r="A4709" s="2" t="s">
        <v>4706</v>
      </c>
      <c r="B4709" s="2" t="s">
        <v>3</v>
      </c>
      <c r="C4709" s="1" t="str">
        <f>IFERROR(__xludf.DUMMYFUNCTION("GOOGLETRANSLATE(A4709,""en"",""pt-br"")"),"pretensiosamente")</f>
        <v>pretensiosamente</v>
      </c>
      <c r="D4709" s="1" t="str">
        <f>IFERROR(__xludf.DUMMYFUNCTION("GOOGLETRANSLATE(B4709,""en"",""pt-br"")"),"negativo")</f>
        <v>negativo</v>
      </c>
    </row>
    <row r="4710" ht="15.75" customHeight="1">
      <c r="A4710" s="2" t="s">
        <v>4707</v>
      </c>
      <c r="B4710" s="2" t="s">
        <v>14</v>
      </c>
      <c r="C4710" s="1" t="str">
        <f>IFERROR(__xludf.DUMMYFUNCTION("GOOGLETRANSLATE(A4710,""en"",""pt-br"")"),"lindamente")</f>
        <v>lindamente</v>
      </c>
      <c r="D4710" s="1" t="str">
        <f>IFERROR(__xludf.DUMMYFUNCTION("GOOGLETRANSLATE(B4710,""en"",""pt-br"")"),"positivo")</f>
        <v>positivo</v>
      </c>
    </row>
    <row r="4711" ht="15.75" customHeight="1">
      <c r="A4711" s="2" t="s">
        <v>4708</v>
      </c>
      <c r="B4711" s="2" t="s">
        <v>14</v>
      </c>
      <c r="C4711" s="1" t="str">
        <f>IFERROR(__xludf.DUMMYFUNCTION("GOOGLETRANSLATE(A4711,""en"",""pt-br"")"),"bonita")</f>
        <v>bonita</v>
      </c>
      <c r="D4711" s="1" t="str">
        <f>IFERROR(__xludf.DUMMYFUNCTION("GOOGLETRANSLATE(B4711,""en"",""pt-br"")"),"positivo")</f>
        <v>positivo</v>
      </c>
    </row>
    <row r="4712" ht="15.75" customHeight="1">
      <c r="A4712" s="2" t="s">
        <v>4709</v>
      </c>
      <c r="B4712" s="2" t="s">
        <v>3</v>
      </c>
      <c r="C4712" s="1" t="str">
        <f>IFERROR(__xludf.DUMMYFUNCTION("GOOGLETRANSLATE(A4712,""en"",""pt-br"")"),"prevaricar")</f>
        <v>prevaricar</v>
      </c>
      <c r="D4712" s="1" t="str">
        <f>IFERROR(__xludf.DUMMYFUNCTION("GOOGLETRANSLATE(B4712,""en"",""pt-br"")"),"negativo")</f>
        <v>negativo</v>
      </c>
    </row>
    <row r="4713" ht="15.75" customHeight="1">
      <c r="A4713" s="2" t="s">
        <v>4710</v>
      </c>
      <c r="B4713" s="2" t="s">
        <v>14</v>
      </c>
      <c r="C4713" s="1" t="str">
        <f>IFERROR(__xludf.DUMMYFUNCTION("GOOGLETRANSLATE(A4713,""en"",""pt-br"")"),"impagável")</f>
        <v>impagável</v>
      </c>
      <c r="D4713" s="1" t="str">
        <f>IFERROR(__xludf.DUMMYFUNCTION("GOOGLETRANSLATE(B4713,""en"",""pt-br"")"),"positivo")</f>
        <v>positivo</v>
      </c>
    </row>
    <row r="4714" ht="15.75" customHeight="1">
      <c r="A4714" s="2" t="s">
        <v>4711</v>
      </c>
      <c r="B4714" s="2" t="s">
        <v>3</v>
      </c>
      <c r="C4714" s="1" t="str">
        <f>IFERROR(__xludf.DUMMYFUNCTION("GOOGLETRANSLATE(A4714,""en"",""pt-br"")"),"caro")</f>
        <v>caro</v>
      </c>
      <c r="D4714" s="1" t="str">
        <f>IFERROR(__xludf.DUMMYFUNCTION("GOOGLETRANSLATE(B4714,""en"",""pt-br"")"),"negativo")</f>
        <v>negativo</v>
      </c>
    </row>
    <row r="4715" ht="15.75" customHeight="1">
      <c r="A4715" s="2" t="s">
        <v>4712</v>
      </c>
      <c r="B4715" s="2" t="s">
        <v>3</v>
      </c>
      <c r="C4715" s="1" t="str">
        <f>IFERROR(__xludf.DUMMYFUNCTION("GOOGLETRANSLATE(A4715,""en"",""pt-br"")"),"mais caros")</f>
        <v>mais caros</v>
      </c>
      <c r="D4715" s="1" t="str">
        <f>IFERROR(__xludf.DUMMYFUNCTION("GOOGLETRANSLATE(B4715,""en"",""pt-br"")"),"negativo")</f>
        <v>negativo</v>
      </c>
    </row>
    <row r="4716" ht="15.75" customHeight="1">
      <c r="A4716" s="2" t="s">
        <v>4713</v>
      </c>
      <c r="B4716" s="2" t="s">
        <v>3</v>
      </c>
      <c r="C4716" s="1" t="str">
        <f>IFERROR(__xludf.DUMMYFUNCTION("GOOGLETRANSLATE(A4716,""en"",""pt-br"")"),"picada")</f>
        <v>picada</v>
      </c>
      <c r="D4716" s="1" t="str">
        <f>IFERROR(__xludf.DUMMYFUNCTION("GOOGLETRANSLATE(B4716,""en"",""pt-br"")"),"negativo")</f>
        <v>negativo</v>
      </c>
    </row>
    <row r="4717" ht="15.75" customHeight="1">
      <c r="A4717" s="2" t="s">
        <v>4714</v>
      </c>
      <c r="B4717" s="2" t="s">
        <v>3</v>
      </c>
      <c r="C4717" s="1" t="str">
        <f>IFERROR(__xludf.DUMMYFUNCTION("GOOGLETRANSLATE(A4717,""en"",""pt-br"")"),"formigar")</f>
        <v>formigar</v>
      </c>
      <c r="D4717" s="1" t="str">
        <f>IFERROR(__xludf.DUMMYFUNCTION("GOOGLETRANSLATE(B4717,""en"",""pt-br"")"),"negativo")</f>
        <v>negativo</v>
      </c>
    </row>
    <row r="4718" ht="15.75" customHeight="1">
      <c r="A4718" s="2" t="s">
        <v>4715</v>
      </c>
      <c r="B4718" s="2" t="s">
        <v>3</v>
      </c>
      <c r="C4718" s="1" t="str">
        <f>IFERROR(__xludf.DUMMYFUNCTION("GOOGLETRANSLATE(A4718,""en"",""pt-br"")"),"espinhos")</f>
        <v>espinhos</v>
      </c>
      <c r="D4718" s="1" t="str">
        <f>IFERROR(__xludf.DUMMYFUNCTION("GOOGLETRANSLATE(B4718,""en"",""pt-br"")"),"negativo")</f>
        <v>negativo</v>
      </c>
    </row>
    <row r="4719" ht="15.75" customHeight="1">
      <c r="A4719" s="2" t="s">
        <v>4716</v>
      </c>
      <c r="B4719" s="2" t="s">
        <v>14</v>
      </c>
      <c r="C4719" s="1" t="str">
        <f>IFERROR(__xludf.DUMMYFUNCTION("GOOGLETRANSLATE(A4719,""en"",""pt-br"")"),"orgulho")</f>
        <v>orgulho</v>
      </c>
      <c r="D4719" s="1" t="str">
        <f>IFERROR(__xludf.DUMMYFUNCTION("GOOGLETRANSLATE(B4719,""en"",""pt-br"")"),"positivo")</f>
        <v>positivo</v>
      </c>
    </row>
    <row r="4720" ht="15.75" customHeight="1">
      <c r="A4720" s="2" t="s">
        <v>4717</v>
      </c>
      <c r="B4720" s="2" t="s">
        <v>3</v>
      </c>
      <c r="C4720" s="1" t="str">
        <f>IFERROR(__xludf.DUMMYFUNCTION("GOOGLETRANSLATE(A4720,""en"",""pt-br"")"),"orgulhosos")</f>
        <v>orgulhosos</v>
      </c>
      <c r="D4720" s="1" t="str">
        <f>IFERROR(__xludf.DUMMYFUNCTION("GOOGLETRANSLATE(B4720,""en"",""pt-br"")"),"negativo")</f>
        <v>negativo</v>
      </c>
    </row>
    <row r="4721" ht="15.75" customHeight="1">
      <c r="A4721" s="2" t="s">
        <v>4718</v>
      </c>
      <c r="B4721" s="2" t="s">
        <v>3</v>
      </c>
      <c r="C4721" s="1" t="str">
        <f>IFERROR(__xludf.DUMMYFUNCTION("GOOGLETRANSLATE(A4721,""en"",""pt-br"")"),"prik")</f>
        <v>prik</v>
      </c>
      <c r="D4721" s="1" t="str">
        <f>IFERROR(__xludf.DUMMYFUNCTION("GOOGLETRANSLATE(B4721,""en"",""pt-br"")"),"negativo")</f>
        <v>negativo</v>
      </c>
    </row>
    <row r="4722" ht="15.75" customHeight="1">
      <c r="A4722" s="2" t="s">
        <v>4719</v>
      </c>
      <c r="B4722" s="2" t="s">
        <v>3</v>
      </c>
      <c r="C4722" s="1" t="str">
        <f>IFERROR(__xludf.DUMMYFUNCTION("GOOGLETRANSLATE(A4722,""en"",""pt-br"")"),"primitivo")</f>
        <v>primitivo</v>
      </c>
      <c r="D4722" s="1" t="str">
        <f>IFERROR(__xludf.DUMMYFUNCTION("GOOGLETRANSLATE(B4722,""en"",""pt-br"")"),"negativo")</f>
        <v>negativo</v>
      </c>
    </row>
    <row r="4723" ht="15.75" customHeight="1">
      <c r="A4723" s="2" t="s">
        <v>4720</v>
      </c>
      <c r="B4723" s="2" t="s">
        <v>14</v>
      </c>
      <c r="C4723" s="1" t="str">
        <f>IFERROR(__xludf.DUMMYFUNCTION("GOOGLETRANSLATE(A4723,""en"",""pt-br"")"),"principled")</f>
        <v>principled</v>
      </c>
      <c r="D4723" s="1" t="str">
        <f>IFERROR(__xludf.DUMMYFUNCTION("GOOGLETRANSLATE(B4723,""en"",""pt-br"")"),"positivo")</f>
        <v>positivo</v>
      </c>
    </row>
    <row r="4724" ht="15.75" customHeight="1">
      <c r="A4724" s="2" t="s">
        <v>4721</v>
      </c>
      <c r="B4724" s="2" t="s">
        <v>3</v>
      </c>
      <c r="C4724" s="1" t="str">
        <f>IFERROR(__xludf.DUMMYFUNCTION("GOOGLETRANSLATE(A4724,""en"",""pt-br"")"),"prisão")</f>
        <v>prisão</v>
      </c>
      <c r="D4724" s="1" t="str">
        <f>IFERROR(__xludf.DUMMYFUNCTION("GOOGLETRANSLATE(B4724,""en"",""pt-br"")"),"negativo")</f>
        <v>negativo</v>
      </c>
    </row>
    <row r="4725" ht="15.75" customHeight="1">
      <c r="A4725" s="2" t="s">
        <v>4722</v>
      </c>
      <c r="B4725" s="2" t="s">
        <v>3</v>
      </c>
      <c r="C4725" s="1" t="str">
        <f>IFERROR(__xludf.DUMMYFUNCTION("GOOGLETRANSLATE(A4725,""en"",""pt-br"")"),"prisioneiro")</f>
        <v>prisioneiro</v>
      </c>
      <c r="D4725" s="1" t="str">
        <f>IFERROR(__xludf.DUMMYFUNCTION("GOOGLETRANSLATE(B4725,""en"",""pt-br"")"),"negativo")</f>
        <v>negativo</v>
      </c>
    </row>
    <row r="4726" ht="15.75" customHeight="1">
      <c r="A4726" s="2" t="s">
        <v>4723</v>
      </c>
      <c r="B4726" s="2" t="s">
        <v>14</v>
      </c>
      <c r="C4726" s="1" t="str">
        <f>IFERROR(__xludf.DUMMYFUNCTION("GOOGLETRANSLATE(A4726,""en"",""pt-br"")"),"privilégio")</f>
        <v>privilégio</v>
      </c>
      <c r="D4726" s="1" t="str">
        <f>IFERROR(__xludf.DUMMYFUNCTION("GOOGLETRANSLATE(B4726,""en"",""pt-br"")"),"positivo")</f>
        <v>positivo</v>
      </c>
    </row>
    <row r="4727" ht="15.75" customHeight="1">
      <c r="A4727" s="2" t="s">
        <v>4724</v>
      </c>
      <c r="B4727" s="2" t="s">
        <v>14</v>
      </c>
      <c r="C4727" s="1" t="str">
        <f>IFERROR(__xludf.DUMMYFUNCTION("GOOGLETRANSLATE(A4727,""en"",""pt-br"")"),"privilegiado")</f>
        <v>privilegiado</v>
      </c>
      <c r="D4727" s="1" t="str">
        <f>IFERROR(__xludf.DUMMYFUNCTION("GOOGLETRANSLATE(B4727,""en"",""pt-br"")"),"positivo")</f>
        <v>positivo</v>
      </c>
    </row>
    <row r="4728" ht="15.75" customHeight="1">
      <c r="A4728" s="2" t="s">
        <v>4725</v>
      </c>
      <c r="B4728" s="2" t="s">
        <v>14</v>
      </c>
      <c r="C4728" s="1" t="str">
        <f>IFERROR(__xludf.DUMMYFUNCTION("GOOGLETRANSLATE(A4728,""en"",""pt-br"")"),"prêmio")</f>
        <v>prêmio</v>
      </c>
      <c r="D4728" s="1" t="str">
        <f>IFERROR(__xludf.DUMMYFUNCTION("GOOGLETRANSLATE(B4728,""en"",""pt-br"")"),"positivo")</f>
        <v>positivo</v>
      </c>
    </row>
    <row r="4729" ht="15.75" customHeight="1">
      <c r="A4729" s="2" t="s">
        <v>4726</v>
      </c>
      <c r="B4729" s="2" t="s">
        <v>14</v>
      </c>
      <c r="C4729" s="1" t="str">
        <f>IFERROR(__xludf.DUMMYFUNCTION("GOOGLETRANSLATE(A4729,""en"",""pt-br"")"),"proativo")</f>
        <v>proativo</v>
      </c>
      <c r="D4729" s="1" t="str">
        <f>IFERROR(__xludf.DUMMYFUNCTION("GOOGLETRANSLATE(B4729,""en"",""pt-br"")"),"positivo")</f>
        <v>positivo</v>
      </c>
    </row>
    <row r="4730" ht="15.75" customHeight="1">
      <c r="A4730" s="2" t="s">
        <v>4727</v>
      </c>
      <c r="B4730" s="2" t="s">
        <v>3</v>
      </c>
      <c r="C4730" s="1" t="str">
        <f>IFERROR(__xludf.DUMMYFUNCTION("GOOGLETRANSLATE(A4730,""en"",""pt-br"")"),"problema")</f>
        <v>problema</v>
      </c>
      <c r="D4730" s="1" t="str">
        <f>IFERROR(__xludf.DUMMYFUNCTION("GOOGLETRANSLATE(B4730,""en"",""pt-br"")"),"negativo")</f>
        <v>negativo</v>
      </c>
    </row>
    <row r="4731" ht="15.75" customHeight="1">
      <c r="A4731" s="2" t="s">
        <v>4728</v>
      </c>
      <c r="B4731" s="2" t="s">
        <v>14</v>
      </c>
      <c r="C4731" s="1" t="str">
        <f>IFERROR(__xludf.DUMMYFUNCTION("GOOGLETRANSLATE(A4731,""en"",""pt-br"")"),"sem problemas")</f>
        <v>sem problemas</v>
      </c>
      <c r="D4731" s="1" t="str">
        <f>IFERROR(__xludf.DUMMYFUNCTION("GOOGLETRANSLATE(B4731,""en"",""pt-br"")"),"positivo")</f>
        <v>positivo</v>
      </c>
    </row>
    <row r="4732" ht="15.75" customHeight="1">
      <c r="A4732" s="2" t="s">
        <v>4729</v>
      </c>
      <c r="B4732" s="2" t="s">
        <v>14</v>
      </c>
      <c r="C4732" s="1" t="str">
        <f>IFERROR(__xludf.DUMMYFUNCTION("GOOGLETRANSLATE(A4732,""en"",""pt-br"")"),"solucionador de problema")</f>
        <v>solucionador de problema</v>
      </c>
      <c r="D4732" s="1" t="str">
        <f>IFERROR(__xludf.DUMMYFUNCTION("GOOGLETRANSLATE(B4732,""en"",""pt-br"")"),"positivo")</f>
        <v>positivo</v>
      </c>
    </row>
    <row r="4733" ht="15.75" customHeight="1">
      <c r="A4733" s="2" t="s">
        <v>4730</v>
      </c>
      <c r="B4733" s="2" t="s">
        <v>3</v>
      </c>
      <c r="C4733" s="1" t="str">
        <f>IFERROR(__xludf.DUMMYFUNCTION("GOOGLETRANSLATE(A4733,""en"",""pt-br"")"),"problemático")</f>
        <v>problemático</v>
      </c>
      <c r="D4733" s="1" t="str">
        <f>IFERROR(__xludf.DUMMYFUNCTION("GOOGLETRANSLATE(B4733,""en"",""pt-br"")"),"negativo")</f>
        <v>negativo</v>
      </c>
    </row>
    <row r="4734" ht="15.75" customHeight="1">
      <c r="A4734" s="2" t="s">
        <v>4731</v>
      </c>
      <c r="B4734" s="2" t="s">
        <v>3</v>
      </c>
      <c r="C4734" s="1" t="str">
        <f>IFERROR(__xludf.DUMMYFUNCTION("GOOGLETRANSLATE(A4734,""en"",""pt-br"")"),"problemas")</f>
        <v>problemas</v>
      </c>
      <c r="D4734" s="1" t="str">
        <f>IFERROR(__xludf.DUMMYFUNCTION("GOOGLETRANSLATE(B4734,""en"",""pt-br"")"),"negativo")</f>
        <v>negativo</v>
      </c>
    </row>
    <row r="4735" ht="15.75" customHeight="1">
      <c r="A4735" s="2" t="s">
        <v>4732</v>
      </c>
      <c r="B4735" s="2" t="s">
        <v>3</v>
      </c>
      <c r="C4735" s="1" t="str">
        <f>IFERROR(__xludf.DUMMYFUNCTION("GOOGLETRANSLATE(A4735,""en"",""pt-br"")"),"procrastinar")</f>
        <v>procrastinar</v>
      </c>
      <c r="D4735" s="1" t="str">
        <f>IFERROR(__xludf.DUMMYFUNCTION("GOOGLETRANSLATE(B4735,""en"",""pt-br"")"),"negativo")</f>
        <v>negativo</v>
      </c>
    </row>
    <row r="4736" ht="15.75" customHeight="1">
      <c r="A4736" s="2" t="s">
        <v>4733</v>
      </c>
      <c r="B4736" s="2" t="s">
        <v>3</v>
      </c>
      <c r="C4736" s="1" t="str">
        <f>IFERROR(__xludf.DUMMYFUNCTION("GOOGLETRANSLATE(A4736,""en"",""pt-br"")"),"procrastinates")</f>
        <v>procrastinates</v>
      </c>
      <c r="D4736" s="1" t="str">
        <f>IFERROR(__xludf.DUMMYFUNCTION("GOOGLETRANSLATE(B4736,""en"",""pt-br"")"),"negativo")</f>
        <v>negativo</v>
      </c>
    </row>
    <row r="4737" ht="15.75" customHeight="1">
      <c r="A4737" s="2" t="s">
        <v>4734</v>
      </c>
      <c r="B4737" s="2" t="s">
        <v>3</v>
      </c>
      <c r="C4737" s="1" t="str">
        <f>IFERROR(__xludf.DUMMYFUNCTION("GOOGLETRANSLATE(A4737,""en"",""pt-br"")"),"Procrastinação")</f>
        <v>Procrastinação</v>
      </c>
      <c r="D4737" s="1" t="str">
        <f>IFERROR(__xludf.DUMMYFUNCTION("GOOGLETRANSLATE(B4737,""en"",""pt-br"")"),"negativo")</f>
        <v>negativo</v>
      </c>
    </row>
    <row r="4738" ht="15.75" customHeight="1">
      <c r="A4738" s="2" t="s">
        <v>4735</v>
      </c>
      <c r="B4738" s="2" t="s">
        <v>14</v>
      </c>
      <c r="C4738" s="1" t="str">
        <f>IFERROR(__xludf.DUMMYFUNCTION("GOOGLETRANSLATE(A4738,""en"",""pt-br"")"),"prodigioso")</f>
        <v>prodigioso</v>
      </c>
      <c r="D4738" s="1" t="str">
        <f>IFERROR(__xludf.DUMMYFUNCTION("GOOGLETRANSLATE(B4738,""en"",""pt-br"")"),"positivo")</f>
        <v>positivo</v>
      </c>
    </row>
    <row r="4739" ht="15.75" customHeight="1">
      <c r="A4739" s="2" t="s">
        <v>4736</v>
      </c>
      <c r="B4739" s="2" t="s">
        <v>14</v>
      </c>
      <c r="C4739" s="1" t="str">
        <f>IFERROR(__xludf.DUMMYFUNCTION("GOOGLETRANSLATE(A4739,""en"",""pt-br"")"),"prodigiosamente")</f>
        <v>prodigiosamente</v>
      </c>
      <c r="D4739" s="1" t="str">
        <f>IFERROR(__xludf.DUMMYFUNCTION("GOOGLETRANSLATE(B4739,""en"",""pt-br"")"),"positivo")</f>
        <v>positivo</v>
      </c>
    </row>
    <row r="4740" ht="15.75" customHeight="1">
      <c r="A4740" s="2" t="s">
        <v>4737</v>
      </c>
      <c r="B4740" s="2" t="s">
        <v>14</v>
      </c>
      <c r="C4740" s="1" t="str">
        <f>IFERROR(__xludf.DUMMYFUNCTION("GOOGLETRANSLATE(A4740,""en"",""pt-br"")"),"prodígio")</f>
        <v>prodígio</v>
      </c>
      <c r="D4740" s="1" t="str">
        <f>IFERROR(__xludf.DUMMYFUNCTION("GOOGLETRANSLATE(B4740,""en"",""pt-br"")"),"positivo")</f>
        <v>positivo</v>
      </c>
    </row>
    <row r="4741" ht="15.75" customHeight="1">
      <c r="A4741" s="2" t="s">
        <v>4738</v>
      </c>
      <c r="B4741" s="2" t="s">
        <v>14</v>
      </c>
      <c r="C4741" s="1" t="str">
        <f>IFERROR(__xludf.DUMMYFUNCTION("GOOGLETRANSLATE(A4741,""en"",""pt-br"")"),"produtivo")</f>
        <v>produtivo</v>
      </c>
      <c r="D4741" s="1" t="str">
        <f>IFERROR(__xludf.DUMMYFUNCTION("GOOGLETRANSLATE(B4741,""en"",""pt-br"")"),"positivo")</f>
        <v>positivo</v>
      </c>
    </row>
    <row r="4742" ht="15.75" customHeight="1">
      <c r="A4742" s="2" t="s">
        <v>4739</v>
      </c>
      <c r="B4742" s="2" t="s">
        <v>14</v>
      </c>
      <c r="C4742" s="1" t="str">
        <f>IFERROR(__xludf.DUMMYFUNCTION("GOOGLETRANSLATE(A4742,""en"",""pt-br"")"),"produtivamente")</f>
        <v>produtivamente</v>
      </c>
      <c r="D4742" s="1" t="str">
        <f>IFERROR(__xludf.DUMMYFUNCTION("GOOGLETRANSLATE(B4742,""en"",""pt-br"")"),"positivo")</f>
        <v>positivo</v>
      </c>
    </row>
    <row r="4743" ht="15.75" customHeight="1">
      <c r="A4743" s="2" t="s">
        <v>4740</v>
      </c>
      <c r="B4743" s="2" t="s">
        <v>3</v>
      </c>
      <c r="C4743" s="1" t="str">
        <f>IFERROR(__xludf.DUMMYFUNCTION("GOOGLETRANSLATE(A4743,""en"",""pt-br"")"),"profano")</f>
        <v>profano</v>
      </c>
      <c r="D4743" s="1" t="str">
        <f>IFERROR(__xludf.DUMMYFUNCTION("GOOGLETRANSLATE(B4743,""en"",""pt-br"")"),"negativo")</f>
        <v>negativo</v>
      </c>
    </row>
    <row r="4744" ht="15.75" customHeight="1">
      <c r="A4744" s="2" t="s">
        <v>4741</v>
      </c>
      <c r="B4744" s="2" t="s">
        <v>3</v>
      </c>
      <c r="C4744" s="1" t="str">
        <f>IFERROR(__xludf.DUMMYFUNCTION("GOOGLETRANSLATE(A4744,""en"",""pt-br"")"),"profanidade")</f>
        <v>profanidade</v>
      </c>
      <c r="D4744" s="1" t="str">
        <f>IFERROR(__xludf.DUMMYFUNCTION("GOOGLETRANSLATE(B4744,""en"",""pt-br"")"),"negativo")</f>
        <v>negativo</v>
      </c>
    </row>
    <row r="4745" ht="15.75" customHeight="1">
      <c r="A4745" s="2" t="s">
        <v>4742</v>
      </c>
      <c r="B4745" s="2" t="s">
        <v>14</v>
      </c>
      <c r="C4745" s="1" t="str">
        <f>IFERROR(__xludf.DUMMYFUNCTION("GOOGLETRANSLATE(A4745,""en"",""pt-br"")"),"proficiente")</f>
        <v>proficiente</v>
      </c>
      <c r="D4745" s="1" t="str">
        <f>IFERROR(__xludf.DUMMYFUNCTION("GOOGLETRANSLATE(B4745,""en"",""pt-br"")"),"positivo")</f>
        <v>positivo</v>
      </c>
    </row>
    <row r="4746" ht="15.75" customHeight="1">
      <c r="A4746" s="2" t="s">
        <v>4743</v>
      </c>
      <c r="B4746" s="2" t="s">
        <v>14</v>
      </c>
      <c r="C4746" s="1" t="str">
        <f>IFERROR(__xludf.DUMMYFUNCTION("GOOGLETRANSLATE(A4746,""en"",""pt-br"")"),"proficientemente")</f>
        <v>proficientemente</v>
      </c>
      <c r="D4746" s="1" t="str">
        <f>IFERROR(__xludf.DUMMYFUNCTION("GOOGLETRANSLATE(B4746,""en"",""pt-br"")"),"positivo")</f>
        <v>positivo</v>
      </c>
    </row>
    <row r="4747" ht="15.75" customHeight="1">
      <c r="A4747" s="2" t="s">
        <v>4744</v>
      </c>
      <c r="B4747" s="2" t="s">
        <v>14</v>
      </c>
      <c r="C4747" s="1" t="str">
        <f>IFERROR(__xludf.DUMMYFUNCTION("GOOGLETRANSLATE(A4747,""en"",""pt-br"")"),"profundo")</f>
        <v>profundo</v>
      </c>
      <c r="D4747" s="1" t="str">
        <f>IFERROR(__xludf.DUMMYFUNCTION("GOOGLETRANSLATE(B4747,""en"",""pt-br"")"),"positivo")</f>
        <v>positivo</v>
      </c>
    </row>
    <row r="4748" ht="15.75" customHeight="1">
      <c r="A4748" s="2" t="s">
        <v>4745</v>
      </c>
      <c r="B4748" s="2" t="s">
        <v>14</v>
      </c>
      <c r="C4748" s="1" t="str">
        <f>IFERROR(__xludf.DUMMYFUNCTION("GOOGLETRANSLATE(A4748,""en"",""pt-br"")"),"profundamente")</f>
        <v>profundamente</v>
      </c>
      <c r="D4748" s="1" t="str">
        <f>IFERROR(__xludf.DUMMYFUNCTION("GOOGLETRANSLATE(B4748,""en"",""pt-br"")"),"positivo")</f>
        <v>positivo</v>
      </c>
    </row>
    <row r="4749" ht="15.75" customHeight="1">
      <c r="A4749" s="2" t="s">
        <v>4746</v>
      </c>
      <c r="B4749" s="2" t="s">
        <v>14</v>
      </c>
      <c r="C4749" s="1" t="str">
        <f>IFERROR(__xludf.DUMMYFUNCTION("GOOGLETRANSLATE(A4749,""en"",""pt-br"")"),"profuso")</f>
        <v>profuso</v>
      </c>
      <c r="D4749" s="1" t="str">
        <f>IFERROR(__xludf.DUMMYFUNCTION("GOOGLETRANSLATE(B4749,""en"",""pt-br"")"),"positivo")</f>
        <v>positivo</v>
      </c>
    </row>
    <row r="4750" ht="15.75" customHeight="1">
      <c r="A4750" s="2" t="s">
        <v>4747</v>
      </c>
      <c r="B4750" s="2" t="s">
        <v>14</v>
      </c>
      <c r="C4750" s="1" t="str">
        <f>IFERROR(__xludf.DUMMYFUNCTION("GOOGLETRANSLATE(A4750,""en"",""pt-br"")"),"profusão")</f>
        <v>profusão</v>
      </c>
      <c r="D4750" s="1" t="str">
        <f>IFERROR(__xludf.DUMMYFUNCTION("GOOGLETRANSLATE(B4750,""en"",""pt-br"")"),"positivo")</f>
        <v>positivo</v>
      </c>
    </row>
    <row r="4751" ht="15.75" customHeight="1">
      <c r="A4751" s="2" t="s">
        <v>4748</v>
      </c>
      <c r="B4751" s="2" t="s">
        <v>14</v>
      </c>
      <c r="C4751" s="1" t="str">
        <f>IFERROR(__xludf.DUMMYFUNCTION("GOOGLETRANSLATE(A4751,""en"",""pt-br"")"),"progresso")</f>
        <v>progresso</v>
      </c>
      <c r="D4751" s="1" t="str">
        <f>IFERROR(__xludf.DUMMYFUNCTION("GOOGLETRANSLATE(B4751,""en"",""pt-br"")"),"positivo")</f>
        <v>positivo</v>
      </c>
    </row>
    <row r="4752" ht="15.75" customHeight="1">
      <c r="A4752" s="2" t="s">
        <v>4749</v>
      </c>
      <c r="B4752" s="2" t="s">
        <v>14</v>
      </c>
      <c r="C4752" s="1" t="str">
        <f>IFERROR(__xludf.DUMMYFUNCTION("GOOGLETRANSLATE(A4752,""en"",""pt-br"")"),"progressivo")</f>
        <v>progressivo</v>
      </c>
      <c r="D4752" s="1" t="str">
        <f>IFERROR(__xludf.DUMMYFUNCTION("GOOGLETRANSLATE(B4752,""en"",""pt-br"")"),"positivo")</f>
        <v>positivo</v>
      </c>
    </row>
    <row r="4753" ht="15.75" customHeight="1">
      <c r="A4753" s="2" t="s">
        <v>4750</v>
      </c>
      <c r="B4753" s="2" t="s">
        <v>3</v>
      </c>
      <c r="C4753" s="1" t="str">
        <f>IFERROR(__xludf.DUMMYFUNCTION("GOOGLETRANSLATE(A4753,""en"",""pt-br"")"),"proibir")</f>
        <v>proibir</v>
      </c>
      <c r="D4753" s="1" t="str">
        <f>IFERROR(__xludf.DUMMYFUNCTION("GOOGLETRANSLATE(B4753,""en"",""pt-br"")"),"negativo")</f>
        <v>negativo</v>
      </c>
    </row>
    <row r="4754" ht="15.75" customHeight="1">
      <c r="A4754" s="2" t="s">
        <v>4751</v>
      </c>
      <c r="B4754" s="2" t="s">
        <v>3</v>
      </c>
      <c r="C4754" s="1" t="str">
        <f>IFERROR(__xludf.DUMMYFUNCTION("GOOGLETRANSLATE(A4754,""en"",""pt-br"")"),"proibitivo")</f>
        <v>proibitivo</v>
      </c>
      <c r="D4754" s="1" t="str">
        <f>IFERROR(__xludf.DUMMYFUNCTION("GOOGLETRANSLATE(B4754,""en"",""pt-br"")"),"negativo")</f>
        <v>negativo</v>
      </c>
    </row>
    <row r="4755" ht="15.75" customHeight="1">
      <c r="A4755" s="2" t="s">
        <v>4752</v>
      </c>
      <c r="B4755" s="2" t="s">
        <v>3</v>
      </c>
      <c r="C4755" s="1" t="str">
        <f>IFERROR(__xludf.DUMMYFUNCTION("GOOGLETRANSLATE(A4755,""en"",""pt-br"")"),"proibitivamente")</f>
        <v>proibitivamente</v>
      </c>
      <c r="D4755" s="1" t="str">
        <f>IFERROR(__xludf.DUMMYFUNCTION("GOOGLETRANSLATE(B4755,""en"",""pt-br"")"),"negativo")</f>
        <v>negativo</v>
      </c>
    </row>
    <row r="4756" ht="15.75" customHeight="1">
      <c r="A4756" s="2" t="s">
        <v>4753</v>
      </c>
      <c r="B4756" s="2" t="s">
        <v>14</v>
      </c>
      <c r="C4756" s="1" t="str">
        <f>IFERROR(__xludf.DUMMYFUNCTION("GOOGLETRANSLATE(A4756,""en"",""pt-br"")"),"prolífico")</f>
        <v>prolífico</v>
      </c>
      <c r="D4756" s="1" t="str">
        <f>IFERROR(__xludf.DUMMYFUNCTION("GOOGLETRANSLATE(B4756,""en"",""pt-br"")"),"positivo")</f>
        <v>positivo</v>
      </c>
    </row>
    <row r="4757" ht="15.75" customHeight="1">
      <c r="A4757" s="2" t="s">
        <v>4754</v>
      </c>
      <c r="B4757" s="2" t="s">
        <v>14</v>
      </c>
      <c r="C4757" s="1" t="str">
        <f>IFERROR(__xludf.DUMMYFUNCTION("GOOGLETRANSLATE(A4757,""en"",""pt-br"")"),"proeminência")</f>
        <v>proeminência</v>
      </c>
      <c r="D4757" s="1" t="str">
        <f>IFERROR(__xludf.DUMMYFUNCTION("GOOGLETRANSLATE(B4757,""en"",""pt-br"")"),"positivo")</f>
        <v>positivo</v>
      </c>
    </row>
    <row r="4758" ht="15.75" customHeight="1">
      <c r="A4758" s="2" t="s">
        <v>4755</v>
      </c>
      <c r="B4758" s="2" t="s">
        <v>14</v>
      </c>
      <c r="C4758" s="1" t="str">
        <f>IFERROR(__xludf.DUMMYFUNCTION("GOOGLETRANSLATE(A4758,""en"",""pt-br"")"),"proeminente")</f>
        <v>proeminente</v>
      </c>
      <c r="D4758" s="1" t="str">
        <f>IFERROR(__xludf.DUMMYFUNCTION("GOOGLETRANSLATE(B4758,""en"",""pt-br"")"),"positivo")</f>
        <v>positivo</v>
      </c>
    </row>
    <row r="4759" ht="15.75" customHeight="1">
      <c r="A4759" s="2" t="s">
        <v>4756</v>
      </c>
      <c r="B4759" s="2" t="s">
        <v>14</v>
      </c>
      <c r="C4759" s="1" t="str">
        <f>IFERROR(__xludf.DUMMYFUNCTION("GOOGLETRANSLATE(A4759,""en"",""pt-br"")"),"promessa")</f>
        <v>promessa</v>
      </c>
      <c r="D4759" s="1" t="str">
        <f>IFERROR(__xludf.DUMMYFUNCTION("GOOGLETRANSLATE(B4759,""en"",""pt-br"")"),"positivo")</f>
        <v>positivo</v>
      </c>
    </row>
    <row r="4760" ht="15.75" customHeight="1">
      <c r="A4760" s="2" t="s">
        <v>4757</v>
      </c>
      <c r="B4760" s="2" t="s">
        <v>14</v>
      </c>
      <c r="C4760" s="1" t="str">
        <f>IFERROR(__xludf.DUMMYFUNCTION("GOOGLETRANSLATE(A4760,""en"",""pt-br"")"),"prometido")</f>
        <v>prometido</v>
      </c>
      <c r="D4760" s="1" t="str">
        <f>IFERROR(__xludf.DUMMYFUNCTION("GOOGLETRANSLATE(B4760,""en"",""pt-br"")"),"positivo")</f>
        <v>positivo</v>
      </c>
    </row>
    <row r="4761" ht="15.75" customHeight="1">
      <c r="A4761" s="2" t="s">
        <v>4758</v>
      </c>
      <c r="B4761" s="2" t="s">
        <v>14</v>
      </c>
      <c r="C4761" s="1" t="str">
        <f>IFERROR(__xludf.DUMMYFUNCTION("GOOGLETRANSLATE(A4761,""en"",""pt-br"")"),"promessas")</f>
        <v>promessas</v>
      </c>
      <c r="D4761" s="1" t="str">
        <f>IFERROR(__xludf.DUMMYFUNCTION("GOOGLETRANSLATE(B4761,""en"",""pt-br"")"),"positivo")</f>
        <v>positivo</v>
      </c>
    </row>
    <row r="4762" ht="15.75" customHeight="1">
      <c r="A4762" s="2" t="s">
        <v>4759</v>
      </c>
      <c r="B4762" s="2" t="s">
        <v>14</v>
      </c>
      <c r="C4762" s="1" t="str">
        <f>IFERROR(__xludf.DUMMYFUNCTION("GOOGLETRANSLATE(A4762,""en"",""pt-br"")"),"promissor")</f>
        <v>promissor</v>
      </c>
      <c r="D4762" s="1" t="str">
        <f>IFERROR(__xludf.DUMMYFUNCTION("GOOGLETRANSLATE(B4762,""en"",""pt-br"")"),"positivo")</f>
        <v>positivo</v>
      </c>
    </row>
    <row r="4763" ht="15.75" customHeight="1">
      <c r="A4763" s="2" t="s">
        <v>4760</v>
      </c>
      <c r="B4763" s="2" t="s">
        <v>14</v>
      </c>
      <c r="C4763" s="1" t="str">
        <f>IFERROR(__xludf.DUMMYFUNCTION("GOOGLETRANSLATE(A4763,""en"",""pt-br"")"),"promotor")</f>
        <v>promotor</v>
      </c>
      <c r="D4763" s="1" t="str">
        <f>IFERROR(__xludf.DUMMYFUNCTION("GOOGLETRANSLATE(B4763,""en"",""pt-br"")"),"positivo")</f>
        <v>positivo</v>
      </c>
    </row>
    <row r="4764" ht="15.75" customHeight="1">
      <c r="A4764" s="2" t="s">
        <v>4761</v>
      </c>
      <c r="B4764" s="2" t="s">
        <v>14</v>
      </c>
      <c r="C4764" s="1" t="str">
        <f>IFERROR(__xludf.DUMMYFUNCTION("GOOGLETRANSLATE(A4764,""en"",""pt-br"")"),"pronto")</f>
        <v>pronto</v>
      </c>
      <c r="D4764" s="1" t="str">
        <f>IFERROR(__xludf.DUMMYFUNCTION("GOOGLETRANSLATE(B4764,""en"",""pt-br"")"),"positivo")</f>
        <v>positivo</v>
      </c>
    </row>
    <row r="4765" ht="15.75" customHeight="1">
      <c r="A4765" s="2" t="s">
        <v>4762</v>
      </c>
      <c r="B4765" s="2" t="s">
        <v>14</v>
      </c>
      <c r="C4765" s="1" t="str">
        <f>IFERROR(__xludf.DUMMYFUNCTION("GOOGLETRANSLATE(A4765,""en"",""pt-br"")"),"prontamente")</f>
        <v>prontamente</v>
      </c>
      <c r="D4765" s="1" t="str">
        <f>IFERROR(__xludf.DUMMYFUNCTION("GOOGLETRANSLATE(B4765,""en"",""pt-br"")"),"positivo")</f>
        <v>positivo</v>
      </c>
    </row>
    <row r="4766" ht="15.75" customHeight="1">
      <c r="A4766" s="2" t="s">
        <v>4763</v>
      </c>
      <c r="B4766" s="2" t="s">
        <v>3</v>
      </c>
      <c r="C4766" s="1" t="str">
        <f>IFERROR(__xludf.DUMMYFUNCTION("GOOGLETRANSLATE(A4766,""en"",""pt-br"")"),"propaganda")</f>
        <v>propaganda</v>
      </c>
      <c r="D4766" s="1" t="str">
        <f>IFERROR(__xludf.DUMMYFUNCTION("GOOGLETRANSLATE(B4766,""en"",""pt-br"")"),"negativo")</f>
        <v>negativo</v>
      </c>
    </row>
    <row r="4767" ht="15.75" customHeight="1">
      <c r="A4767" s="2" t="s">
        <v>4764</v>
      </c>
      <c r="B4767" s="2" t="s">
        <v>3</v>
      </c>
      <c r="C4767" s="1" t="str">
        <f>IFERROR(__xludf.DUMMYFUNCTION("GOOGLETRANSLATE(A4767,""en"",""pt-br"")"),"propagandear")</f>
        <v>propagandear</v>
      </c>
      <c r="D4767" s="1" t="str">
        <f>IFERROR(__xludf.DUMMYFUNCTION("GOOGLETRANSLATE(B4767,""en"",""pt-br"")"),"negativo")</f>
        <v>negativo</v>
      </c>
    </row>
    <row r="4768" ht="15.75" customHeight="1">
      <c r="A4768" s="2" t="s">
        <v>4765</v>
      </c>
      <c r="B4768" s="2" t="s">
        <v>14</v>
      </c>
      <c r="C4768" s="1" t="str">
        <f>IFERROR(__xludf.DUMMYFUNCTION("GOOGLETRANSLATE(A4768,""en"",""pt-br"")"),"adequado")</f>
        <v>adequado</v>
      </c>
      <c r="D4768" s="1" t="str">
        <f>IFERROR(__xludf.DUMMYFUNCTION("GOOGLETRANSLATE(B4768,""en"",""pt-br"")"),"positivo")</f>
        <v>positivo</v>
      </c>
    </row>
    <row r="4769" ht="15.75" customHeight="1">
      <c r="A4769" s="2" t="s">
        <v>4766</v>
      </c>
      <c r="B4769" s="2" t="s">
        <v>14</v>
      </c>
      <c r="C4769" s="1" t="str">
        <f>IFERROR(__xludf.DUMMYFUNCTION("GOOGLETRANSLATE(A4769,""en"",""pt-br"")"),"devidamente")</f>
        <v>devidamente</v>
      </c>
      <c r="D4769" s="1" t="str">
        <f>IFERROR(__xludf.DUMMYFUNCTION("GOOGLETRANSLATE(B4769,""en"",""pt-br"")"),"positivo")</f>
        <v>positivo</v>
      </c>
    </row>
    <row r="4770" ht="15.75" customHeight="1">
      <c r="A4770" s="2" t="s">
        <v>4767</v>
      </c>
      <c r="B4770" s="2" t="s">
        <v>14</v>
      </c>
      <c r="C4770" s="1" t="str">
        <f>IFERROR(__xludf.DUMMYFUNCTION("GOOGLETRANSLATE(A4770,""en"",""pt-br"")"),"propício")</f>
        <v>propício</v>
      </c>
      <c r="D4770" s="1" t="str">
        <f>IFERROR(__xludf.DUMMYFUNCTION("GOOGLETRANSLATE(B4770,""en"",""pt-br"")"),"positivo")</f>
        <v>positivo</v>
      </c>
    </row>
    <row r="4771" ht="15.75" customHeight="1">
      <c r="A4771" s="2" t="s">
        <v>4768</v>
      </c>
      <c r="B4771" s="2" t="s">
        <v>14</v>
      </c>
      <c r="C4771" s="1" t="str">
        <f>IFERROR(__xludf.DUMMYFUNCTION("GOOGLETRANSLATE(A4771,""en"",""pt-br"")"),"propícia")</f>
        <v>propícia</v>
      </c>
      <c r="D4771" s="1" t="str">
        <f>IFERROR(__xludf.DUMMYFUNCTION("GOOGLETRANSLATE(B4771,""en"",""pt-br"")"),"positivo")</f>
        <v>positivo</v>
      </c>
    </row>
    <row r="4772" ht="15.75" customHeight="1">
      <c r="A4772" s="2" t="s">
        <v>4769</v>
      </c>
      <c r="B4772" s="2" t="s">
        <v>3</v>
      </c>
      <c r="C4772" s="1" t="str">
        <f>IFERROR(__xludf.DUMMYFUNCTION("GOOGLETRANSLATE(A4772,""en"",""pt-br"")"),"proprietário")</f>
        <v>proprietário</v>
      </c>
      <c r="D4772" s="1" t="str">
        <f>IFERROR(__xludf.DUMMYFUNCTION("GOOGLETRANSLATE(B4772,""en"",""pt-br"")"),"negativo")</f>
        <v>negativo</v>
      </c>
    </row>
    <row r="4773" ht="15.75" customHeight="1">
      <c r="A4773" s="2" t="s">
        <v>4770</v>
      </c>
      <c r="B4773" s="2" t="s">
        <v>14</v>
      </c>
      <c r="C4773" s="1" t="str">
        <f>IFERROR(__xludf.DUMMYFUNCTION("GOOGLETRANSLATE(A4773,""en"",""pt-br"")"),"pros")</f>
        <v>pros</v>
      </c>
      <c r="D4773" s="1" t="str">
        <f>IFERROR(__xludf.DUMMYFUNCTION("GOOGLETRANSLATE(B4773,""en"",""pt-br"")"),"positivo")</f>
        <v>positivo</v>
      </c>
    </row>
    <row r="4774" ht="15.75" customHeight="1">
      <c r="A4774" s="2" t="s">
        <v>4771</v>
      </c>
      <c r="B4774" s="2" t="s">
        <v>3</v>
      </c>
      <c r="C4774" s="1" t="str">
        <f>IFERROR(__xludf.DUMMYFUNCTION("GOOGLETRANSLATE(A4774,""en"",""pt-br"")"),"processar")</f>
        <v>processar</v>
      </c>
      <c r="D4774" s="1" t="str">
        <f>IFERROR(__xludf.DUMMYFUNCTION("GOOGLETRANSLATE(B4774,""en"",""pt-br"")"),"negativo")</f>
        <v>negativo</v>
      </c>
    </row>
    <row r="4775" ht="15.75" customHeight="1">
      <c r="A4775" s="2" t="s">
        <v>4772</v>
      </c>
      <c r="B4775" s="2" t="s">
        <v>14</v>
      </c>
      <c r="C4775" s="1" t="str">
        <f>IFERROR(__xludf.DUMMYFUNCTION("GOOGLETRANSLATE(A4775,""en"",""pt-br"")"),"prosperar")</f>
        <v>prosperar</v>
      </c>
      <c r="D4775" s="1" t="str">
        <f>IFERROR(__xludf.DUMMYFUNCTION("GOOGLETRANSLATE(B4775,""en"",""pt-br"")"),"positivo")</f>
        <v>positivo</v>
      </c>
    </row>
    <row r="4776" ht="15.75" customHeight="1">
      <c r="A4776" s="2" t="s">
        <v>4773</v>
      </c>
      <c r="B4776" s="2" t="s">
        <v>14</v>
      </c>
      <c r="C4776" s="1" t="str">
        <f>IFERROR(__xludf.DUMMYFUNCTION("GOOGLETRANSLATE(A4776,""en"",""pt-br"")"),"prosperidade")</f>
        <v>prosperidade</v>
      </c>
      <c r="D4776" s="1" t="str">
        <f>IFERROR(__xludf.DUMMYFUNCTION("GOOGLETRANSLATE(B4776,""en"",""pt-br"")"),"positivo")</f>
        <v>positivo</v>
      </c>
    </row>
    <row r="4777" ht="15.75" customHeight="1">
      <c r="A4777" s="2" t="s">
        <v>4774</v>
      </c>
      <c r="B4777" s="2" t="s">
        <v>14</v>
      </c>
      <c r="C4777" s="1" t="str">
        <f>IFERROR(__xludf.DUMMYFUNCTION("GOOGLETRANSLATE(A4777,""en"",""pt-br"")"),"próspero")</f>
        <v>próspero</v>
      </c>
      <c r="D4777" s="1" t="str">
        <f>IFERROR(__xludf.DUMMYFUNCTION("GOOGLETRANSLATE(B4777,""en"",""pt-br"")"),"positivo")</f>
        <v>positivo</v>
      </c>
    </row>
    <row r="4778" ht="15.75" customHeight="1">
      <c r="A4778" s="2" t="s">
        <v>4775</v>
      </c>
      <c r="B4778" s="2" t="s">
        <v>14</v>
      </c>
      <c r="C4778" s="1" t="str">
        <f>IFERROR(__xludf.DUMMYFUNCTION("GOOGLETRANSLATE(A4778,""en"",""pt-br"")"),"prospros")</f>
        <v>prospros</v>
      </c>
      <c r="D4778" s="1" t="str">
        <f>IFERROR(__xludf.DUMMYFUNCTION("GOOGLETRANSLATE(B4778,""en"",""pt-br"")"),"positivo")</f>
        <v>positivo</v>
      </c>
    </row>
    <row r="4779" ht="15.75" customHeight="1">
      <c r="A4779" s="2" t="s">
        <v>4776</v>
      </c>
      <c r="B4779" s="2" t="s">
        <v>14</v>
      </c>
      <c r="C4779" s="1" t="str">
        <f>IFERROR(__xludf.DUMMYFUNCTION("GOOGLETRANSLATE(A4779,""en"",""pt-br"")"),"proteger")</f>
        <v>proteger</v>
      </c>
      <c r="D4779" s="1" t="str">
        <f>IFERROR(__xludf.DUMMYFUNCTION("GOOGLETRANSLATE(B4779,""en"",""pt-br"")"),"positivo")</f>
        <v>positivo</v>
      </c>
    </row>
    <row r="4780" ht="15.75" customHeight="1">
      <c r="A4780" s="2" t="s">
        <v>4777</v>
      </c>
      <c r="B4780" s="2" t="s">
        <v>14</v>
      </c>
      <c r="C4780" s="1" t="str">
        <f>IFERROR(__xludf.DUMMYFUNCTION("GOOGLETRANSLATE(A4780,""en"",""pt-br"")"),"proteção")</f>
        <v>proteção</v>
      </c>
      <c r="D4780" s="1" t="str">
        <f>IFERROR(__xludf.DUMMYFUNCTION("GOOGLETRANSLATE(B4780,""en"",""pt-br"")"),"positivo")</f>
        <v>positivo</v>
      </c>
    </row>
    <row r="4781" ht="15.75" customHeight="1">
      <c r="A4781" s="2" t="s">
        <v>4778</v>
      </c>
      <c r="B4781" s="2" t="s">
        <v>14</v>
      </c>
      <c r="C4781" s="1" t="str">
        <f>IFERROR(__xludf.DUMMYFUNCTION("GOOGLETRANSLATE(A4781,""en"",""pt-br"")"),"protetor")</f>
        <v>protetor</v>
      </c>
      <c r="D4781" s="1" t="str">
        <f>IFERROR(__xludf.DUMMYFUNCTION("GOOGLETRANSLATE(B4781,""en"",""pt-br"")"),"positivo")</f>
        <v>positivo</v>
      </c>
    </row>
    <row r="4782" ht="15.75" customHeight="1">
      <c r="A4782" s="2" t="s">
        <v>4779</v>
      </c>
      <c r="B4782" s="2" t="s">
        <v>3</v>
      </c>
      <c r="C4782" s="1" t="str">
        <f>IFERROR(__xludf.DUMMYFUNCTION("GOOGLETRANSLATE(A4782,""en"",""pt-br"")"),"protesto")</f>
        <v>protesto</v>
      </c>
      <c r="D4782" s="1" t="str">
        <f>IFERROR(__xludf.DUMMYFUNCTION("GOOGLETRANSLATE(B4782,""en"",""pt-br"")"),"negativo")</f>
        <v>negativo</v>
      </c>
    </row>
    <row r="4783" ht="15.75" customHeight="1">
      <c r="A4783" s="2" t="s">
        <v>4780</v>
      </c>
      <c r="B4783" s="2" t="s">
        <v>3</v>
      </c>
      <c r="C4783" s="1" t="str">
        <f>IFERROR(__xludf.DUMMYFUNCTION("GOOGLETRANSLATE(A4783,""en"",""pt-br"")"),"protestou")</f>
        <v>protestou</v>
      </c>
      <c r="D4783" s="1" t="str">
        <f>IFERROR(__xludf.DUMMYFUNCTION("GOOGLETRANSLATE(B4783,""en"",""pt-br"")"),"negativo")</f>
        <v>negativo</v>
      </c>
    </row>
    <row r="4784" ht="15.75" customHeight="1">
      <c r="A4784" s="2" t="s">
        <v>4781</v>
      </c>
      <c r="B4784" s="2" t="s">
        <v>3</v>
      </c>
      <c r="C4784" s="1" t="str">
        <f>IFERROR(__xludf.DUMMYFUNCTION("GOOGLETRANSLATE(A4784,""en"",""pt-br"")"),"protestando")</f>
        <v>protestando</v>
      </c>
      <c r="D4784" s="1" t="str">
        <f>IFERROR(__xludf.DUMMYFUNCTION("GOOGLETRANSLATE(B4784,""en"",""pt-br"")"),"negativo")</f>
        <v>negativo</v>
      </c>
    </row>
    <row r="4785" ht="15.75" customHeight="1">
      <c r="A4785" s="2" t="s">
        <v>4782</v>
      </c>
      <c r="B4785" s="2" t="s">
        <v>3</v>
      </c>
      <c r="C4785" s="1" t="str">
        <f>IFERROR(__xludf.DUMMYFUNCTION("GOOGLETRANSLATE(A4785,""en"",""pt-br"")"),"protestos")</f>
        <v>protestos</v>
      </c>
      <c r="D4785" s="1" t="str">
        <f>IFERROR(__xludf.DUMMYFUNCTION("GOOGLETRANSLATE(B4785,""en"",""pt-br"")"),"negativo")</f>
        <v>negativo</v>
      </c>
    </row>
    <row r="4786" ht="15.75" customHeight="1">
      <c r="A4786" s="2" t="s">
        <v>4783</v>
      </c>
      <c r="B4786" s="2" t="s">
        <v>3</v>
      </c>
      <c r="C4786" s="1" t="str">
        <f>IFERROR(__xludf.DUMMYFUNCTION("GOOGLETRANSLATE(A4786,""en"",""pt-br"")"),"prolongado")</f>
        <v>prolongado</v>
      </c>
      <c r="D4786" s="1" t="str">
        <f>IFERROR(__xludf.DUMMYFUNCTION("GOOGLETRANSLATE(B4786,""en"",""pt-br"")"),"negativo")</f>
        <v>negativo</v>
      </c>
    </row>
    <row r="4787" ht="15.75" customHeight="1">
      <c r="A4787" s="2" t="s">
        <v>4784</v>
      </c>
      <c r="B4787" s="2" t="s">
        <v>14</v>
      </c>
      <c r="C4787" s="1" t="str">
        <f>IFERROR(__xludf.DUMMYFUNCTION("GOOGLETRANSLATE(A4787,""en"",""pt-br"")"),"orgulhoso")</f>
        <v>orgulhoso</v>
      </c>
      <c r="D4787" s="1" t="str">
        <f>IFERROR(__xludf.DUMMYFUNCTION("GOOGLETRANSLATE(B4787,""en"",""pt-br"")"),"positivo")</f>
        <v>positivo</v>
      </c>
    </row>
    <row r="4788" ht="15.75" customHeight="1">
      <c r="A4788" s="2" t="s">
        <v>4785</v>
      </c>
      <c r="B4788" s="2" t="s">
        <v>14</v>
      </c>
      <c r="C4788" s="1" t="str">
        <f>IFERROR(__xludf.DUMMYFUNCTION("GOOGLETRANSLATE(A4788,""en"",""pt-br"")"),"comprovado")</f>
        <v>comprovado</v>
      </c>
      <c r="D4788" s="1" t="str">
        <f>IFERROR(__xludf.DUMMYFUNCTION("GOOGLETRANSLATE(B4788,""en"",""pt-br"")"),"positivo")</f>
        <v>positivo</v>
      </c>
    </row>
    <row r="4789" ht="15.75" customHeight="1">
      <c r="A4789" s="2" t="s">
        <v>4786</v>
      </c>
      <c r="B4789" s="2" t="s">
        <v>14</v>
      </c>
      <c r="C4789" s="1" t="str">
        <f>IFERROR(__xludf.DUMMYFUNCTION("GOOGLETRANSLATE(A4789,""en"",""pt-br"")"),"prova")</f>
        <v>prova</v>
      </c>
      <c r="D4789" s="1" t="str">
        <f>IFERROR(__xludf.DUMMYFUNCTION("GOOGLETRANSLATE(B4789,""en"",""pt-br"")"),"positivo")</f>
        <v>positivo</v>
      </c>
    </row>
    <row r="4790" ht="15.75" customHeight="1">
      <c r="A4790" s="2" t="s">
        <v>4787</v>
      </c>
      <c r="B4790" s="2" t="s">
        <v>14</v>
      </c>
      <c r="C4790" s="1" t="str">
        <f>IFERROR(__xludf.DUMMYFUNCTION("GOOGLETRANSLATE(A4790,""en"",""pt-br"")"),"providência")</f>
        <v>providência</v>
      </c>
      <c r="D4790" s="1" t="str">
        <f>IFERROR(__xludf.DUMMYFUNCTION("GOOGLETRANSLATE(B4790,""en"",""pt-br"")"),"positivo")</f>
        <v>positivo</v>
      </c>
    </row>
    <row r="4791" ht="15.75" customHeight="1">
      <c r="A4791" s="2" t="s">
        <v>4788</v>
      </c>
      <c r="B4791" s="2" t="s">
        <v>14</v>
      </c>
      <c r="C4791" s="1" t="str">
        <f>IFERROR(__xludf.DUMMYFUNCTION("GOOGLETRANSLATE(A4791,""en"",""pt-br"")"),"prova")</f>
        <v>prova</v>
      </c>
      <c r="D4791" s="1" t="str">
        <f>IFERROR(__xludf.DUMMYFUNCTION("GOOGLETRANSLATE(B4791,""en"",""pt-br"")"),"positivo")</f>
        <v>positivo</v>
      </c>
    </row>
    <row r="4792" ht="15.75" customHeight="1">
      <c r="A4792" s="2" t="s">
        <v>4789</v>
      </c>
      <c r="B4792" s="2" t="s">
        <v>3</v>
      </c>
      <c r="C4792" s="1" t="str">
        <f>IFERROR(__xludf.DUMMYFUNCTION("GOOGLETRANSLATE(A4792,""en"",""pt-br"")"),"provocação")</f>
        <v>provocação</v>
      </c>
      <c r="D4792" s="1" t="str">
        <f>IFERROR(__xludf.DUMMYFUNCTION("GOOGLETRANSLATE(B4792,""en"",""pt-br"")"),"negativo")</f>
        <v>negativo</v>
      </c>
    </row>
    <row r="4793" ht="15.75" customHeight="1">
      <c r="A4793" s="2" t="s">
        <v>4790</v>
      </c>
      <c r="B4793" s="2" t="s">
        <v>3</v>
      </c>
      <c r="C4793" s="1" t="str">
        <f>IFERROR(__xludf.DUMMYFUNCTION("GOOGLETRANSLATE(A4793,""en"",""pt-br"")"),"provocante")</f>
        <v>provocante</v>
      </c>
      <c r="D4793" s="1" t="str">
        <f>IFERROR(__xludf.DUMMYFUNCTION("GOOGLETRANSLATE(B4793,""en"",""pt-br"")"),"negativo")</f>
        <v>negativo</v>
      </c>
    </row>
    <row r="4794" ht="15.75" customHeight="1">
      <c r="A4794" s="2" t="s">
        <v>4791</v>
      </c>
      <c r="B4794" s="2" t="s">
        <v>3</v>
      </c>
      <c r="C4794" s="1" t="str">
        <f>IFERROR(__xludf.DUMMYFUNCTION("GOOGLETRANSLATE(A4794,""en"",""pt-br"")"),"provocar")</f>
        <v>provocar</v>
      </c>
      <c r="D4794" s="1" t="str">
        <f>IFERROR(__xludf.DUMMYFUNCTION("GOOGLETRANSLATE(B4794,""en"",""pt-br"")"),"negativo")</f>
        <v>negativo</v>
      </c>
    </row>
    <row r="4795" ht="15.75" customHeight="1">
      <c r="A4795" s="2" t="s">
        <v>4792</v>
      </c>
      <c r="B4795" s="2" t="s">
        <v>14</v>
      </c>
      <c r="C4795" s="1" t="str">
        <f>IFERROR(__xludf.DUMMYFUNCTION("GOOGLETRANSLATE(A4795,""en"",""pt-br"")"),"proeza")</f>
        <v>proeza</v>
      </c>
      <c r="D4795" s="1" t="str">
        <f>IFERROR(__xludf.DUMMYFUNCTION("GOOGLETRANSLATE(B4795,""en"",""pt-br"")"),"positivo")</f>
        <v>positivo</v>
      </c>
    </row>
    <row r="4796" ht="15.75" customHeight="1">
      <c r="A4796" s="2" t="s">
        <v>4793</v>
      </c>
      <c r="B4796" s="2" t="s">
        <v>14</v>
      </c>
      <c r="C4796" s="1" t="str">
        <f>IFERROR(__xludf.DUMMYFUNCTION("GOOGLETRANSLATE(A4796,""en"",""pt-br"")"),"prudência")</f>
        <v>prudência</v>
      </c>
      <c r="D4796" s="1" t="str">
        <f>IFERROR(__xludf.DUMMYFUNCTION("GOOGLETRANSLATE(B4796,""en"",""pt-br"")"),"positivo")</f>
        <v>positivo</v>
      </c>
    </row>
    <row r="4797" ht="15.75" customHeight="1">
      <c r="A4797" s="2" t="s">
        <v>4794</v>
      </c>
      <c r="B4797" s="2" t="s">
        <v>14</v>
      </c>
      <c r="C4797" s="1" t="str">
        <f>IFERROR(__xludf.DUMMYFUNCTION("GOOGLETRANSLATE(A4797,""en"",""pt-br"")"),"Prudente")</f>
        <v>Prudente</v>
      </c>
      <c r="D4797" s="1" t="str">
        <f>IFERROR(__xludf.DUMMYFUNCTION("GOOGLETRANSLATE(B4797,""en"",""pt-br"")"),"positivo")</f>
        <v>positivo</v>
      </c>
    </row>
    <row r="4798" ht="15.75" customHeight="1">
      <c r="A4798" s="2" t="s">
        <v>4795</v>
      </c>
      <c r="B4798" s="2" t="s">
        <v>14</v>
      </c>
      <c r="C4798" s="1" t="str">
        <f>IFERROR(__xludf.DUMMYFUNCTION("GOOGLETRANSLATE(A4798,""en"",""pt-br"")"),"prudentemente")</f>
        <v>prudentemente</v>
      </c>
      <c r="D4798" s="1" t="str">
        <f>IFERROR(__xludf.DUMMYFUNCTION("GOOGLETRANSLATE(B4798,""en"",""pt-br"")"),"positivo")</f>
        <v>positivo</v>
      </c>
    </row>
    <row r="4799" ht="15.75" customHeight="1">
      <c r="A4799" s="2" t="s">
        <v>4796</v>
      </c>
      <c r="B4799" s="2" t="s">
        <v>3</v>
      </c>
      <c r="C4799" s="1" t="str">
        <f>IFERROR(__xludf.DUMMYFUNCTION("GOOGLETRANSLATE(A4799,""en"",""pt-br"")"),"alavanca")</f>
        <v>alavanca</v>
      </c>
      <c r="D4799" s="1" t="str">
        <f>IFERROR(__xludf.DUMMYFUNCTION("GOOGLETRANSLATE(B4799,""en"",""pt-br"")"),"negativo")</f>
        <v>negativo</v>
      </c>
    </row>
    <row r="4800" ht="15.75" customHeight="1">
      <c r="A4800" s="2" t="s">
        <v>4797</v>
      </c>
      <c r="B4800" s="2" t="s">
        <v>3</v>
      </c>
      <c r="C4800" s="1" t="str">
        <f>IFERROR(__xludf.DUMMYFUNCTION("GOOGLETRANSLATE(A4800,""en"",""pt-br"")"),"belicoso")</f>
        <v>belicoso</v>
      </c>
      <c r="D4800" s="1" t="str">
        <f>IFERROR(__xludf.DUMMYFUNCTION("GOOGLETRANSLATE(B4800,""en"",""pt-br"")"),"negativo")</f>
        <v>negativo</v>
      </c>
    </row>
    <row r="4801" ht="15.75" customHeight="1">
      <c r="A4801" s="2" t="s">
        <v>4798</v>
      </c>
      <c r="B4801" s="2" t="s">
        <v>3</v>
      </c>
      <c r="C4801" s="1" t="str">
        <f>IFERROR(__xludf.DUMMYFUNCTION("GOOGLETRANSLATE(A4801,""en"",""pt-br"")"),"belicosamente")</f>
        <v>belicosamente</v>
      </c>
      <c r="D4801" s="1" t="str">
        <f>IFERROR(__xludf.DUMMYFUNCTION("GOOGLETRANSLATE(B4801,""en"",""pt-br"")"),"negativo")</f>
        <v>negativo</v>
      </c>
    </row>
    <row r="4802" ht="15.75" customHeight="1">
      <c r="A4802" s="2" t="s">
        <v>4799</v>
      </c>
      <c r="B4802" s="2" t="s">
        <v>3</v>
      </c>
      <c r="C4802" s="1" t="str">
        <f>IFERROR(__xludf.DUMMYFUNCTION("GOOGLETRANSLATE(A4802,""en"",""pt-br"")"),"belicosidade")</f>
        <v>belicosidade</v>
      </c>
      <c r="D4802" s="1" t="str">
        <f>IFERROR(__xludf.DUMMYFUNCTION("GOOGLETRANSLATE(B4802,""en"",""pt-br"")"),"negativo")</f>
        <v>negativo</v>
      </c>
    </row>
    <row r="4803" ht="15.75" customHeight="1">
      <c r="A4803" s="2" t="s">
        <v>4800</v>
      </c>
      <c r="B4803" s="2" t="s">
        <v>3</v>
      </c>
      <c r="C4803" s="1" t="str">
        <f>IFERROR(__xludf.DUMMYFUNCTION("GOOGLETRANSLATE(A4803,""en"",""pt-br"")"),"soco")</f>
        <v>soco</v>
      </c>
      <c r="D4803" s="1" t="str">
        <f>IFERROR(__xludf.DUMMYFUNCTION("GOOGLETRANSLATE(B4803,""en"",""pt-br"")"),"negativo")</f>
        <v>negativo</v>
      </c>
    </row>
    <row r="4804" ht="15.75" customHeight="1">
      <c r="A4804" s="2" t="s">
        <v>4801</v>
      </c>
      <c r="B4804" s="2" t="s">
        <v>14</v>
      </c>
      <c r="C4804" s="1" t="str">
        <f>IFERROR(__xludf.DUMMYFUNCTION("GOOGLETRANSLATE(A4804,""en"",""pt-br"")"),"pontual")</f>
        <v>pontual</v>
      </c>
      <c r="D4804" s="1" t="str">
        <f>IFERROR(__xludf.DUMMYFUNCTION("GOOGLETRANSLATE(B4804,""en"",""pt-br"")"),"positivo")</f>
        <v>positivo</v>
      </c>
    </row>
    <row r="4805" ht="15.75" customHeight="1">
      <c r="A4805" s="2" t="s">
        <v>4802</v>
      </c>
      <c r="B4805" s="2" t="s">
        <v>3</v>
      </c>
      <c r="C4805" s="1" t="str">
        <f>IFERROR(__xludf.DUMMYFUNCTION("GOOGLETRANSLATE(A4805,""en"",""pt-br"")"),"punir")</f>
        <v>punir</v>
      </c>
      <c r="D4805" s="1" t="str">
        <f>IFERROR(__xludf.DUMMYFUNCTION("GOOGLETRANSLATE(B4805,""en"",""pt-br"")"),"negativo")</f>
        <v>negativo</v>
      </c>
    </row>
    <row r="4806" ht="15.75" customHeight="1">
      <c r="A4806" s="2" t="s">
        <v>4803</v>
      </c>
      <c r="B4806" s="2" t="s">
        <v>3</v>
      </c>
      <c r="C4806" s="1" t="str">
        <f>IFERROR(__xludf.DUMMYFUNCTION("GOOGLETRANSLATE(A4806,""en"",""pt-br"")"),"punível")</f>
        <v>punível</v>
      </c>
      <c r="D4806" s="1" t="str">
        <f>IFERROR(__xludf.DUMMYFUNCTION("GOOGLETRANSLATE(B4806,""en"",""pt-br"")"),"negativo")</f>
        <v>negativo</v>
      </c>
    </row>
    <row r="4807" ht="15.75" customHeight="1">
      <c r="A4807" s="2" t="s">
        <v>4804</v>
      </c>
      <c r="B4807" s="2" t="s">
        <v>3</v>
      </c>
      <c r="C4807" s="1" t="str">
        <f>IFERROR(__xludf.DUMMYFUNCTION("GOOGLETRANSLATE(A4807,""en"",""pt-br"")"),"punitivo")</f>
        <v>punitivo</v>
      </c>
      <c r="D4807" s="1" t="str">
        <f>IFERROR(__xludf.DUMMYFUNCTION("GOOGLETRANSLATE(B4807,""en"",""pt-br"")"),"negativo")</f>
        <v>negativo</v>
      </c>
    </row>
    <row r="4808" ht="15.75" customHeight="1">
      <c r="A4808" s="2" t="s">
        <v>4805</v>
      </c>
      <c r="B4808" s="2" t="s">
        <v>3</v>
      </c>
      <c r="C4808" s="1" t="str">
        <f>IFERROR(__xludf.DUMMYFUNCTION("GOOGLETRANSLATE(A4808,""en"",""pt-br"")"),"punk")</f>
        <v>punk</v>
      </c>
      <c r="D4808" s="1" t="str">
        <f>IFERROR(__xludf.DUMMYFUNCTION("GOOGLETRANSLATE(B4808,""en"",""pt-br"")"),"negativo")</f>
        <v>negativo</v>
      </c>
    </row>
    <row r="4809" ht="15.75" customHeight="1">
      <c r="A4809" s="2" t="s">
        <v>4806</v>
      </c>
      <c r="B4809" s="2" t="s">
        <v>3</v>
      </c>
      <c r="C4809" s="1" t="str">
        <f>IFERROR(__xludf.DUMMYFUNCTION("GOOGLETRANSLATE(A4809,""en"",""pt-br"")"),"insignificante")</f>
        <v>insignificante</v>
      </c>
      <c r="D4809" s="1" t="str">
        <f>IFERROR(__xludf.DUMMYFUNCTION("GOOGLETRANSLATE(B4809,""en"",""pt-br"")"),"negativo")</f>
        <v>negativo</v>
      </c>
    </row>
    <row r="4810" ht="15.75" customHeight="1">
      <c r="A4810" s="2" t="s">
        <v>4807</v>
      </c>
      <c r="B4810" s="2" t="s">
        <v>3</v>
      </c>
      <c r="C4810" s="1" t="str">
        <f>IFERROR(__xludf.DUMMYFUNCTION("GOOGLETRANSLATE(A4810,""en"",""pt-br"")"),"fantoche")</f>
        <v>fantoche</v>
      </c>
      <c r="D4810" s="1" t="str">
        <f>IFERROR(__xludf.DUMMYFUNCTION("GOOGLETRANSLATE(B4810,""en"",""pt-br"")"),"negativo")</f>
        <v>negativo</v>
      </c>
    </row>
    <row r="4811" ht="15.75" customHeight="1">
      <c r="A4811" s="2" t="s">
        <v>4808</v>
      </c>
      <c r="B4811" s="2" t="s">
        <v>3</v>
      </c>
      <c r="C4811" s="1" t="str">
        <f>IFERROR(__xludf.DUMMYFUNCTION("GOOGLETRANSLATE(A4811,""en"",""pt-br"")"),"fantoches")</f>
        <v>fantoches</v>
      </c>
      <c r="D4811" s="1" t="str">
        <f>IFERROR(__xludf.DUMMYFUNCTION("GOOGLETRANSLATE(B4811,""en"",""pt-br"")"),"negativo")</f>
        <v>negativo</v>
      </c>
    </row>
    <row r="4812" ht="15.75" customHeight="1">
      <c r="A4812" s="2" t="s">
        <v>4809</v>
      </c>
      <c r="B4812" s="2" t="s">
        <v>14</v>
      </c>
      <c r="C4812" s="1" t="str">
        <f>IFERROR(__xludf.DUMMYFUNCTION("GOOGLETRANSLATE(A4812,""en"",""pt-br"")"),"puro")</f>
        <v>puro</v>
      </c>
      <c r="D4812" s="1" t="str">
        <f>IFERROR(__xludf.DUMMYFUNCTION("GOOGLETRANSLATE(B4812,""en"",""pt-br"")"),"positivo")</f>
        <v>positivo</v>
      </c>
    </row>
    <row r="4813" ht="15.75" customHeight="1">
      <c r="A4813" s="2" t="s">
        <v>4810</v>
      </c>
      <c r="B4813" s="2" t="s">
        <v>14</v>
      </c>
      <c r="C4813" s="1" t="str">
        <f>IFERROR(__xludf.DUMMYFUNCTION("GOOGLETRANSLATE(A4813,""en"",""pt-br"")"),"purificar")</f>
        <v>purificar</v>
      </c>
      <c r="D4813" s="1" t="str">
        <f>IFERROR(__xludf.DUMMYFUNCTION("GOOGLETRANSLATE(B4813,""en"",""pt-br"")"),"positivo")</f>
        <v>positivo</v>
      </c>
    </row>
    <row r="4814" ht="15.75" customHeight="1">
      <c r="A4814" s="2" t="s">
        <v>4811</v>
      </c>
      <c r="B4814" s="2" t="s">
        <v>14</v>
      </c>
      <c r="C4814" s="1" t="str">
        <f>IFERROR(__xludf.DUMMYFUNCTION("GOOGLETRANSLATE(A4814,""en"",""pt-br"")"),"com propósito")</f>
        <v>com propósito</v>
      </c>
      <c r="D4814" s="1" t="str">
        <f>IFERROR(__xludf.DUMMYFUNCTION("GOOGLETRANSLATE(B4814,""en"",""pt-br"")"),"positivo")</f>
        <v>positivo</v>
      </c>
    </row>
    <row r="4815" ht="15.75" customHeight="1">
      <c r="A4815" s="2" t="s">
        <v>4812</v>
      </c>
      <c r="B4815" s="2" t="s">
        <v>3</v>
      </c>
      <c r="C4815" s="1" t="str">
        <f>IFERROR(__xludf.DUMMYFUNCTION("GOOGLETRANSLATE(A4815,""en"",""pt-br"")"),"intrigado")</f>
        <v>intrigado</v>
      </c>
      <c r="D4815" s="1" t="str">
        <f>IFERROR(__xludf.DUMMYFUNCTION("GOOGLETRANSLATE(B4815,""en"",""pt-br"")"),"negativo")</f>
        <v>negativo</v>
      </c>
    </row>
    <row r="4816" ht="15.75" customHeight="1">
      <c r="A4816" s="2" t="s">
        <v>4813</v>
      </c>
      <c r="B4816" s="2" t="s">
        <v>3</v>
      </c>
      <c r="C4816" s="1" t="str">
        <f>IFERROR(__xludf.DUMMYFUNCTION("GOOGLETRANSLATE(A4816,""en"",""pt-br"")"),"perplexidade")</f>
        <v>perplexidade</v>
      </c>
      <c r="D4816" s="1" t="str">
        <f>IFERROR(__xludf.DUMMYFUNCTION("GOOGLETRANSLATE(B4816,""en"",""pt-br"")"),"negativo")</f>
        <v>negativo</v>
      </c>
    </row>
    <row r="4817" ht="15.75" customHeight="1">
      <c r="A4817" s="2" t="s">
        <v>4814</v>
      </c>
      <c r="B4817" s="2" t="s">
        <v>3</v>
      </c>
      <c r="C4817" s="1" t="str">
        <f>IFERROR(__xludf.DUMMYFUNCTION("GOOGLETRANSLATE(A4817,""en"",""pt-br"")"),"enigmático")</f>
        <v>enigmático</v>
      </c>
      <c r="D4817" s="1" t="str">
        <f>IFERROR(__xludf.DUMMYFUNCTION("GOOGLETRANSLATE(B4817,""en"",""pt-br"")"),"negativo")</f>
        <v>negativo</v>
      </c>
    </row>
    <row r="4818" ht="15.75" customHeight="1">
      <c r="A4818" s="2" t="s">
        <v>4815</v>
      </c>
      <c r="B4818" s="2" t="s">
        <v>3</v>
      </c>
      <c r="C4818" s="1" t="str">
        <f>IFERROR(__xludf.DUMMYFUNCTION("GOOGLETRANSLATE(A4818,""en"",""pt-br"")"),"charlatão")</f>
        <v>charlatão</v>
      </c>
      <c r="D4818" s="1" t="str">
        <f>IFERROR(__xludf.DUMMYFUNCTION("GOOGLETRANSLATE(B4818,""en"",""pt-br"")"),"negativo")</f>
        <v>negativo</v>
      </c>
    </row>
    <row r="4819" ht="15.75" customHeight="1">
      <c r="A4819" s="2" t="s">
        <v>4816</v>
      </c>
      <c r="B4819" s="2" t="s">
        <v>14</v>
      </c>
      <c r="C4819" s="1" t="str">
        <f>IFERROR(__xludf.DUMMYFUNCTION("GOOGLETRANSLATE(A4819,""en"",""pt-br"")"),"singular")</f>
        <v>singular</v>
      </c>
      <c r="D4819" s="1" t="str">
        <f>IFERROR(__xludf.DUMMYFUNCTION("GOOGLETRANSLATE(B4819,""en"",""pt-br"")"),"positivo")</f>
        <v>positivo</v>
      </c>
    </row>
    <row r="4820" ht="15.75" customHeight="1">
      <c r="A4820" s="2" t="s">
        <v>4817</v>
      </c>
      <c r="B4820" s="2" t="s">
        <v>14</v>
      </c>
      <c r="C4820" s="1" t="str">
        <f>IFERROR(__xludf.DUMMYFUNCTION("GOOGLETRANSLATE(A4820,""en"",""pt-br"")"),"qualificado")</f>
        <v>qualificado</v>
      </c>
      <c r="D4820" s="1" t="str">
        <f>IFERROR(__xludf.DUMMYFUNCTION("GOOGLETRANSLATE(B4820,""en"",""pt-br"")"),"positivo")</f>
        <v>positivo</v>
      </c>
    </row>
    <row r="4821" ht="15.75" customHeight="1">
      <c r="A4821" s="2" t="s">
        <v>4818</v>
      </c>
      <c r="B4821" s="2" t="s">
        <v>14</v>
      </c>
      <c r="C4821" s="1" t="str">
        <f>IFERROR(__xludf.DUMMYFUNCTION("GOOGLETRANSLATE(A4821,""en"",""pt-br"")"),"qualificar")</f>
        <v>qualificar</v>
      </c>
      <c r="D4821" s="1" t="str">
        <f>IFERROR(__xludf.DUMMYFUNCTION("GOOGLETRANSLATE(B4821,""en"",""pt-br"")"),"positivo")</f>
        <v>positivo</v>
      </c>
    </row>
    <row r="4822" ht="15.75" customHeight="1">
      <c r="A4822" s="2" t="s">
        <v>4819</v>
      </c>
      <c r="B4822" s="2" t="s">
        <v>3</v>
      </c>
      <c r="C4822" s="1" t="str">
        <f>IFERROR(__xludf.DUMMYFUNCTION("GOOGLETRANSLATE(A4822,""en"",""pt-br"")"),"enjôo")</f>
        <v>enjôo</v>
      </c>
      <c r="D4822" s="1" t="str">
        <f>IFERROR(__xludf.DUMMYFUNCTION("GOOGLETRANSLATE(B4822,""en"",""pt-br"")"),"negativo")</f>
        <v>negativo</v>
      </c>
    </row>
    <row r="4823" ht="15.75" customHeight="1">
      <c r="A4823" s="2" t="s">
        <v>4820</v>
      </c>
      <c r="B4823" s="2" t="s">
        <v>3</v>
      </c>
      <c r="C4823" s="1" t="str">
        <f>IFERROR(__xludf.DUMMYFUNCTION("GOOGLETRANSLATE(A4823,""en"",""pt-br"")"),"escrúpulos")</f>
        <v>escrúpulos</v>
      </c>
      <c r="D4823" s="1" t="str">
        <f>IFERROR(__xludf.DUMMYFUNCTION("GOOGLETRANSLATE(B4823,""en"",""pt-br"")"),"negativo")</f>
        <v>negativo</v>
      </c>
    </row>
    <row r="4824" ht="15.75" customHeight="1">
      <c r="A4824" s="2" t="s">
        <v>4821</v>
      </c>
      <c r="B4824" s="2" t="s">
        <v>3</v>
      </c>
      <c r="C4824" s="1" t="str">
        <f>IFERROR(__xludf.DUMMYFUNCTION("GOOGLETRANSLATE(A4824,""en"",""pt-br"")"),"dilema")</f>
        <v>dilema</v>
      </c>
      <c r="D4824" s="1" t="str">
        <f>IFERROR(__xludf.DUMMYFUNCTION("GOOGLETRANSLATE(B4824,""en"",""pt-br"")"),"negativo")</f>
        <v>negativo</v>
      </c>
    </row>
    <row r="4825" ht="15.75" customHeight="1">
      <c r="A4825" s="2" t="s">
        <v>4822</v>
      </c>
      <c r="B4825" s="2" t="s">
        <v>3</v>
      </c>
      <c r="C4825" s="1" t="str">
        <f>IFERROR(__xludf.DUMMYFUNCTION("GOOGLETRANSLATE(A4825,""en"",""pt-br"")"),"disputa")</f>
        <v>disputa</v>
      </c>
      <c r="D4825" s="1" t="str">
        <f>IFERROR(__xludf.DUMMYFUNCTION("GOOGLETRANSLATE(B4825,""en"",""pt-br"")"),"negativo")</f>
        <v>negativo</v>
      </c>
    </row>
    <row r="4826" ht="15.75" customHeight="1">
      <c r="A4826" s="2" t="s">
        <v>4823</v>
      </c>
      <c r="B4826" s="2" t="s">
        <v>3</v>
      </c>
      <c r="C4826" s="1" t="str">
        <f>IFERROR(__xludf.DUMMYFUNCTION("GOOGLETRANSLATE(A4826,""en"",""pt-br"")"),"quarrellous")</f>
        <v>quarrellous</v>
      </c>
      <c r="D4826" s="1" t="str">
        <f>IFERROR(__xludf.DUMMYFUNCTION("GOOGLETRANSLATE(B4826,""en"",""pt-br"")"),"negativo")</f>
        <v>negativo</v>
      </c>
    </row>
    <row r="4827" ht="15.75" customHeight="1">
      <c r="A4827" s="2" t="s">
        <v>4824</v>
      </c>
      <c r="B4827" s="2" t="s">
        <v>3</v>
      </c>
      <c r="C4827" s="1" t="str">
        <f>IFERROR(__xludf.DUMMYFUNCTION("GOOGLETRANSLATE(A4827,""en"",""pt-br"")"),"quarrellously")</f>
        <v>quarrellously</v>
      </c>
      <c r="D4827" s="1" t="str">
        <f>IFERROR(__xludf.DUMMYFUNCTION("GOOGLETRANSLATE(B4827,""en"",""pt-br"")"),"negativo")</f>
        <v>negativo</v>
      </c>
    </row>
    <row r="4828" ht="15.75" customHeight="1">
      <c r="A4828" s="2" t="s">
        <v>4825</v>
      </c>
      <c r="B4828" s="2" t="s">
        <v>3</v>
      </c>
      <c r="C4828" s="1" t="str">
        <f>IFERROR(__xludf.DUMMYFUNCTION("GOOGLETRANSLATE(A4828,""en"",""pt-br"")"),"querelas")</f>
        <v>querelas</v>
      </c>
      <c r="D4828" s="1" t="str">
        <f>IFERROR(__xludf.DUMMYFUNCTION("GOOGLETRANSLATE(B4828,""en"",""pt-br"")"),"negativo")</f>
        <v>negativo</v>
      </c>
    </row>
    <row r="4829" ht="15.75" customHeight="1">
      <c r="A4829" s="2" t="s">
        <v>4826</v>
      </c>
      <c r="B4829" s="2" t="s">
        <v>3</v>
      </c>
      <c r="C4829" s="1" t="str">
        <f>IFERROR(__xludf.DUMMYFUNCTION("GOOGLETRANSLATE(A4829,""en"",""pt-br"")"),"briguento")</f>
        <v>briguento</v>
      </c>
      <c r="D4829" s="1" t="str">
        <f>IFERROR(__xludf.DUMMYFUNCTION("GOOGLETRANSLATE(B4829,""en"",""pt-br"")"),"negativo")</f>
        <v>negativo</v>
      </c>
    </row>
    <row r="4830" ht="15.75" customHeight="1">
      <c r="A4830" s="2" t="s">
        <v>4827</v>
      </c>
      <c r="B4830" s="2" t="s">
        <v>3</v>
      </c>
      <c r="C4830" s="1" t="str">
        <f>IFERROR(__xludf.DUMMYFUNCTION("GOOGLETRANSLATE(A4830,""en"",""pt-br"")"),"quash")</f>
        <v>quash</v>
      </c>
      <c r="D4830" s="1" t="str">
        <f>IFERROR(__xludf.DUMMYFUNCTION("GOOGLETRANSLATE(B4830,""en"",""pt-br"")"),"negativo")</f>
        <v>negativo</v>
      </c>
    </row>
    <row r="4831" ht="15.75" customHeight="1">
      <c r="A4831" s="2" t="s">
        <v>4828</v>
      </c>
      <c r="B4831" s="2" t="s">
        <v>3</v>
      </c>
      <c r="C4831" s="1" t="str">
        <f>IFERROR(__xludf.DUMMYFUNCTION("GOOGLETRANSLATE(A4831,""en"",""pt-br"")"),"esquisito")</f>
        <v>esquisito</v>
      </c>
      <c r="D4831" s="1" t="str">
        <f>IFERROR(__xludf.DUMMYFUNCTION("GOOGLETRANSLATE(B4831,""en"",""pt-br"")"),"negativo")</f>
        <v>negativo</v>
      </c>
    </row>
    <row r="4832" ht="15.75" customHeight="1">
      <c r="A4832" s="2" t="s">
        <v>4829</v>
      </c>
      <c r="B4832" s="2" t="s">
        <v>3</v>
      </c>
      <c r="C4832" s="1" t="str">
        <f>IFERROR(__xludf.DUMMYFUNCTION("GOOGLETRANSLATE(A4832,""en"",""pt-br"")"),"questionável")</f>
        <v>questionável</v>
      </c>
      <c r="D4832" s="1" t="str">
        <f>IFERROR(__xludf.DUMMYFUNCTION("GOOGLETRANSLATE(B4832,""en"",""pt-br"")"),"negativo")</f>
        <v>negativo</v>
      </c>
    </row>
    <row r="4833" ht="15.75" customHeight="1">
      <c r="A4833" s="2" t="s">
        <v>4830</v>
      </c>
      <c r="B4833" s="2" t="s">
        <v>3</v>
      </c>
      <c r="C4833" s="1" t="str">
        <f>IFERROR(__xludf.DUMMYFUNCTION("GOOGLETRANSLATE(A4833,""en"",""pt-br"")"),"trocadilho")</f>
        <v>trocadilho</v>
      </c>
      <c r="D4833" s="1" t="str">
        <f>IFERROR(__xludf.DUMMYFUNCTION("GOOGLETRANSLATE(B4833,""en"",""pt-br"")"),"negativo")</f>
        <v>negativo</v>
      </c>
    </row>
    <row r="4834" ht="15.75" customHeight="1">
      <c r="A4834" s="2" t="s">
        <v>4831</v>
      </c>
      <c r="B4834" s="2" t="s">
        <v>3</v>
      </c>
      <c r="C4834" s="1" t="str">
        <f>IFERROR(__xludf.DUMMYFUNCTION("GOOGLETRANSLATE(A4834,""en"",""pt-br"")"),"quibbles")</f>
        <v>quibbles</v>
      </c>
      <c r="D4834" s="1" t="str">
        <f>IFERROR(__xludf.DUMMYFUNCTION("GOOGLETRANSLATE(B4834,""en"",""pt-br"")"),"negativo")</f>
        <v>negativo</v>
      </c>
    </row>
    <row r="4835" ht="15.75" customHeight="1">
      <c r="A4835" s="2" t="s">
        <v>4832</v>
      </c>
      <c r="B4835" s="2" t="s">
        <v>14</v>
      </c>
      <c r="C4835" s="1" t="str">
        <f>IFERROR(__xludf.DUMMYFUNCTION("GOOGLETRANSLATE(A4835,""en"",""pt-br"")"),"mais rápido")</f>
        <v>mais rápido</v>
      </c>
      <c r="D4835" s="1" t="str">
        <f>IFERROR(__xludf.DUMMYFUNCTION("GOOGLETRANSLATE(B4835,""en"",""pt-br"")"),"positivo")</f>
        <v>positivo</v>
      </c>
    </row>
    <row r="4836" ht="15.75" customHeight="1">
      <c r="A4836" s="2" t="s">
        <v>4833</v>
      </c>
      <c r="B4836" s="2" t="s">
        <v>14</v>
      </c>
      <c r="C4836" s="1" t="str">
        <f>IFERROR(__xludf.DUMMYFUNCTION("GOOGLETRANSLATE(A4836,""en"",""pt-br"")"),"quieto")</f>
        <v>quieto</v>
      </c>
      <c r="D4836" s="1" t="str">
        <f>IFERROR(__xludf.DUMMYFUNCTION("GOOGLETRANSLATE(B4836,""en"",""pt-br"")"),"positivo")</f>
        <v>positivo</v>
      </c>
    </row>
    <row r="4837" ht="15.75" customHeight="1">
      <c r="A4837" s="2" t="s">
        <v>4834</v>
      </c>
      <c r="B4837" s="2" t="s">
        <v>14</v>
      </c>
      <c r="C4837" s="1" t="str">
        <f>IFERROR(__xludf.DUMMYFUNCTION("GOOGLETRANSLATE(A4837,""en"",""pt-br"")"),"mais silencioso")</f>
        <v>mais silencioso</v>
      </c>
      <c r="D4837" s="1" t="str">
        <f>IFERROR(__xludf.DUMMYFUNCTION("GOOGLETRANSLATE(B4837,""en"",""pt-br"")"),"positivo")</f>
        <v>positivo</v>
      </c>
    </row>
    <row r="4838" ht="15.75" customHeight="1">
      <c r="A4838" s="2" t="s">
        <v>4835</v>
      </c>
      <c r="B4838" s="2" t="s">
        <v>3</v>
      </c>
      <c r="C4838" s="1" t="str">
        <f>IFERROR(__xludf.DUMMYFUNCTION("GOOGLETRANSLATE(A4838,""en"",""pt-br"")"),"desistente")</f>
        <v>desistente</v>
      </c>
      <c r="D4838" s="1" t="str">
        <f>IFERROR(__xludf.DUMMYFUNCTION("GOOGLETRANSLATE(B4838,""en"",""pt-br"")"),"negativo")</f>
        <v>negativo</v>
      </c>
    </row>
    <row r="4839" ht="15.75" customHeight="1">
      <c r="A4839" s="2" t="s">
        <v>4836</v>
      </c>
      <c r="B4839" s="2" t="s">
        <v>3</v>
      </c>
      <c r="C4839" s="1" t="str">
        <f>IFERROR(__xludf.DUMMYFUNCTION("GOOGLETRANSLATE(A4839,""en"",""pt-br"")"),"fanático")</f>
        <v>fanático</v>
      </c>
      <c r="D4839" s="1" t="str">
        <f>IFERROR(__xludf.DUMMYFUNCTION("GOOGLETRANSLATE(B4839,""en"",""pt-br"")"),"negativo")</f>
        <v>negativo</v>
      </c>
    </row>
    <row r="4840" ht="15.75" customHeight="1">
      <c r="A4840" s="2" t="s">
        <v>4837</v>
      </c>
      <c r="B4840" s="2" t="s">
        <v>3</v>
      </c>
      <c r="C4840" s="1" t="str">
        <f>IFERROR(__xludf.DUMMYFUNCTION("GOOGLETRANSLATE(A4840,""en"",""pt-br"")"),"racismo")</f>
        <v>racismo</v>
      </c>
      <c r="D4840" s="1" t="str">
        <f>IFERROR(__xludf.DUMMYFUNCTION("GOOGLETRANSLATE(B4840,""en"",""pt-br"")"),"negativo")</f>
        <v>negativo</v>
      </c>
    </row>
    <row r="4841" ht="15.75" customHeight="1">
      <c r="A4841" s="2" t="s">
        <v>4838</v>
      </c>
      <c r="B4841" s="2" t="s">
        <v>3</v>
      </c>
      <c r="C4841" s="1" t="str">
        <f>IFERROR(__xludf.DUMMYFUNCTION("GOOGLETRANSLATE(A4841,""en"",""pt-br"")"),"racista")</f>
        <v>racista</v>
      </c>
      <c r="D4841" s="1" t="str">
        <f>IFERROR(__xludf.DUMMYFUNCTION("GOOGLETRANSLATE(B4841,""en"",""pt-br"")"),"negativo")</f>
        <v>negativo</v>
      </c>
    </row>
    <row r="4842" ht="15.75" customHeight="1">
      <c r="A4842" s="2" t="s">
        <v>4839</v>
      </c>
      <c r="B4842" s="2" t="s">
        <v>3</v>
      </c>
      <c r="C4842" s="1" t="str">
        <f>IFERROR(__xludf.DUMMYFUNCTION("GOOGLETRANSLATE(A4842,""en"",""pt-br"")"),"racistas")</f>
        <v>racistas</v>
      </c>
      <c r="D4842" s="1" t="str">
        <f>IFERROR(__xludf.DUMMYFUNCTION("GOOGLETRANSLATE(B4842,""en"",""pt-br"")"),"negativo")</f>
        <v>negativo</v>
      </c>
    </row>
    <row r="4843" ht="15.75" customHeight="1">
      <c r="A4843" s="2" t="s">
        <v>4840</v>
      </c>
      <c r="B4843" s="2" t="s">
        <v>3</v>
      </c>
      <c r="C4843" s="1" t="str">
        <f>IFERROR(__xludf.DUMMYFUNCTION("GOOGLETRANSLATE(A4843,""en"",""pt-br"")"),"picante")</f>
        <v>picante</v>
      </c>
      <c r="D4843" s="1" t="str">
        <f>IFERROR(__xludf.DUMMYFUNCTION("GOOGLETRANSLATE(B4843,""en"",""pt-br"")"),"negativo")</f>
        <v>negativo</v>
      </c>
    </row>
    <row r="4844" ht="15.75" customHeight="1">
      <c r="A4844" s="2" t="s">
        <v>4841</v>
      </c>
      <c r="B4844" s="2" t="s">
        <v>14</v>
      </c>
      <c r="C4844" s="1" t="str">
        <f>IFERROR(__xludf.DUMMYFUNCTION("GOOGLETRANSLATE(A4844,""en"",""pt-br"")"),"brilho")</f>
        <v>brilho</v>
      </c>
      <c r="D4844" s="1" t="str">
        <f>IFERROR(__xludf.DUMMYFUNCTION("GOOGLETRANSLATE(B4844,""en"",""pt-br"")"),"positivo")</f>
        <v>positivo</v>
      </c>
    </row>
    <row r="4845" ht="15.75" customHeight="1">
      <c r="A4845" s="2" t="s">
        <v>4842</v>
      </c>
      <c r="B4845" s="2" t="s">
        <v>14</v>
      </c>
      <c r="C4845" s="1" t="str">
        <f>IFERROR(__xludf.DUMMYFUNCTION("GOOGLETRANSLATE(A4845,""en"",""pt-br"")"),"radiante")</f>
        <v>radiante</v>
      </c>
      <c r="D4845" s="1" t="str">
        <f>IFERROR(__xludf.DUMMYFUNCTION("GOOGLETRANSLATE(B4845,""en"",""pt-br"")"),"positivo")</f>
        <v>positivo</v>
      </c>
    </row>
    <row r="4846" ht="15.75" customHeight="1">
      <c r="A4846" s="2" t="s">
        <v>4843</v>
      </c>
      <c r="B4846" s="2" t="s">
        <v>3</v>
      </c>
      <c r="C4846" s="1" t="str">
        <f>IFERROR(__xludf.DUMMYFUNCTION("GOOGLETRANSLATE(A4846,""en"",""pt-br"")"),"radical")</f>
        <v>radical</v>
      </c>
      <c r="D4846" s="1" t="str">
        <f>IFERROR(__xludf.DUMMYFUNCTION("GOOGLETRANSLATE(B4846,""en"",""pt-br"")"),"negativo")</f>
        <v>negativo</v>
      </c>
    </row>
    <row r="4847" ht="15.75" customHeight="1">
      <c r="A4847" s="2" t="s">
        <v>4844</v>
      </c>
      <c r="B4847" s="2" t="s">
        <v>3</v>
      </c>
      <c r="C4847" s="1" t="str">
        <f>IFERROR(__xludf.DUMMYFUNCTION("GOOGLETRANSLATE(A4847,""en"",""pt-br"")"),"radicalização")</f>
        <v>radicalização</v>
      </c>
      <c r="D4847" s="1" t="str">
        <f>IFERROR(__xludf.DUMMYFUNCTION("GOOGLETRANSLATE(B4847,""en"",""pt-br"")"),"negativo")</f>
        <v>negativo</v>
      </c>
    </row>
    <row r="4848" ht="15.75" customHeight="1">
      <c r="A4848" s="2" t="s">
        <v>4845</v>
      </c>
      <c r="B4848" s="2" t="s">
        <v>3</v>
      </c>
      <c r="C4848" s="1" t="str">
        <f>IFERROR(__xludf.DUMMYFUNCTION("GOOGLETRANSLATE(A4848,""en"",""pt-br"")"),"radicalmente")</f>
        <v>radicalmente</v>
      </c>
      <c r="D4848" s="1" t="str">
        <f>IFERROR(__xludf.DUMMYFUNCTION("GOOGLETRANSLATE(B4848,""en"",""pt-br"")"),"negativo")</f>
        <v>negativo</v>
      </c>
    </row>
    <row r="4849" ht="15.75" customHeight="1">
      <c r="A4849" s="2" t="s">
        <v>4846</v>
      </c>
      <c r="B4849" s="2" t="s">
        <v>3</v>
      </c>
      <c r="C4849" s="1" t="str">
        <f>IFERROR(__xludf.DUMMYFUNCTION("GOOGLETRANSLATE(A4849,""en"",""pt-br"")"),"radicais")</f>
        <v>radicais</v>
      </c>
      <c r="D4849" s="1" t="str">
        <f>IFERROR(__xludf.DUMMYFUNCTION("GOOGLETRANSLATE(B4849,""en"",""pt-br"")"),"negativo")</f>
        <v>negativo</v>
      </c>
    </row>
    <row r="4850" ht="15.75" customHeight="1">
      <c r="A4850" s="2" t="s">
        <v>4847</v>
      </c>
      <c r="B4850" s="2" t="s">
        <v>3</v>
      </c>
      <c r="C4850" s="1" t="str">
        <f>IFERROR(__xludf.DUMMYFUNCTION("GOOGLETRANSLATE(A4850,""en"",""pt-br"")"),"raiva")</f>
        <v>raiva</v>
      </c>
      <c r="D4850" s="1" t="str">
        <f>IFERROR(__xludf.DUMMYFUNCTION("GOOGLETRANSLATE(B4850,""en"",""pt-br"")"),"negativo")</f>
        <v>negativo</v>
      </c>
    </row>
    <row r="4851" ht="15.75" customHeight="1">
      <c r="A4851" s="2" t="s">
        <v>4848</v>
      </c>
      <c r="B4851" s="2" t="s">
        <v>3</v>
      </c>
      <c r="C4851" s="1" t="str">
        <f>IFERROR(__xludf.DUMMYFUNCTION("GOOGLETRANSLATE(A4851,""en"",""pt-br"")"),"esfarrapado")</f>
        <v>esfarrapado</v>
      </c>
      <c r="D4851" s="1" t="str">
        <f>IFERROR(__xludf.DUMMYFUNCTION("GOOGLETRANSLATE(B4851,""en"",""pt-br"")"),"negativo")</f>
        <v>negativo</v>
      </c>
    </row>
    <row r="4852" ht="15.75" customHeight="1">
      <c r="A4852" s="2" t="s">
        <v>4849</v>
      </c>
      <c r="B4852" s="2" t="s">
        <v>3</v>
      </c>
      <c r="C4852" s="1" t="str">
        <f>IFERROR(__xludf.DUMMYFUNCTION("GOOGLETRANSLATE(A4852,""en"",""pt-br"")"),"furioso")</f>
        <v>furioso</v>
      </c>
      <c r="D4852" s="1" t="str">
        <f>IFERROR(__xludf.DUMMYFUNCTION("GOOGLETRANSLATE(B4852,""en"",""pt-br"")"),"negativo")</f>
        <v>negativo</v>
      </c>
    </row>
    <row r="4853" ht="15.75" customHeight="1">
      <c r="A4853" s="2" t="s">
        <v>4850</v>
      </c>
      <c r="B4853" s="2" t="s">
        <v>3</v>
      </c>
      <c r="C4853" s="1" t="str">
        <f>IFERROR(__xludf.DUMMYFUNCTION("GOOGLETRANSLATE(A4853,""en"",""pt-br"")"),"trilho")</f>
        <v>trilho</v>
      </c>
      <c r="D4853" s="1" t="str">
        <f>IFERROR(__xludf.DUMMYFUNCTION("GOOGLETRANSLATE(B4853,""en"",""pt-br"")"),"negativo")</f>
        <v>negativo</v>
      </c>
    </row>
    <row r="4854" ht="15.75" customHeight="1">
      <c r="A4854" s="2" t="s">
        <v>4851</v>
      </c>
      <c r="B4854" s="2" t="s">
        <v>3</v>
      </c>
      <c r="C4854" s="1" t="str">
        <f>IFERROR(__xludf.DUMMYFUNCTION("GOOGLETRANSLATE(A4854,""en"",""pt-br"")"),"raked")</f>
        <v>raked</v>
      </c>
      <c r="D4854" s="1" t="str">
        <f>IFERROR(__xludf.DUMMYFUNCTION("GOOGLETRANSLATE(B4854,""en"",""pt-br"")"),"negativo")</f>
        <v>negativo</v>
      </c>
    </row>
    <row r="4855" ht="15.75" customHeight="1">
      <c r="A4855" s="2" t="s">
        <v>4852</v>
      </c>
      <c r="B4855" s="2" t="s">
        <v>3</v>
      </c>
      <c r="C4855" s="1" t="str">
        <f>IFERROR(__xludf.DUMMYFUNCTION("GOOGLETRANSLATE(A4855,""en"",""pt-br"")"),"alvoroço")</f>
        <v>alvoroço</v>
      </c>
      <c r="D4855" s="1" t="str">
        <f>IFERROR(__xludf.DUMMYFUNCTION("GOOGLETRANSLATE(B4855,""en"",""pt-br"")"),"negativo")</f>
        <v>negativo</v>
      </c>
    </row>
    <row r="4856" ht="15.75" customHeight="1">
      <c r="A4856" s="2" t="s">
        <v>4853</v>
      </c>
      <c r="B4856" s="2" t="s">
        <v>3</v>
      </c>
      <c r="C4856" s="1" t="str">
        <f>IFERROR(__xludf.DUMMYFUNCTION("GOOGLETRANSLATE(A4856,""en"",""pt-br"")"),"rampante")</f>
        <v>rampante</v>
      </c>
      <c r="D4856" s="1" t="str">
        <f>IFERROR(__xludf.DUMMYFUNCTION("GOOGLETRANSLATE(B4856,""en"",""pt-br"")"),"negativo")</f>
        <v>negativo</v>
      </c>
    </row>
    <row r="4857" ht="15.75" customHeight="1">
      <c r="A4857" s="2" t="s">
        <v>4854</v>
      </c>
      <c r="B4857" s="2" t="s">
        <v>3</v>
      </c>
      <c r="C4857" s="1" t="str">
        <f>IFERROR(__xludf.DUMMYFUNCTION("GOOGLETRANSLATE(A4857,""en"",""pt-br"")"),"desorganizada")</f>
        <v>desorganizada</v>
      </c>
      <c r="D4857" s="1" t="str">
        <f>IFERROR(__xludf.DUMMYFUNCTION("GOOGLETRANSLATE(B4857,""en"",""pt-br"")"),"negativo")</f>
        <v>negativo</v>
      </c>
    </row>
    <row r="4858" ht="15.75" customHeight="1">
      <c r="A4858" s="2" t="s">
        <v>4855</v>
      </c>
      <c r="B4858" s="2" t="s">
        <v>3</v>
      </c>
      <c r="C4858" s="1" t="str">
        <f>IFERROR(__xludf.DUMMYFUNCTION("GOOGLETRANSLATE(A4858,""en"",""pt-br"")"),"rancor")</f>
        <v>rancor</v>
      </c>
      <c r="D4858" s="1" t="str">
        <f>IFERROR(__xludf.DUMMYFUNCTION("GOOGLETRANSLATE(B4858,""en"",""pt-br"")"),"negativo")</f>
        <v>negativo</v>
      </c>
    </row>
    <row r="4859" ht="15.75" customHeight="1">
      <c r="A4859" s="2" t="s">
        <v>4856</v>
      </c>
      <c r="B4859" s="2" t="s">
        <v>3</v>
      </c>
      <c r="C4859" s="1" t="str">
        <f>IFERROR(__xludf.DUMMYFUNCTION("GOOGLETRANSLATE(A4859,""en"",""pt-br"")"),"aleatoriamente")</f>
        <v>aleatoriamente</v>
      </c>
      <c r="D4859" s="1" t="str">
        <f>IFERROR(__xludf.DUMMYFUNCTION("GOOGLETRANSLATE(B4859,""en"",""pt-br"")"),"negativo")</f>
        <v>negativo</v>
      </c>
    </row>
    <row r="4860" ht="15.75" customHeight="1">
      <c r="A4860" s="2" t="s">
        <v>4857</v>
      </c>
      <c r="B4860" s="2" t="s">
        <v>3</v>
      </c>
      <c r="C4860" s="1" t="str">
        <f>IFERROR(__xludf.DUMMYFUNCTION("GOOGLETRANSLATE(A4860,""en"",""pt-br"")"),"ulcerar")</f>
        <v>ulcerar</v>
      </c>
      <c r="D4860" s="1" t="str">
        <f>IFERROR(__xludf.DUMMYFUNCTION("GOOGLETRANSLATE(B4860,""en"",""pt-br"")"),"negativo")</f>
        <v>negativo</v>
      </c>
    </row>
    <row r="4861" ht="15.75" customHeight="1">
      <c r="A4861" s="2" t="s">
        <v>4858</v>
      </c>
      <c r="B4861" s="2" t="s">
        <v>3</v>
      </c>
      <c r="C4861" s="1" t="str">
        <f>IFERROR(__xludf.DUMMYFUNCTION("GOOGLETRANSLATE(A4861,""en"",""pt-br"")"),"discurso retórico")</f>
        <v>discurso retórico</v>
      </c>
      <c r="D4861" s="1" t="str">
        <f>IFERROR(__xludf.DUMMYFUNCTION("GOOGLETRANSLATE(B4861,""en"",""pt-br"")"),"negativo")</f>
        <v>negativo</v>
      </c>
    </row>
    <row r="4862" ht="15.75" customHeight="1">
      <c r="A4862" s="2" t="s">
        <v>4859</v>
      </c>
      <c r="B4862" s="2" t="s">
        <v>3</v>
      </c>
      <c r="C4862" s="1" t="str">
        <f>IFERROR(__xludf.DUMMYFUNCTION("GOOGLETRANSLATE(A4862,""en"",""pt-br"")"),"ranted")</f>
        <v>ranted</v>
      </c>
      <c r="D4862" s="1" t="str">
        <f>IFERROR(__xludf.DUMMYFUNCTION("GOOGLETRANSLATE(B4862,""en"",""pt-br"")"),"negativo")</f>
        <v>negativo</v>
      </c>
    </row>
    <row r="4863" ht="15.75" customHeight="1">
      <c r="A4863" s="2" t="s">
        <v>4860</v>
      </c>
      <c r="B4863" s="2" t="s">
        <v>3</v>
      </c>
      <c r="C4863" s="1" t="str">
        <f>IFERROR(__xludf.DUMMYFUNCTION("GOOGLETRANSLATE(A4863,""en"",""pt-br"")"),"ranting")</f>
        <v>ranting</v>
      </c>
      <c r="D4863" s="1" t="str">
        <f>IFERROR(__xludf.DUMMYFUNCTION("GOOGLETRANSLATE(B4863,""en"",""pt-br"")"),"negativo")</f>
        <v>negativo</v>
      </c>
    </row>
    <row r="4864" ht="15.75" customHeight="1">
      <c r="A4864" s="2" t="s">
        <v>4861</v>
      </c>
      <c r="B4864" s="2" t="s">
        <v>3</v>
      </c>
      <c r="C4864" s="1" t="str">
        <f>IFERROR(__xludf.DUMMYFUNCTION("GOOGLETRANSLATE(A4864,""en"",""pt-br"")"),"rantingly")</f>
        <v>rantingly</v>
      </c>
      <c r="D4864" s="1" t="str">
        <f>IFERROR(__xludf.DUMMYFUNCTION("GOOGLETRANSLATE(B4864,""en"",""pt-br"")"),"negativo")</f>
        <v>negativo</v>
      </c>
    </row>
    <row r="4865" ht="15.75" customHeight="1">
      <c r="A4865" s="2" t="s">
        <v>4862</v>
      </c>
      <c r="B4865" s="2" t="s">
        <v>3</v>
      </c>
      <c r="C4865" s="1" t="str">
        <f>IFERROR(__xludf.DUMMYFUNCTION("GOOGLETRANSLATE(A4865,""en"",""pt-br"")"),"rants")</f>
        <v>rants</v>
      </c>
      <c r="D4865" s="1" t="str">
        <f>IFERROR(__xludf.DUMMYFUNCTION("GOOGLETRANSLATE(B4865,""en"",""pt-br"")"),"negativo")</f>
        <v>negativo</v>
      </c>
    </row>
    <row r="4866" ht="15.75" customHeight="1">
      <c r="A4866" s="2" t="s">
        <v>4863</v>
      </c>
      <c r="B4866" s="2" t="s">
        <v>3</v>
      </c>
      <c r="C4866" s="1" t="str">
        <f>IFERROR(__xludf.DUMMYFUNCTION("GOOGLETRANSLATE(A4866,""en"",""pt-br"")"),"estupro")</f>
        <v>estupro</v>
      </c>
      <c r="D4866" s="1" t="str">
        <f>IFERROR(__xludf.DUMMYFUNCTION("GOOGLETRANSLATE(B4866,""en"",""pt-br"")"),"negativo")</f>
        <v>negativo</v>
      </c>
    </row>
    <row r="4867" ht="15.75" customHeight="1">
      <c r="A4867" s="2" t="s">
        <v>4864</v>
      </c>
      <c r="B4867" s="2" t="s">
        <v>3</v>
      </c>
      <c r="C4867" s="1" t="str">
        <f>IFERROR(__xludf.DUMMYFUNCTION("GOOGLETRANSLATE(A4867,""en"",""pt-br"")"),"estuprado")</f>
        <v>estuprado</v>
      </c>
      <c r="D4867" s="1" t="str">
        <f>IFERROR(__xludf.DUMMYFUNCTION("GOOGLETRANSLATE(B4867,""en"",""pt-br"")"),"negativo")</f>
        <v>negativo</v>
      </c>
    </row>
    <row r="4868" ht="15.75" customHeight="1">
      <c r="A4868" s="2" t="s">
        <v>4865</v>
      </c>
      <c r="B4868" s="2" t="s">
        <v>14</v>
      </c>
      <c r="C4868" s="1" t="str">
        <f>IFERROR(__xludf.DUMMYFUNCTION("GOOGLETRANSLATE(A4868,""en"",""pt-br"")"),"rápido")</f>
        <v>rápido</v>
      </c>
      <c r="D4868" s="1" t="str">
        <f>IFERROR(__xludf.DUMMYFUNCTION("GOOGLETRANSLATE(B4868,""en"",""pt-br"")"),"positivo")</f>
        <v>positivo</v>
      </c>
    </row>
    <row r="4869" ht="15.75" customHeight="1">
      <c r="A4869" s="2" t="s">
        <v>4866</v>
      </c>
      <c r="B4869" s="2" t="s">
        <v>3</v>
      </c>
      <c r="C4869" s="1" t="str">
        <f>IFERROR(__xludf.DUMMYFUNCTION("GOOGLETRANSLATE(A4869,""en"",""pt-br"")"),"estuprando")</f>
        <v>estuprando</v>
      </c>
      <c r="D4869" s="1" t="str">
        <f>IFERROR(__xludf.DUMMYFUNCTION("GOOGLETRANSLATE(B4869,""en"",""pt-br"")"),"negativo")</f>
        <v>negativo</v>
      </c>
    </row>
    <row r="4870" ht="15.75" customHeight="1">
      <c r="A4870" s="2" t="s">
        <v>4867</v>
      </c>
      <c r="B4870" s="2" t="s">
        <v>14</v>
      </c>
      <c r="C4870" s="1" t="str">
        <f>IFERROR(__xludf.DUMMYFUNCTION("GOOGLETRANSLATE(A4870,""en"",""pt-br"")"),"harmonia")</f>
        <v>harmonia</v>
      </c>
      <c r="D4870" s="1" t="str">
        <f>IFERROR(__xludf.DUMMYFUNCTION("GOOGLETRANSLATE(B4870,""en"",""pt-br"")"),"positivo")</f>
        <v>positivo</v>
      </c>
    </row>
    <row r="4871" ht="15.75" customHeight="1">
      <c r="A4871" s="2" t="s">
        <v>4868</v>
      </c>
      <c r="B4871" s="2" t="s">
        <v>14</v>
      </c>
      <c r="C4871" s="1" t="str">
        <f>IFERROR(__xludf.DUMMYFUNCTION("GOOGLETRANSLATE(A4871,""en"",""pt-br"")"),"arrebatado")</f>
        <v>arrebatado</v>
      </c>
      <c r="D4871" s="1" t="str">
        <f>IFERROR(__xludf.DUMMYFUNCTION("GOOGLETRANSLATE(B4871,""en"",""pt-br"")"),"positivo")</f>
        <v>positivo</v>
      </c>
    </row>
    <row r="4872" ht="15.75" customHeight="1">
      <c r="A4872" s="2" t="s">
        <v>4869</v>
      </c>
      <c r="B4872" s="2" t="s">
        <v>14</v>
      </c>
      <c r="C4872" s="1" t="str">
        <f>IFERROR(__xludf.DUMMYFUNCTION("GOOGLETRANSLATE(A4872,""en"",""pt-br"")"),"êxtase")</f>
        <v>êxtase</v>
      </c>
      <c r="D4872" s="1" t="str">
        <f>IFERROR(__xludf.DUMMYFUNCTION("GOOGLETRANSLATE(B4872,""en"",""pt-br"")"),"positivo")</f>
        <v>positivo</v>
      </c>
    </row>
    <row r="4873" ht="15.75" customHeight="1">
      <c r="A4873" s="2" t="s">
        <v>4870</v>
      </c>
      <c r="B4873" s="2" t="s">
        <v>14</v>
      </c>
      <c r="C4873" s="1" t="str">
        <f>IFERROR(__xludf.DUMMYFUNCTION("GOOGLETRANSLATE(A4873,""en"",""pt-br"")"),"raptureous")</f>
        <v>raptureous</v>
      </c>
      <c r="D4873" s="1" t="str">
        <f>IFERROR(__xludf.DUMMYFUNCTION("GOOGLETRANSLATE(B4873,""en"",""pt-br"")"),"positivo")</f>
        <v>positivo</v>
      </c>
    </row>
    <row r="4874" ht="15.75" customHeight="1">
      <c r="A4874" s="2" t="s">
        <v>4871</v>
      </c>
      <c r="B4874" s="2" t="s">
        <v>14</v>
      </c>
      <c r="C4874" s="1" t="str">
        <f>IFERROR(__xludf.DUMMYFUNCTION("GOOGLETRANSLATE(A4874,""en"",""pt-br"")"),"raptureously")</f>
        <v>raptureously</v>
      </c>
      <c r="D4874" s="1" t="str">
        <f>IFERROR(__xludf.DUMMYFUNCTION("GOOGLETRANSLATE(B4874,""en"",""pt-br"")"),"positivo")</f>
        <v>positivo</v>
      </c>
    </row>
    <row r="4875" ht="15.75" customHeight="1">
      <c r="A4875" s="2" t="s">
        <v>4872</v>
      </c>
      <c r="B4875" s="2" t="s">
        <v>14</v>
      </c>
      <c r="C4875" s="1" t="str">
        <f>IFERROR(__xludf.DUMMYFUNCTION("GOOGLETRANSLATE(A4875,""en"",""pt-br"")"),"arrebatador")</f>
        <v>arrebatador</v>
      </c>
      <c r="D4875" s="1" t="str">
        <f>IFERROR(__xludf.DUMMYFUNCTION("GOOGLETRANSLATE(B4875,""en"",""pt-br"")"),"positivo")</f>
        <v>positivo</v>
      </c>
    </row>
    <row r="4876" ht="15.75" customHeight="1">
      <c r="A4876" s="2" t="s">
        <v>4873</v>
      </c>
      <c r="B4876" s="2" t="s">
        <v>14</v>
      </c>
      <c r="C4876" s="1" t="str">
        <f>IFERROR(__xludf.DUMMYFUNCTION("GOOGLETRANSLATE(A4876,""en"",""pt-br"")"),"rapturously")</f>
        <v>rapturously</v>
      </c>
      <c r="D4876" s="1" t="str">
        <f>IFERROR(__xludf.DUMMYFUNCTION("GOOGLETRANSLATE(B4876,""en"",""pt-br"")"),"positivo")</f>
        <v>positivo</v>
      </c>
    </row>
    <row r="4877" ht="15.75" customHeight="1">
      <c r="A4877" s="2" t="s">
        <v>4874</v>
      </c>
      <c r="B4877" s="2" t="s">
        <v>3</v>
      </c>
      <c r="C4877" s="1" t="str">
        <f>IFERROR(__xludf.DUMMYFUNCTION("GOOGLETRANSLATE(A4877,""en"",""pt-br"")"),"patife")</f>
        <v>patife</v>
      </c>
      <c r="D4877" s="1" t="str">
        <f>IFERROR(__xludf.DUMMYFUNCTION("GOOGLETRANSLATE(B4877,""en"",""pt-br"")"),"negativo")</f>
        <v>negativo</v>
      </c>
    </row>
    <row r="4878" ht="15.75" customHeight="1">
      <c r="A4878" s="2" t="s">
        <v>4875</v>
      </c>
      <c r="B4878" s="2" t="s">
        <v>3</v>
      </c>
      <c r="C4878" s="1" t="str">
        <f>IFERROR(__xludf.DUMMYFUNCTION("GOOGLETRANSLATE(A4878,""en"",""pt-br"")"),"patifes")</f>
        <v>patifes</v>
      </c>
      <c r="D4878" s="1" t="str">
        <f>IFERROR(__xludf.DUMMYFUNCTION("GOOGLETRANSLATE(B4878,""en"",""pt-br"")"),"negativo")</f>
        <v>negativo</v>
      </c>
    </row>
    <row r="4879" ht="15.75" customHeight="1">
      <c r="A4879" s="2" t="s">
        <v>4876</v>
      </c>
      <c r="B4879" s="2" t="s">
        <v>3</v>
      </c>
      <c r="C4879" s="1" t="str">
        <f>IFERROR(__xludf.DUMMYFUNCTION("GOOGLETRANSLATE(A4879,""en"",""pt-br"")"),"erupção cutânea")</f>
        <v>erupção cutânea</v>
      </c>
      <c r="D4879" s="1" t="str">
        <f>IFERROR(__xludf.DUMMYFUNCTION("GOOGLETRANSLATE(B4879,""en"",""pt-br"")"),"negativo")</f>
        <v>negativo</v>
      </c>
    </row>
    <row r="4880" ht="15.75" customHeight="1">
      <c r="A4880" s="2" t="s">
        <v>4877</v>
      </c>
      <c r="B4880" s="2" t="s">
        <v>14</v>
      </c>
      <c r="C4880" s="1" t="str">
        <f>IFERROR(__xludf.DUMMYFUNCTION("GOOGLETRANSLATE(A4880,""en"",""pt-br"")"),"racional")</f>
        <v>racional</v>
      </c>
      <c r="D4880" s="1" t="str">
        <f>IFERROR(__xludf.DUMMYFUNCTION("GOOGLETRANSLATE(B4880,""en"",""pt-br"")"),"positivo")</f>
        <v>positivo</v>
      </c>
    </row>
    <row r="4881" ht="15.75" customHeight="1">
      <c r="A4881" s="2" t="s">
        <v>4878</v>
      </c>
      <c r="B4881" s="2" t="s">
        <v>3</v>
      </c>
      <c r="C4881" s="1" t="str">
        <f>IFERROR(__xludf.DUMMYFUNCTION("GOOGLETRANSLATE(A4881,""en"",""pt-br"")"),"chocalho")</f>
        <v>chocalho</v>
      </c>
      <c r="D4881" s="1" t="str">
        <f>IFERROR(__xludf.DUMMYFUNCTION("GOOGLETRANSLATE(B4881,""en"",""pt-br"")"),"negativo")</f>
        <v>negativo</v>
      </c>
    </row>
    <row r="4882" ht="15.75" customHeight="1">
      <c r="A4882" s="2" t="s">
        <v>4879</v>
      </c>
      <c r="B4882" s="2" t="s">
        <v>3</v>
      </c>
      <c r="C4882" s="1" t="str">
        <f>IFERROR(__xludf.DUMMYFUNCTION("GOOGLETRANSLATE(A4882,""en"",""pt-br"")"),"chacoalhou")</f>
        <v>chacoalhou</v>
      </c>
      <c r="D4882" s="1" t="str">
        <f>IFERROR(__xludf.DUMMYFUNCTION("GOOGLETRANSLATE(B4882,""en"",""pt-br"")"),"negativo")</f>
        <v>negativo</v>
      </c>
    </row>
    <row r="4883" ht="15.75" customHeight="1">
      <c r="A4883" s="2" t="s">
        <v>4880</v>
      </c>
      <c r="B4883" s="2" t="s">
        <v>3</v>
      </c>
      <c r="C4883" s="1" t="str">
        <f>IFERROR(__xludf.DUMMYFUNCTION("GOOGLETRANSLATE(A4883,""en"",""pt-br"")"),"chocalho")</f>
        <v>chocalho</v>
      </c>
      <c r="D4883" s="1" t="str">
        <f>IFERROR(__xludf.DUMMYFUNCTION("GOOGLETRANSLATE(B4883,""en"",""pt-br"")"),"negativo")</f>
        <v>negativo</v>
      </c>
    </row>
    <row r="4884" ht="15.75" customHeight="1">
      <c r="A4884" s="2" t="s">
        <v>4881</v>
      </c>
      <c r="B4884" s="2" t="s">
        <v>3</v>
      </c>
      <c r="C4884" s="1" t="str">
        <f>IFERROR(__xludf.DUMMYFUNCTION("GOOGLETRANSLATE(A4884,""en"",""pt-br"")"),"devastação")</f>
        <v>devastação</v>
      </c>
      <c r="D4884" s="1" t="str">
        <f>IFERROR(__xludf.DUMMYFUNCTION("GOOGLETRANSLATE(B4884,""en"",""pt-br"")"),"negativo")</f>
        <v>negativo</v>
      </c>
    </row>
    <row r="4885" ht="15.75" customHeight="1">
      <c r="A4885" s="2" t="s">
        <v>4882</v>
      </c>
      <c r="B4885" s="2" t="s">
        <v>3</v>
      </c>
      <c r="C4885" s="1" t="str">
        <f>IFERROR(__xludf.DUMMYFUNCTION("GOOGLETRANSLATE(A4885,""en"",""pt-br"")"),"delirante")</f>
        <v>delirante</v>
      </c>
      <c r="D4885" s="1" t="str">
        <f>IFERROR(__xludf.DUMMYFUNCTION("GOOGLETRANSLATE(B4885,""en"",""pt-br"")"),"negativo")</f>
        <v>negativo</v>
      </c>
    </row>
    <row r="4886" ht="15.75" customHeight="1">
      <c r="A4886" s="2" t="s">
        <v>4883</v>
      </c>
      <c r="B4886" s="2" t="s">
        <v>14</v>
      </c>
      <c r="C4886" s="1" t="str">
        <f>IFERROR(__xludf.DUMMYFUNCTION("GOOGLETRANSLATE(A4886,""en"",""pt-br"")"),"gilete afiada")</f>
        <v>gilete afiada</v>
      </c>
      <c r="D4886" s="1" t="str">
        <f>IFERROR(__xludf.DUMMYFUNCTION("GOOGLETRANSLATE(B4886,""en"",""pt-br"")"),"positivo")</f>
        <v>positivo</v>
      </c>
    </row>
    <row r="4887" ht="15.75" customHeight="1">
      <c r="A4887" s="2" t="s">
        <v>4884</v>
      </c>
      <c r="B4887" s="2" t="s">
        <v>14</v>
      </c>
      <c r="C4887" s="1" t="str">
        <f>IFERROR(__xludf.DUMMYFUNCTION("GOOGLETRANSLATE(A4887,""en"",""pt-br"")"),"alcançável")</f>
        <v>alcançável</v>
      </c>
      <c r="D4887" s="1" t="str">
        <f>IFERROR(__xludf.DUMMYFUNCTION("GOOGLETRANSLATE(B4887,""en"",""pt-br"")"),"positivo")</f>
        <v>positivo</v>
      </c>
    </row>
    <row r="4888" ht="15.75" customHeight="1">
      <c r="A4888" s="2" t="s">
        <v>4885</v>
      </c>
      <c r="B4888" s="2" t="s">
        <v>3</v>
      </c>
      <c r="C4888" s="1" t="str">
        <f>IFERROR(__xludf.DUMMYFUNCTION("GOOGLETRANSLATE(A4888,""en"",""pt-br"")"),"reacionário")</f>
        <v>reacionário</v>
      </c>
      <c r="D4888" s="1" t="str">
        <f>IFERROR(__xludf.DUMMYFUNCTION("GOOGLETRANSLATE(B4888,""en"",""pt-br"")"),"negativo")</f>
        <v>negativo</v>
      </c>
    </row>
    <row r="4889" ht="15.75" customHeight="1">
      <c r="A4889" s="2" t="s">
        <v>4886</v>
      </c>
      <c r="B4889" s="2" t="s">
        <v>14</v>
      </c>
      <c r="C4889" s="1" t="str">
        <f>IFERROR(__xludf.DUMMYFUNCTION("GOOGLETRANSLATE(A4889,""en"",""pt-br"")"),"legível")</f>
        <v>legível</v>
      </c>
      <c r="D4889" s="1" t="str">
        <f>IFERROR(__xludf.DUMMYFUNCTION("GOOGLETRANSLATE(B4889,""en"",""pt-br"")"),"positivo")</f>
        <v>positivo</v>
      </c>
    </row>
    <row r="4890" ht="15.75" customHeight="1">
      <c r="A4890" s="2" t="s">
        <v>4887</v>
      </c>
      <c r="B4890" s="2" t="s">
        <v>14</v>
      </c>
      <c r="C4890" s="1" t="str">
        <f>IFERROR(__xludf.DUMMYFUNCTION("GOOGLETRANSLATE(A4890,""en"",""pt-br"")"),"facilmente")</f>
        <v>facilmente</v>
      </c>
      <c r="D4890" s="1" t="str">
        <f>IFERROR(__xludf.DUMMYFUNCTION("GOOGLETRANSLATE(B4890,""en"",""pt-br"")"),"positivo")</f>
        <v>positivo</v>
      </c>
    </row>
    <row r="4891" ht="15.75" customHeight="1">
      <c r="A4891" s="2" t="s">
        <v>4888</v>
      </c>
      <c r="B4891" s="2" t="s">
        <v>14</v>
      </c>
      <c r="C4891" s="1" t="str">
        <f>IFERROR(__xludf.DUMMYFUNCTION("GOOGLETRANSLATE(A4891,""en"",""pt-br"")"),"pronto")</f>
        <v>pronto</v>
      </c>
      <c r="D4891" s="1" t="str">
        <f>IFERROR(__xludf.DUMMYFUNCTION("GOOGLETRANSLATE(B4891,""en"",""pt-br"")"),"positivo")</f>
        <v>positivo</v>
      </c>
    </row>
    <row r="4892" ht="15.75" customHeight="1">
      <c r="A4892" s="2" t="s">
        <v>4889</v>
      </c>
      <c r="B4892" s="2" t="s">
        <v>14</v>
      </c>
      <c r="C4892" s="1" t="str">
        <f>IFERROR(__xludf.DUMMYFUNCTION("GOOGLETRANSLATE(A4892,""en"",""pt-br"")"),"reafirmar")</f>
        <v>reafirmar</v>
      </c>
      <c r="D4892" s="1" t="str">
        <f>IFERROR(__xludf.DUMMYFUNCTION("GOOGLETRANSLATE(B4892,""en"",""pt-br"")"),"positivo")</f>
        <v>positivo</v>
      </c>
    </row>
    <row r="4893" ht="15.75" customHeight="1">
      <c r="A4893" s="2" t="s">
        <v>4890</v>
      </c>
      <c r="B4893" s="2" t="s">
        <v>14</v>
      </c>
      <c r="C4893" s="1" t="str">
        <f>IFERROR(__xludf.DUMMYFUNCTION("GOOGLETRANSLATE(A4893,""en"",""pt-br"")"),"reafirmação")</f>
        <v>reafirmação</v>
      </c>
      <c r="D4893" s="1" t="str">
        <f>IFERROR(__xludf.DUMMYFUNCTION("GOOGLETRANSLATE(B4893,""en"",""pt-br"")"),"positivo")</f>
        <v>positivo</v>
      </c>
    </row>
    <row r="4894" ht="15.75" customHeight="1">
      <c r="A4894" s="2" t="s">
        <v>4891</v>
      </c>
      <c r="B4894" s="2" t="s">
        <v>14</v>
      </c>
      <c r="C4894" s="1" t="str">
        <f>IFERROR(__xludf.DUMMYFUNCTION("GOOGLETRANSLATE(A4894,""en"",""pt-br"")"),"realista")</f>
        <v>realista</v>
      </c>
      <c r="D4894" s="1" t="str">
        <f>IFERROR(__xludf.DUMMYFUNCTION("GOOGLETRANSLATE(B4894,""en"",""pt-br"")"),"positivo")</f>
        <v>positivo</v>
      </c>
    </row>
    <row r="4895" ht="15.75" customHeight="1">
      <c r="A4895" s="2" t="s">
        <v>4892</v>
      </c>
      <c r="B4895" s="2" t="s">
        <v>14</v>
      </c>
      <c r="C4895" s="1" t="str">
        <f>IFERROR(__xludf.DUMMYFUNCTION("GOOGLETRANSLATE(A4895,""en"",""pt-br"")"),"realizável")</f>
        <v>realizável</v>
      </c>
      <c r="D4895" s="1" t="str">
        <f>IFERROR(__xludf.DUMMYFUNCTION("GOOGLETRANSLATE(B4895,""en"",""pt-br"")"),"positivo")</f>
        <v>positivo</v>
      </c>
    </row>
    <row r="4896" ht="15.75" customHeight="1">
      <c r="A4896" s="2" t="s">
        <v>4893</v>
      </c>
      <c r="B4896" s="2" t="s">
        <v>14</v>
      </c>
      <c r="C4896" s="1" t="str">
        <f>IFERROR(__xludf.DUMMYFUNCTION("GOOGLETRANSLATE(A4896,""en"",""pt-br"")"),"razoável")</f>
        <v>razoável</v>
      </c>
      <c r="D4896" s="1" t="str">
        <f>IFERROR(__xludf.DUMMYFUNCTION("GOOGLETRANSLATE(B4896,""en"",""pt-br"")"),"positivo")</f>
        <v>positivo</v>
      </c>
    </row>
    <row r="4897" ht="15.75" customHeight="1">
      <c r="A4897" s="2" t="s">
        <v>4894</v>
      </c>
      <c r="B4897" s="2" t="s">
        <v>14</v>
      </c>
      <c r="C4897" s="1" t="str">
        <f>IFERROR(__xludf.DUMMYFUNCTION("GOOGLETRANSLATE(A4897,""en"",""pt-br"")"),"razoavelmente")</f>
        <v>razoavelmente</v>
      </c>
      <c r="D4897" s="1" t="str">
        <f>IFERROR(__xludf.DUMMYFUNCTION("GOOGLETRANSLATE(B4897,""en"",""pt-br"")"),"positivo")</f>
        <v>positivo</v>
      </c>
    </row>
    <row r="4898" ht="15.75" customHeight="1">
      <c r="A4898" s="2" t="s">
        <v>4895</v>
      </c>
      <c r="B4898" s="2" t="s">
        <v>14</v>
      </c>
      <c r="C4898" s="1" t="str">
        <f>IFERROR(__xludf.DUMMYFUNCTION("GOOGLETRANSLATE(A4898,""en"",""pt-br"")"),"fundamentado")</f>
        <v>fundamentado</v>
      </c>
      <c r="D4898" s="1" t="str">
        <f>IFERROR(__xludf.DUMMYFUNCTION("GOOGLETRANSLATE(B4898,""en"",""pt-br"")"),"positivo")</f>
        <v>positivo</v>
      </c>
    </row>
    <row r="4899" ht="15.75" customHeight="1">
      <c r="A4899" s="2" t="s">
        <v>4896</v>
      </c>
      <c r="B4899" s="2" t="s">
        <v>14</v>
      </c>
      <c r="C4899" s="1" t="str">
        <f>IFERROR(__xludf.DUMMYFUNCTION("GOOGLETRANSLATE(A4899,""en"",""pt-br"")"),"reafirmação")</f>
        <v>reafirmação</v>
      </c>
      <c r="D4899" s="1" t="str">
        <f>IFERROR(__xludf.DUMMYFUNCTION("GOOGLETRANSLATE(B4899,""en"",""pt-br"")"),"positivo")</f>
        <v>positivo</v>
      </c>
    </row>
    <row r="4900" ht="15.75" customHeight="1">
      <c r="A4900" s="2" t="s">
        <v>4897</v>
      </c>
      <c r="B4900" s="2" t="s">
        <v>14</v>
      </c>
      <c r="C4900" s="1" t="str">
        <f>IFERROR(__xludf.DUMMYFUNCTION("GOOGLETRANSLATE(A4900,""en"",""pt-br"")"),"tranquilizar")</f>
        <v>tranquilizar</v>
      </c>
      <c r="D4900" s="1" t="str">
        <f>IFERROR(__xludf.DUMMYFUNCTION("GOOGLETRANSLATE(B4900,""en"",""pt-br"")"),"positivo")</f>
        <v>positivo</v>
      </c>
    </row>
    <row r="4901" ht="15.75" customHeight="1">
      <c r="A4901" s="2" t="s">
        <v>4898</v>
      </c>
      <c r="B4901" s="2" t="s">
        <v>3</v>
      </c>
      <c r="C4901" s="1" t="str">
        <f>IFERROR(__xludf.DUMMYFUNCTION("GOOGLETRANSLATE(A4901,""en"",""pt-br"")"),"rebelde")</f>
        <v>rebelde</v>
      </c>
      <c r="D4901" s="1" t="str">
        <f>IFERROR(__xludf.DUMMYFUNCTION("GOOGLETRANSLATE(B4901,""en"",""pt-br"")"),"negativo")</f>
        <v>negativo</v>
      </c>
    </row>
    <row r="4902" ht="15.75" customHeight="1">
      <c r="A4902" s="2" t="s">
        <v>4899</v>
      </c>
      <c r="B4902" s="2" t="s">
        <v>3</v>
      </c>
      <c r="C4902" s="1" t="str">
        <f>IFERROR(__xludf.DUMMYFUNCTION("GOOGLETRANSLATE(A4902,""en"",""pt-br"")"),"repulsa")</f>
        <v>repulsa</v>
      </c>
      <c r="D4902" s="1" t="str">
        <f>IFERROR(__xludf.DUMMYFUNCTION("GOOGLETRANSLATE(B4902,""en"",""pt-br"")"),"negativo")</f>
        <v>negativo</v>
      </c>
    </row>
    <row r="4903" ht="15.75" customHeight="1">
      <c r="A4903" s="2" t="s">
        <v>4900</v>
      </c>
      <c r="B4903" s="2" t="s">
        <v>3</v>
      </c>
      <c r="C4903" s="1" t="str">
        <f>IFERROR(__xludf.DUMMYFUNCTION("GOOGLETRANSLATE(A4903,""en"",""pt-br"")"),"repreensão")</f>
        <v>repreensão</v>
      </c>
      <c r="D4903" s="1" t="str">
        <f>IFERROR(__xludf.DUMMYFUNCTION("GOOGLETRANSLATE(B4903,""en"",""pt-br"")"),"negativo")</f>
        <v>negativo</v>
      </c>
    </row>
    <row r="4904" ht="15.75" customHeight="1">
      <c r="A4904" s="2" t="s">
        <v>4901</v>
      </c>
      <c r="B4904" s="2" t="s">
        <v>3</v>
      </c>
      <c r="C4904" s="1" t="str">
        <f>IFERROR(__xludf.DUMMYFUNCTION("GOOGLETRANSLATE(A4904,""en"",""pt-br"")"),"recalcitrante")</f>
        <v>recalcitrante</v>
      </c>
      <c r="D4904" s="1" t="str">
        <f>IFERROR(__xludf.DUMMYFUNCTION("GOOGLETRANSLATE(B4904,""en"",""pt-br"")"),"negativo")</f>
        <v>negativo</v>
      </c>
    </row>
    <row r="4905" ht="15.75" customHeight="1">
      <c r="A4905" s="2" t="s">
        <v>4902</v>
      </c>
      <c r="B4905" s="2" t="s">
        <v>3</v>
      </c>
      <c r="C4905" s="1" t="str">
        <f>IFERROR(__xludf.DUMMYFUNCTION("GOOGLETRANSLATE(A4905,""en"",""pt-br"")"),"retratar")</f>
        <v>retratar</v>
      </c>
      <c r="D4905" s="1" t="str">
        <f>IFERROR(__xludf.DUMMYFUNCTION("GOOGLETRANSLATE(B4905,""en"",""pt-br"")"),"negativo")</f>
        <v>negativo</v>
      </c>
    </row>
    <row r="4906" ht="15.75" customHeight="1">
      <c r="A4906" s="2" t="s">
        <v>4903</v>
      </c>
      <c r="B4906" s="2" t="s">
        <v>14</v>
      </c>
      <c r="C4906" s="1" t="str">
        <f>IFERROR(__xludf.DUMMYFUNCTION("GOOGLETRANSLATE(A4906,""en"",""pt-br"")"),"receptivo")</f>
        <v>receptivo</v>
      </c>
      <c r="D4906" s="1" t="str">
        <f>IFERROR(__xludf.DUMMYFUNCTION("GOOGLETRANSLATE(B4906,""en"",""pt-br"")"),"positivo")</f>
        <v>positivo</v>
      </c>
    </row>
    <row r="4907" ht="15.75" customHeight="1">
      <c r="A4907" s="2" t="s">
        <v>4904</v>
      </c>
      <c r="B4907" s="2" t="s">
        <v>3</v>
      </c>
      <c r="C4907" s="1" t="str">
        <f>IFERROR(__xludf.DUMMYFUNCTION("GOOGLETRANSLATE(A4907,""en"",""pt-br"")"),"recessão")</f>
        <v>recessão</v>
      </c>
      <c r="D4907" s="1" t="str">
        <f>IFERROR(__xludf.DUMMYFUNCTION("GOOGLETRANSLATE(B4907,""en"",""pt-br"")"),"negativo")</f>
        <v>negativo</v>
      </c>
    </row>
    <row r="4908" ht="15.75" customHeight="1">
      <c r="A4908" s="2" t="s">
        <v>4905</v>
      </c>
      <c r="B4908" s="2" t="s">
        <v>3</v>
      </c>
      <c r="C4908" s="1" t="str">
        <f>IFERROR(__xludf.DUMMYFUNCTION("GOOGLETRANSLATE(A4908,""en"",""pt-br"")"),"recessivo")</f>
        <v>recessivo</v>
      </c>
      <c r="D4908" s="1" t="str">
        <f>IFERROR(__xludf.DUMMYFUNCTION("GOOGLETRANSLATE(B4908,""en"",""pt-br"")"),"negativo")</f>
        <v>negativo</v>
      </c>
    </row>
    <row r="4909" ht="15.75" customHeight="1">
      <c r="A4909" s="2" t="s">
        <v>4906</v>
      </c>
      <c r="B4909" s="2" t="s">
        <v>3</v>
      </c>
      <c r="C4909" s="1" t="str">
        <f>IFERROR(__xludf.DUMMYFUNCTION("GOOGLETRANSLATE(A4909,""en"",""pt-br"")"),"imprudente")</f>
        <v>imprudente</v>
      </c>
      <c r="D4909" s="1" t="str">
        <f>IFERROR(__xludf.DUMMYFUNCTION("GOOGLETRANSLATE(B4909,""en"",""pt-br"")"),"negativo")</f>
        <v>negativo</v>
      </c>
    </row>
    <row r="4910" ht="15.75" customHeight="1">
      <c r="A4910" s="2" t="s">
        <v>4907</v>
      </c>
      <c r="B4910" s="2" t="s">
        <v>3</v>
      </c>
      <c r="C4910" s="1" t="str">
        <f>IFERROR(__xludf.DUMMYFUNCTION("GOOGLETRANSLATE(A4910,""en"",""pt-br"")"),"Imprudentemente")</f>
        <v>Imprudentemente</v>
      </c>
      <c r="D4910" s="1" t="str">
        <f>IFERROR(__xludf.DUMMYFUNCTION("GOOGLETRANSLATE(B4910,""en"",""pt-br"")"),"negativo")</f>
        <v>negativo</v>
      </c>
    </row>
    <row r="4911" ht="15.75" customHeight="1">
      <c r="A4911" s="2" t="s">
        <v>4908</v>
      </c>
      <c r="B4911" s="2" t="s">
        <v>3</v>
      </c>
      <c r="C4911" s="1" t="str">
        <f>IFERROR(__xludf.DUMMYFUNCTION("GOOGLETRANSLATE(A4911,""en"",""pt-br"")"),"imprudência")</f>
        <v>imprudência</v>
      </c>
      <c r="D4911" s="1" t="str">
        <f>IFERROR(__xludf.DUMMYFUNCTION("GOOGLETRANSLATE(B4911,""en"",""pt-br"")"),"negativo")</f>
        <v>negativo</v>
      </c>
    </row>
    <row r="4912" ht="15.75" customHeight="1">
      <c r="A4912" s="2" t="s">
        <v>4909</v>
      </c>
      <c r="B4912" s="2" t="s">
        <v>14</v>
      </c>
      <c r="C4912" s="1" t="str">
        <f>IFERROR(__xludf.DUMMYFUNCTION("GOOGLETRANSLATE(A4912,""en"",""pt-br"")"),"recuperar")</f>
        <v>recuperar</v>
      </c>
      <c r="D4912" s="1" t="str">
        <f>IFERROR(__xludf.DUMMYFUNCTION("GOOGLETRANSLATE(B4912,""en"",""pt-br"")"),"positivo")</f>
        <v>positivo</v>
      </c>
    </row>
    <row r="4913" ht="15.75" customHeight="1">
      <c r="A4913" s="2" t="s">
        <v>4910</v>
      </c>
      <c r="B4913" s="2" t="s">
        <v>3</v>
      </c>
      <c r="C4913" s="1" t="str">
        <f>IFERROR(__xludf.DUMMYFUNCTION("GOOGLETRANSLATE(A4913,""en"",""pt-br"")"),"recuo")</f>
        <v>recuo</v>
      </c>
      <c r="D4913" s="1" t="str">
        <f>IFERROR(__xludf.DUMMYFUNCTION("GOOGLETRANSLATE(B4913,""en"",""pt-br"")"),"negativo")</f>
        <v>negativo</v>
      </c>
    </row>
    <row r="4914" ht="15.75" customHeight="1">
      <c r="A4914" s="2" t="s">
        <v>4911</v>
      </c>
      <c r="B4914" s="2" t="s">
        <v>14</v>
      </c>
      <c r="C4914" s="1" t="str">
        <f>IFERROR(__xludf.DUMMYFUNCTION("GOOGLETRANSLATE(A4914,""en"",""pt-br"")"),"recomendo")</f>
        <v>recomendo</v>
      </c>
      <c r="D4914" s="1" t="str">
        <f>IFERROR(__xludf.DUMMYFUNCTION("GOOGLETRANSLATE(B4914,""en"",""pt-br"")"),"positivo")</f>
        <v>positivo</v>
      </c>
    </row>
    <row r="4915" ht="15.75" customHeight="1">
      <c r="A4915" s="2" t="s">
        <v>4912</v>
      </c>
      <c r="B4915" s="2" t="s">
        <v>14</v>
      </c>
      <c r="C4915" s="1" t="str">
        <f>IFERROR(__xludf.DUMMYFUNCTION("GOOGLETRANSLATE(A4915,""en"",""pt-br"")"),"recomendar")</f>
        <v>recomendar</v>
      </c>
      <c r="D4915" s="1" t="str">
        <f>IFERROR(__xludf.DUMMYFUNCTION("GOOGLETRANSLATE(B4915,""en"",""pt-br"")"),"positivo")</f>
        <v>positivo</v>
      </c>
    </row>
    <row r="4916" ht="15.75" customHeight="1">
      <c r="A4916" s="2" t="s">
        <v>4913</v>
      </c>
      <c r="B4916" s="2" t="s">
        <v>14</v>
      </c>
      <c r="C4916" s="1" t="str">
        <f>IFERROR(__xludf.DUMMYFUNCTION("GOOGLETRANSLATE(A4916,""en"",""pt-br"")"),"recomendação")</f>
        <v>recomendação</v>
      </c>
      <c r="D4916" s="1" t="str">
        <f>IFERROR(__xludf.DUMMYFUNCTION("GOOGLETRANSLATE(B4916,""en"",""pt-br"")"),"positivo")</f>
        <v>positivo</v>
      </c>
    </row>
    <row r="4917" ht="15.75" customHeight="1">
      <c r="A4917" s="2" t="s">
        <v>4914</v>
      </c>
      <c r="B4917" s="2" t="s">
        <v>14</v>
      </c>
      <c r="C4917" s="1" t="str">
        <f>IFERROR(__xludf.DUMMYFUNCTION("GOOGLETRANSLATE(A4917,""en"",""pt-br"")"),"recomendações")</f>
        <v>recomendações</v>
      </c>
      <c r="D4917" s="1" t="str">
        <f>IFERROR(__xludf.DUMMYFUNCTION("GOOGLETRANSLATE(B4917,""en"",""pt-br"")"),"positivo")</f>
        <v>positivo</v>
      </c>
    </row>
    <row r="4918" ht="15.75" customHeight="1">
      <c r="A4918" s="2" t="s">
        <v>4915</v>
      </c>
      <c r="B4918" s="2" t="s">
        <v>14</v>
      </c>
      <c r="C4918" s="1" t="str">
        <f>IFERROR(__xludf.DUMMYFUNCTION("GOOGLETRANSLATE(A4918,""en"",""pt-br"")"),"recomendado")</f>
        <v>recomendado</v>
      </c>
      <c r="D4918" s="1" t="str">
        <f>IFERROR(__xludf.DUMMYFUNCTION("GOOGLETRANSLATE(B4918,""en"",""pt-br"")"),"positivo")</f>
        <v>positivo</v>
      </c>
    </row>
    <row r="4919" ht="15.75" customHeight="1">
      <c r="A4919" s="2" t="s">
        <v>4916</v>
      </c>
      <c r="B4919" s="2" t="s">
        <v>14</v>
      </c>
      <c r="C4919" s="1" t="str">
        <f>IFERROR(__xludf.DUMMYFUNCTION("GOOGLETRANSLATE(A4919,""en"",""pt-br"")"),"conciliar")</f>
        <v>conciliar</v>
      </c>
      <c r="D4919" s="1" t="str">
        <f>IFERROR(__xludf.DUMMYFUNCTION("GOOGLETRANSLATE(B4919,""en"",""pt-br"")"),"positivo")</f>
        <v>positivo</v>
      </c>
    </row>
    <row r="4920" ht="15.75" customHeight="1">
      <c r="A4920" s="2" t="s">
        <v>4917</v>
      </c>
      <c r="B4920" s="2" t="s">
        <v>14</v>
      </c>
      <c r="C4920" s="1" t="str">
        <f>IFERROR(__xludf.DUMMYFUNCTION("GOOGLETRANSLATE(A4920,""en"",""pt-br"")"),"reconciliação")</f>
        <v>reconciliação</v>
      </c>
      <c r="D4920" s="1" t="str">
        <f>IFERROR(__xludf.DUMMYFUNCTION("GOOGLETRANSLATE(B4920,""en"",""pt-br"")"),"positivo")</f>
        <v>positivo</v>
      </c>
    </row>
    <row r="4921" ht="15.75" customHeight="1">
      <c r="A4921" s="2" t="s">
        <v>4918</v>
      </c>
      <c r="B4921" s="2" t="s">
        <v>14</v>
      </c>
      <c r="C4921" s="1" t="str">
        <f>IFERROR(__xludf.DUMMYFUNCTION("GOOGLETRANSLATE(A4921,""en"",""pt-br"")"),"recorde-setting")</f>
        <v>recorde-setting</v>
      </c>
      <c r="D4921" s="1" t="str">
        <f>IFERROR(__xludf.DUMMYFUNCTION("GOOGLETRANSLATE(B4921,""en"",""pt-br"")"),"positivo")</f>
        <v>positivo</v>
      </c>
    </row>
    <row r="4922" ht="15.75" customHeight="1">
      <c r="A4922" s="2" t="s">
        <v>4919</v>
      </c>
      <c r="B4922" s="2" t="s">
        <v>3</v>
      </c>
      <c r="C4922" s="1" t="str">
        <f>IFERROR(__xludf.DUMMYFUNCTION("GOOGLETRANSLATE(A4922,""en"",""pt-br"")"),"recursos")</f>
        <v>recursos</v>
      </c>
      <c r="D4922" s="1" t="str">
        <f>IFERROR(__xludf.DUMMYFUNCTION("GOOGLETRANSLATE(B4922,""en"",""pt-br"")"),"negativo")</f>
        <v>negativo</v>
      </c>
    </row>
    <row r="4923" ht="15.75" customHeight="1">
      <c r="A4923" s="2" t="s">
        <v>4920</v>
      </c>
      <c r="B4923" s="2" t="s">
        <v>14</v>
      </c>
      <c r="C4923" s="1" t="str">
        <f>IFERROR(__xludf.DUMMYFUNCTION("GOOGLETRANSLATE(A4923,""en"",""pt-br"")"),"recuperar")</f>
        <v>recuperar</v>
      </c>
      <c r="D4923" s="1" t="str">
        <f>IFERROR(__xludf.DUMMYFUNCTION("GOOGLETRANSLATE(B4923,""en"",""pt-br"")"),"positivo")</f>
        <v>positivo</v>
      </c>
    </row>
    <row r="4924" ht="15.75" customHeight="1">
      <c r="A4924" s="2" t="s">
        <v>4921</v>
      </c>
      <c r="B4924" s="2" t="s">
        <v>14</v>
      </c>
      <c r="C4924" s="1" t="str">
        <f>IFERROR(__xludf.DUMMYFUNCTION("GOOGLETRANSLATE(A4924,""en"",""pt-br"")"),"recuperação")</f>
        <v>recuperação</v>
      </c>
      <c r="D4924" s="1" t="str">
        <f>IFERROR(__xludf.DUMMYFUNCTION("GOOGLETRANSLATE(B4924,""en"",""pt-br"")"),"positivo")</f>
        <v>positivo</v>
      </c>
    </row>
    <row r="4925" ht="15.75" customHeight="1">
      <c r="A4925" s="2" t="s">
        <v>4922</v>
      </c>
      <c r="B4925" s="2" t="s">
        <v>14</v>
      </c>
      <c r="C4925" s="1" t="str">
        <f>IFERROR(__xludf.DUMMYFUNCTION("GOOGLETRANSLATE(A4925,""en"",""pt-br"")"),"retificação")</f>
        <v>retificação</v>
      </c>
      <c r="D4925" s="1" t="str">
        <f>IFERROR(__xludf.DUMMYFUNCTION("GOOGLETRANSLATE(B4925,""en"",""pt-br"")"),"positivo")</f>
        <v>positivo</v>
      </c>
    </row>
    <row r="4926" ht="15.75" customHeight="1">
      <c r="A4926" s="2" t="s">
        <v>4923</v>
      </c>
      <c r="B4926" s="2" t="s">
        <v>14</v>
      </c>
      <c r="C4926" s="1" t="str">
        <f>IFERROR(__xludf.DUMMYFUNCTION("GOOGLETRANSLATE(A4926,""en"",""pt-br"")"),"retificar")</f>
        <v>retificar</v>
      </c>
      <c r="D4926" s="1" t="str">
        <f>IFERROR(__xludf.DUMMYFUNCTION("GOOGLETRANSLATE(B4926,""en"",""pt-br"")"),"positivo")</f>
        <v>positivo</v>
      </c>
    </row>
    <row r="4927" ht="15.75" customHeight="1">
      <c r="A4927" s="2" t="s">
        <v>4924</v>
      </c>
      <c r="B4927" s="2" t="s">
        <v>14</v>
      </c>
      <c r="C4927" s="1" t="str">
        <f>IFERROR(__xludf.DUMMYFUNCTION("GOOGLETRANSLATE(A4927,""en"",""pt-br"")"),"retificação")</f>
        <v>retificação</v>
      </c>
      <c r="D4927" s="1" t="str">
        <f>IFERROR(__xludf.DUMMYFUNCTION("GOOGLETRANSLATE(B4927,""en"",""pt-br"")"),"positivo")</f>
        <v>positivo</v>
      </c>
    </row>
    <row r="4928" ht="15.75" customHeight="1">
      <c r="A4928" s="2" t="s">
        <v>4925</v>
      </c>
      <c r="B4928" s="2" t="s">
        <v>14</v>
      </c>
      <c r="C4928" s="1" t="str">
        <f>IFERROR(__xludf.DUMMYFUNCTION("GOOGLETRANSLATE(A4928,""en"",""pt-br"")"),"resgatar")</f>
        <v>resgatar</v>
      </c>
      <c r="D4928" s="1" t="str">
        <f>IFERROR(__xludf.DUMMYFUNCTION("GOOGLETRANSLATE(B4928,""en"",""pt-br"")"),"positivo")</f>
        <v>positivo</v>
      </c>
    </row>
    <row r="4929" ht="15.75" customHeight="1">
      <c r="A4929" s="2" t="s">
        <v>4926</v>
      </c>
      <c r="B4929" s="2" t="s">
        <v>14</v>
      </c>
      <c r="C4929" s="1" t="str">
        <f>IFERROR(__xludf.DUMMYFUNCTION("GOOGLETRANSLATE(A4929,""en"",""pt-br"")"),"redentor")</f>
        <v>redentor</v>
      </c>
      <c r="D4929" s="1" t="str">
        <f>IFERROR(__xludf.DUMMYFUNCTION("GOOGLETRANSLATE(B4929,""en"",""pt-br"")"),"positivo")</f>
        <v>positivo</v>
      </c>
    </row>
    <row r="4930" ht="15.75" customHeight="1">
      <c r="A4930" s="2" t="s">
        <v>4927</v>
      </c>
      <c r="B4930" s="2" t="s">
        <v>14</v>
      </c>
      <c r="C4930" s="1" t="str">
        <f>IFERROR(__xludf.DUMMYFUNCTION("GOOGLETRANSLATE(A4930,""en"",""pt-br"")"),"redenção")</f>
        <v>redenção</v>
      </c>
      <c r="D4930" s="1" t="str">
        <f>IFERROR(__xludf.DUMMYFUNCTION("GOOGLETRANSLATE(B4930,""en"",""pt-br"")"),"positivo")</f>
        <v>positivo</v>
      </c>
    </row>
    <row r="4931" ht="15.75" customHeight="1">
      <c r="A4931" s="2" t="s">
        <v>4928</v>
      </c>
      <c r="B4931" s="2" t="s">
        <v>3</v>
      </c>
      <c r="C4931" s="1" t="str">
        <f>IFERROR(__xludf.DUMMYFUNCTION("GOOGLETRANSLATE(A4931,""en"",""pt-br"")"),"redundância")</f>
        <v>redundância</v>
      </c>
      <c r="D4931" s="1" t="str">
        <f>IFERROR(__xludf.DUMMYFUNCTION("GOOGLETRANSLATE(B4931,""en"",""pt-br"")"),"negativo")</f>
        <v>negativo</v>
      </c>
    </row>
    <row r="4932" ht="15.75" customHeight="1">
      <c r="A4932" s="2" t="s">
        <v>4929</v>
      </c>
      <c r="B4932" s="2" t="s">
        <v>3</v>
      </c>
      <c r="C4932" s="1" t="str">
        <f>IFERROR(__xludf.DUMMYFUNCTION("GOOGLETRANSLATE(A4932,""en"",""pt-br"")"),"redundante")</f>
        <v>redundante</v>
      </c>
      <c r="D4932" s="1" t="str">
        <f>IFERROR(__xludf.DUMMYFUNCTION("GOOGLETRANSLATE(B4932,""en"",""pt-br"")"),"negativo")</f>
        <v>negativo</v>
      </c>
    </row>
    <row r="4933" ht="15.75" customHeight="1">
      <c r="A4933" s="2" t="s">
        <v>4930</v>
      </c>
      <c r="B4933" s="2" t="s">
        <v>14</v>
      </c>
      <c r="C4933" s="1" t="str">
        <f>IFERROR(__xludf.DUMMYFUNCTION("GOOGLETRANSLATE(A4933,""en"",""pt-br"")"),"refinar")</f>
        <v>refinar</v>
      </c>
      <c r="D4933" s="1" t="str">
        <f>IFERROR(__xludf.DUMMYFUNCTION("GOOGLETRANSLATE(B4933,""en"",""pt-br"")"),"positivo")</f>
        <v>positivo</v>
      </c>
    </row>
    <row r="4934" ht="15.75" customHeight="1">
      <c r="A4934" s="2" t="s">
        <v>4931</v>
      </c>
      <c r="B4934" s="2" t="s">
        <v>14</v>
      </c>
      <c r="C4934" s="1" t="str">
        <f>IFERROR(__xludf.DUMMYFUNCTION("GOOGLETRANSLATE(A4934,""en"",""pt-br"")"),"refinado")</f>
        <v>refinado</v>
      </c>
      <c r="D4934" s="1" t="str">
        <f>IFERROR(__xludf.DUMMYFUNCTION("GOOGLETRANSLATE(B4934,""en"",""pt-br"")"),"positivo")</f>
        <v>positivo</v>
      </c>
    </row>
    <row r="4935" ht="15.75" customHeight="1">
      <c r="A4935" s="2" t="s">
        <v>4932</v>
      </c>
      <c r="B4935" s="2" t="s">
        <v>14</v>
      </c>
      <c r="C4935" s="1" t="str">
        <f>IFERROR(__xludf.DUMMYFUNCTION("GOOGLETRANSLATE(A4935,""en"",""pt-br"")"),"requinte")</f>
        <v>requinte</v>
      </c>
      <c r="D4935" s="1" t="str">
        <f>IFERROR(__xludf.DUMMYFUNCTION("GOOGLETRANSLATE(B4935,""en"",""pt-br"")"),"positivo")</f>
        <v>positivo</v>
      </c>
    </row>
    <row r="4936" ht="15.75" customHeight="1">
      <c r="A4936" s="2" t="s">
        <v>4933</v>
      </c>
      <c r="B4936" s="2" t="s">
        <v>14</v>
      </c>
      <c r="C4936" s="1" t="str">
        <f>IFERROR(__xludf.DUMMYFUNCTION("GOOGLETRANSLATE(A4936,""en"",""pt-br"")"),"reforma")</f>
        <v>reforma</v>
      </c>
      <c r="D4936" s="1" t="str">
        <f>IFERROR(__xludf.DUMMYFUNCTION("GOOGLETRANSLATE(B4936,""en"",""pt-br"")"),"positivo")</f>
        <v>positivo</v>
      </c>
    </row>
    <row r="4937" ht="15.75" customHeight="1">
      <c r="A4937" s="2" t="s">
        <v>4934</v>
      </c>
      <c r="B4937" s="2" t="s">
        <v>14</v>
      </c>
      <c r="C4937" s="1" t="str">
        <f>IFERROR(__xludf.DUMMYFUNCTION("GOOGLETRANSLATE(A4937,""en"",""pt-br"")"),"reformado")</f>
        <v>reformado</v>
      </c>
      <c r="D4937" s="1" t="str">
        <f>IFERROR(__xludf.DUMMYFUNCTION("GOOGLETRANSLATE(B4937,""en"",""pt-br"")"),"positivo")</f>
        <v>positivo</v>
      </c>
    </row>
    <row r="4938" ht="15.75" customHeight="1">
      <c r="A4938" s="2" t="s">
        <v>4935</v>
      </c>
      <c r="B4938" s="2" t="s">
        <v>14</v>
      </c>
      <c r="C4938" s="1" t="str">
        <f>IFERROR(__xludf.DUMMYFUNCTION("GOOGLETRANSLATE(A4938,""en"",""pt-br"")"),"reforma")</f>
        <v>reforma</v>
      </c>
      <c r="D4938" s="1" t="str">
        <f>IFERROR(__xludf.DUMMYFUNCTION("GOOGLETRANSLATE(B4938,""en"",""pt-br"")"),"positivo")</f>
        <v>positivo</v>
      </c>
    </row>
    <row r="4939" ht="15.75" customHeight="1">
      <c r="A4939" s="2" t="s">
        <v>4936</v>
      </c>
      <c r="B4939" s="2" t="s">
        <v>14</v>
      </c>
      <c r="C4939" s="1" t="str">
        <f>IFERROR(__xludf.DUMMYFUNCTION("GOOGLETRANSLATE(A4939,""en"",""pt-br"")"),"reformas")</f>
        <v>reformas</v>
      </c>
      <c r="D4939" s="1" t="str">
        <f>IFERROR(__xludf.DUMMYFUNCTION("GOOGLETRANSLATE(B4939,""en"",""pt-br"")"),"positivo")</f>
        <v>positivo</v>
      </c>
    </row>
    <row r="4940" ht="15.75" customHeight="1">
      <c r="A4940" s="2" t="s">
        <v>4937</v>
      </c>
      <c r="B4940" s="2" t="s">
        <v>14</v>
      </c>
      <c r="C4940" s="1" t="str">
        <f>IFERROR(__xludf.DUMMYFUNCTION("GOOGLETRANSLATE(A4940,""en"",""pt-br"")"),"refrescar")</f>
        <v>refrescar</v>
      </c>
      <c r="D4940" s="1" t="str">
        <f>IFERROR(__xludf.DUMMYFUNCTION("GOOGLETRANSLATE(B4940,""en"",""pt-br"")"),"positivo")</f>
        <v>positivo</v>
      </c>
    </row>
    <row r="4941" ht="15.75" customHeight="1">
      <c r="A4941" s="2" t="s">
        <v>4938</v>
      </c>
      <c r="B4941" s="2" t="s">
        <v>14</v>
      </c>
      <c r="C4941" s="1" t="str">
        <f>IFERROR(__xludf.DUMMYFUNCTION("GOOGLETRANSLATE(A4941,""en"",""pt-br"")"),"refrescado")</f>
        <v>refrescado</v>
      </c>
      <c r="D4941" s="1" t="str">
        <f>IFERROR(__xludf.DUMMYFUNCTION("GOOGLETRANSLATE(B4941,""en"",""pt-br"")"),"positivo")</f>
        <v>positivo</v>
      </c>
    </row>
    <row r="4942" ht="15.75" customHeight="1">
      <c r="A4942" s="2" t="s">
        <v>4939</v>
      </c>
      <c r="B4942" s="2" t="s">
        <v>14</v>
      </c>
      <c r="C4942" s="1" t="str">
        <f>IFERROR(__xludf.DUMMYFUNCTION("GOOGLETRANSLATE(A4942,""en"",""pt-br"")"),"refrescante")</f>
        <v>refrescante</v>
      </c>
      <c r="D4942" s="1" t="str">
        <f>IFERROR(__xludf.DUMMYFUNCTION("GOOGLETRANSLATE(B4942,""en"",""pt-br"")"),"positivo")</f>
        <v>positivo</v>
      </c>
    </row>
    <row r="4943" ht="15.75" customHeight="1">
      <c r="A4943" s="2" t="s">
        <v>4940</v>
      </c>
      <c r="B4943" s="2" t="s">
        <v>14</v>
      </c>
      <c r="C4943" s="1" t="str">
        <f>IFERROR(__xludf.DUMMYFUNCTION("GOOGLETRANSLATE(A4943,""en"",""pt-br"")"),"reembolso")</f>
        <v>reembolso</v>
      </c>
      <c r="D4943" s="1" t="str">
        <f>IFERROR(__xludf.DUMMYFUNCTION("GOOGLETRANSLATE(B4943,""en"",""pt-br"")"),"positivo")</f>
        <v>positivo</v>
      </c>
    </row>
    <row r="4944" ht="15.75" customHeight="1">
      <c r="A4944" s="2" t="s">
        <v>4941</v>
      </c>
      <c r="B4944" s="2" t="s">
        <v>14</v>
      </c>
      <c r="C4944" s="1" t="str">
        <f>IFERROR(__xludf.DUMMYFUNCTION("GOOGLETRANSLATE(A4944,""en"",""pt-br"")"),"devolveu")</f>
        <v>devolveu</v>
      </c>
      <c r="D4944" s="1" t="str">
        <f>IFERROR(__xludf.DUMMYFUNCTION("GOOGLETRANSLATE(B4944,""en"",""pt-br"")"),"positivo")</f>
        <v>positivo</v>
      </c>
    </row>
    <row r="4945" ht="15.75" customHeight="1">
      <c r="A4945" s="2" t="s">
        <v>4942</v>
      </c>
      <c r="B4945" s="2" t="s">
        <v>3</v>
      </c>
      <c r="C4945" s="1" t="str">
        <f>IFERROR(__xludf.DUMMYFUNCTION("GOOGLETRANSLATE(A4945,""en"",""pt-br"")"),"recusa")</f>
        <v>recusa</v>
      </c>
      <c r="D4945" s="1" t="str">
        <f>IFERROR(__xludf.DUMMYFUNCTION("GOOGLETRANSLATE(B4945,""en"",""pt-br"")"),"negativo")</f>
        <v>negativo</v>
      </c>
    </row>
    <row r="4946" ht="15.75" customHeight="1">
      <c r="A4946" s="2" t="s">
        <v>4943</v>
      </c>
      <c r="B4946" s="2" t="s">
        <v>3</v>
      </c>
      <c r="C4946" s="1" t="str">
        <f>IFERROR(__xludf.DUMMYFUNCTION("GOOGLETRANSLATE(A4946,""en"",""pt-br"")"),"recusar")</f>
        <v>recusar</v>
      </c>
      <c r="D4946" s="1" t="str">
        <f>IFERROR(__xludf.DUMMYFUNCTION("GOOGLETRANSLATE(B4946,""en"",""pt-br"")"),"negativo")</f>
        <v>negativo</v>
      </c>
    </row>
    <row r="4947" ht="15.75" customHeight="1">
      <c r="A4947" s="2" t="s">
        <v>4944</v>
      </c>
      <c r="B4947" s="2" t="s">
        <v>3</v>
      </c>
      <c r="C4947" s="1" t="str">
        <f>IFERROR(__xludf.DUMMYFUNCTION("GOOGLETRANSLATE(A4947,""en"",""pt-br"")"),"recusou")</f>
        <v>recusou</v>
      </c>
      <c r="D4947" s="1" t="str">
        <f>IFERROR(__xludf.DUMMYFUNCTION("GOOGLETRANSLATE(B4947,""en"",""pt-br"")"),"negativo")</f>
        <v>negativo</v>
      </c>
    </row>
    <row r="4948" ht="15.75" customHeight="1">
      <c r="A4948" s="2" t="s">
        <v>4945</v>
      </c>
      <c r="B4948" s="2" t="s">
        <v>3</v>
      </c>
      <c r="C4948" s="1" t="str">
        <f>IFERROR(__xludf.DUMMYFUNCTION("GOOGLETRANSLATE(A4948,""en"",""pt-br"")"),"recusa")</f>
        <v>recusa</v>
      </c>
      <c r="D4948" s="1" t="str">
        <f>IFERROR(__xludf.DUMMYFUNCTION("GOOGLETRANSLATE(B4948,""en"",""pt-br"")"),"negativo")</f>
        <v>negativo</v>
      </c>
    </row>
    <row r="4949" ht="15.75" customHeight="1">
      <c r="A4949" s="2" t="s">
        <v>4946</v>
      </c>
      <c r="B4949" s="2" t="s">
        <v>3</v>
      </c>
      <c r="C4949" s="1" t="str">
        <f>IFERROR(__xludf.DUMMYFUNCTION("GOOGLETRANSLATE(A4949,""en"",""pt-br"")"),"recusa")</f>
        <v>recusa</v>
      </c>
      <c r="D4949" s="1" t="str">
        <f>IFERROR(__xludf.DUMMYFUNCTION("GOOGLETRANSLATE(B4949,""en"",""pt-br"")"),"negativo")</f>
        <v>negativo</v>
      </c>
    </row>
    <row r="4950" ht="15.75" customHeight="1">
      <c r="A4950" s="2" t="s">
        <v>4947</v>
      </c>
      <c r="B4950" s="2" t="s">
        <v>3</v>
      </c>
      <c r="C4950" s="1" t="str">
        <f>IFERROR(__xludf.DUMMYFUNCTION("GOOGLETRANSLATE(A4950,""en"",""pt-br"")"),"refutação")</f>
        <v>refutação</v>
      </c>
      <c r="D4950" s="1" t="str">
        <f>IFERROR(__xludf.DUMMYFUNCTION("GOOGLETRANSLATE(B4950,""en"",""pt-br"")"),"negativo")</f>
        <v>negativo</v>
      </c>
    </row>
    <row r="4951" ht="15.75" customHeight="1">
      <c r="A4951" s="2" t="s">
        <v>4948</v>
      </c>
      <c r="B4951" s="2" t="s">
        <v>3</v>
      </c>
      <c r="C4951" s="1" t="str">
        <f>IFERROR(__xludf.DUMMYFUNCTION("GOOGLETRANSLATE(A4951,""en"",""pt-br"")"),"refutar")</f>
        <v>refutar</v>
      </c>
      <c r="D4951" s="1" t="str">
        <f>IFERROR(__xludf.DUMMYFUNCTION("GOOGLETRANSLATE(B4951,""en"",""pt-br"")"),"negativo")</f>
        <v>negativo</v>
      </c>
    </row>
    <row r="4952" ht="15.75" customHeight="1">
      <c r="A4952" s="2" t="s">
        <v>4949</v>
      </c>
      <c r="B4952" s="2" t="s">
        <v>3</v>
      </c>
      <c r="C4952" s="1" t="str">
        <f>IFERROR(__xludf.DUMMYFUNCTION("GOOGLETRANSLATE(A4952,""en"",""pt-br"")"),"refutada")</f>
        <v>refutada</v>
      </c>
      <c r="D4952" s="1" t="str">
        <f>IFERROR(__xludf.DUMMYFUNCTION("GOOGLETRANSLATE(B4952,""en"",""pt-br"")"),"negativo")</f>
        <v>negativo</v>
      </c>
    </row>
    <row r="4953" ht="15.75" customHeight="1">
      <c r="A4953" s="2" t="s">
        <v>4950</v>
      </c>
      <c r="B4953" s="2" t="s">
        <v>3</v>
      </c>
      <c r="C4953" s="1" t="str">
        <f>IFERROR(__xludf.DUMMYFUNCTION("GOOGLETRANSLATE(A4953,""en"",""pt-br"")"),"refuta")</f>
        <v>refuta</v>
      </c>
      <c r="D4953" s="1" t="str">
        <f>IFERROR(__xludf.DUMMYFUNCTION("GOOGLETRANSLATE(B4953,""en"",""pt-br"")"),"negativo")</f>
        <v>negativo</v>
      </c>
    </row>
    <row r="4954" ht="15.75" customHeight="1">
      <c r="A4954" s="2" t="s">
        <v>4951</v>
      </c>
      <c r="B4954" s="2" t="s">
        <v>3</v>
      </c>
      <c r="C4954" s="1" t="str">
        <f>IFERROR(__xludf.DUMMYFUNCTION("GOOGLETRANSLATE(A4954,""en"",""pt-br"")"),"refutante")</f>
        <v>refutante</v>
      </c>
      <c r="D4954" s="1" t="str">
        <f>IFERROR(__xludf.DUMMYFUNCTION("GOOGLETRANSLATE(B4954,""en"",""pt-br"")"),"negativo")</f>
        <v>negativo</v>
      </c>
    </row>
    <row r="4955" ht="15.75" customHeight="1">
      <c r="A4955" s="2" t="s">
        <v>4952</v>
      </c>
      <c r="B4955" s="2" t="s">
        <v>14</v>
      </c>
      <c r="C4955" s="1" t="str">
        <f>IFERROR(__xludf.DUMMYFUNCTION("GOOGLETRANSLATE(A4955,""en"",""pt-br"")"),"régio")</f>
        <v>régio</v>
      </c>
      <c r="D4955" s="1" t="str">
        <f>IFERROR(__xludf.DUMMYFUNCTION("GOOGLETRANSLATE(B4955,""en"",""pt-br"")"),"positivo")</f>
        <v>positivo</v>
      </c>
    </row>
    <row r="4956" ht="15.75" customHeight="1">
      <c r="A4956" s="2" t="s">
        <v>4953</v>
      </c>
      <c r="B4956" s="2" t="s">
        <v>14</v>
      </c>
      <c r="C4956" s="1" t="str">
        <f>IFERROR(__xludf.DUMMYFUNCTION("GOOGLETRANSLATE(A4956,""en"",""pt-br"")"),"regiamente")</f>
        <v>regiamente</v>
      </c>
      <c r="D4956" s="1" t="str">
        <f>IFERROR(__xludf.DUMMYFUNCTION("GOOGLETRANSLATE(B4956,""en"",""pt-br"")"),"positivo")</f>
        <v>positivo</v>
      </c>
    </row>
    <row r="4957" ht="15.75" customHeight="1">
      <c r="A4957" s="2" t="s">
        <v>4954</v>
      </c>
      <c r="B4957" s="2" t="s">
        <v>14</v>
      </c>
      <c r="C4957" s="1" t="str">
        <f>IFERROR(__xludf.DUMMYFUNCTION("GOOGLETRANSLATE(A4957,""en"",""pt-br"")"),"que diz respeito")</f>
        <v>que diz respeito</v>
      </c>
      <c r="D4957" s="1" t="str">
        <f>IFERROR(__xludf.DUMMYFUNCTION("GOOGLETRANSLATE(B4957,""en"",""pt-br"")"),"positivo")</f>
        <v>positivo</v>
      </c>
    </row>
    <row r="4958" ht="15.75" customHeight="1">
      <c r="A4958" s="2" t="s">
        <v>4955</v>
      </c>
      <c r="B4958" s="2" t="s">
        <v>3</v>
      </c>
      <c r="C4958" s="1" t="str">
        <f>IFERROR(__xludf.DUMMYFUNCTION("GOOGLETRANSLATE(A4958,""en"",""pt-br"")"),"regress")</f>
        <v>regress</v>
      </c>
      <c r="D4958" s="1" t="str">
        <f>IFERROR(__xludf.DUMMYFUNCTION("GOOGLETRANSLATE(B4958,""en"",""pt-br"")"),"negativo")</f>
        <v>negativo</v>
      </c>
    </row>
    <row r="4959" ht="15.75" customHeight="1">
      <c r="A4959" s="2" t="s">
        <v>4956</v>
      </c>
      <c r="B4959" s="2" t="s">
        <v>3</v>
      </c>
      <c r="C4959" s="1" t="str">
        <f>IFERROR(__xludf.DUMMYFUNCTION("GOOGLETRANSLATE(A4959,""en"",""pt-br"")"),"regressão")</f>
        <v>regressão</v>
      </c>
      <c r="D4959" s="1" t="str">
        <f>IFERROR(__xludf.DUMMYFUNCTION("GOOGLETRANSLATE(B4959,""en"",""pt-br"")"),"negativo")</f>
        <v>negativo</v>
      </c>
    </row>
    <row r="4960" ht="15.75" customHeight="1">
      <c r="A4960" s="2" t="s">
        <v>4957</v>
      </c>
      <c r="B4960" s="2" t="s">
        <v>3</v>
      </c>
      <c r="C4960" s="1" t="str">
        <f>IFERROR(__xludf.DUMMYFUNCTION("GOOGLETRANSLATE(A4960,""en"",""pt-br"")"),"regressivo")</f>
        <v>regressivo</v>
      </c>
      <c r="D4960" s="1" t="str">
        <f>IFERROR(__xludf.DUMMYFUNCTION("GOOGLETRANSLATE(B4960,""en"",""pt-br"")"),"negativo")</f>
        <v>negativo</v>
      </c>
    </row>
    <row r="4961" ht="15.75" customHeight="1">
      <c r="A4961" s="2" t="s">
        <v>4958</v>
      </c>
      <c r="B4961" s="2" t="s">
        <v>3</v>
      </c>
      <c r="C4961" s="1" t="str">
        <f>IFERROR(__xludf.DUMMYFUNCTION("GOOGLETRANSLATE(A4961,""en"",""pt-br"")"),"arrepender")</f>
        <v>arrepender</v>
      </c>
      <c r="D4961" s="1" t="str">
        <f>IFERROR(__xludf.DUMMYFUNCTION("GOOGLETRANSLATE(B4961,""en"",""pt-br"")"),"negativo")</f>
        <v>negativo</v>
      </c>
    </row>
    <row r="4962" ht="15.75" customHeight="1">
      <c r="A4962" s="2" t="s">
        <v>4959</v>
      </c>
      <c r="B4962" s="2" t="s">
        <v>3</v>
      </c>
      <c r="C4962" s="1" t="str">
        <f>IFERROR(__xludf.DUMMYFUNCTION("GOOGLETRANSLATE(A4962,""en"",""pt-br"")"),"regreted")</f>
        <v>regreted</v>
      </c>
      <c r="D4962" s="1" t="str">
        <f>IFERROR(__xludf.DUMMYFUNCTION("GOOGLETRANSLATE(B4962,""en"",""pt-br"")"),"negativo")</f>
        <v>negativo</v>
      </c>
    </row>
    <row r="4963" ht="15.75" customHeight="1">
      <c r="A4963" s="2" t="s">
        <v>4960</v>
      </c>
      <c r="B4963" s="2" t="s">
        <v>3</v>
      </c>
      <c r="C4963" s="1" t="str">
        <f>IFERROR(__xludf.DUMMYFUNCTION("GOOGLETRANSLATE(A4963,""en"",""pt-br"")"),"lamentável")</f>
        <v>lamentável</v>
      </c>
      <c r="D4963" s="1" t="str">
        <f>IFERROR(__xludf.DUMMYFUNCTION("GOOGLETRANSLATE(B4963,""en"",""pt-br"")"),"negativo")</f>
        <v>negativo</v>
      </c>
    </row>
    <row r="4964" ht="15.75" customHeight="1">
      <c r="A4964" s="2" t="s">
        <v>4961</v>
      </c>
      <c r="B4964" s="2" t="s">
        <v>3</v>
      </c>
      <c r="C4964" s="1" t="str">
        <f>IFERROR(__xludf.DUMMYFUNCTION("GOOGLETRANSLATE(A4964,""en"",""pt-br"")"),"regretfully")</f>
        <v>regretfully</v>
      </c>
      <c r="D4964" s="1" t="str">
        <f>IFERROR(__xludf.DUMMYFUNCTION("GOOGLETRANSLATE(B4964,""en"",""pt-br"")"),"negativo")</f>
        <v>negativo</v>
      </c>
    </row>
    <row r="4965" ht="15.75" customHeight="1">
      <c r="A4965" s="2" t="s">
        <v>4962</v>
      </c>
      <c r="B4965" s="2" t="s">
        <v>3</v>
      </c>
      <c r="C4965" s="1" t="str">
        <f>IFERROR(__xludf.DUMMYFUNCTION("GOOGLETRANSLATE(A4965,""en"",""pt-br"")"),"arrependimentos")</f>
        <v>arrependimentos</v>
      </c>
      <c r="D4965" s="1" t="str">
        <f>IFERROR(__xludf.DUMMYFUNCTION("GOOGLETRANSLATE(B4965,""en"",""pt-br"")"),"negativo")</f>
        <v>negativo</v>
      </c>
    </row>
    <row r="4966" ht="15.75" customHeight="1">
      <c r="A4966" s="2" t="s">
        <v>4963</v>
      </c>
      <c r="B4966" s="2" t="s">
        <v>3</v>
      </c>
      <c r="C4966" s="1" t="str">
        <f>IFERROR(__xludf.DUMMYFUNCTION("GOOGLETRANSLATE(A4966,""en"",""pt-br"")"),"lamentável")</f>
        <v>lamentável</v>
      </c>
      <c r="D4966" s="1" t="str">
        <f>IFERROR(__xludf.DUMMYFUNCTION("GOOGLETRANSLATE(B4966,""en"",""pt-br"")"),"negativo")</f>
        <v>negativo</v>
      </c>
    </row>
    <row r="4967" ht="15.75" customHeight="1">
      <c r="A4967" s="2" t="s">
        <v>4964</v>
      </c>
      <c r="B4967" s="2" t="s">
        <v>3</v>
      </c>
      <c r="C4967" s="1" t="str">
        <f>IFERROR(__xludf.DUMMYFUNCTION("GOOGLETRANSLATE(A4967,""en"",""pt-br"")"),"lamentavelmente")</f>
        <v>lamentavelmente</v>
      </c>
      <c r="D4967" s="1" t="str">
        <f>IFERROR(__xludf.DUMMYFUNCTION("GOOGLETRANSLATE(B4967,""en"",""pt-br"")"),"negativo")</f>
        <v>negativo</v>
      </c>
    </row>
    <row r="4968" ht="15.75" customHeight="1">
      <c r="A4968" s="2" t="s">
        <v>4965</v>
      </c>
      <c r="B4968" s="2" t="s">
        <v>3</v>
      </c>
      <c r="C4968" s="1" t="str">
        <f>IFERROR(__xludf.DUMMYFUNCTION("GOOGLETRANSLATE(A4968,""en"",""pt-br"")"),"lamentou")</f>
        <v>lamentou</v>
      </c>
      <c r="D4968" s="1" t="str">
        <f>IFERROR(__xludf.DUMMYFUNCTION("GOOGLETRANSLATE(B4968,""en"",""pt-br"")"),"negativo")</f>
        <v>negativo</v>
      </c>
    </row>
    <row r="4969" ht="15.75" customHeight="1">
      <c r="A4969" s="2" t="s">
        <v>4966</v>
      </c>
      <c r="B4969" s="2" t="s">
        <v>3</v>
      </c>
      <c r="C4969" s="1" t="str">
        <f>IFERROR(__xludf.DUMMYFUNCTION("GOOGLETRANSLATE(A4969,""en"",""pt-br"")"),"rejeitar")</f>
        <v>rejeitar</v>
      </c>
      <c r="D4969" s="1" t="str">
        <f>IFERROR(__xludf.DUMMYFUNCTION("GOOGLETRANSLATE(B4969,""en"",""pt-br"")"),"negativo")</f>
        <v>negativo</v>
      </c>
    </row>
    <row r="4970" ht="15.75" customHeight="1">
      <c r="A4970" s="2" t="s">
        <v>4967</v>
      </c>
      <c r="B4970" s="2" t="s">
        <v>3</v>
      </c>
      <c r="C4970" s="1" t="str">
        <f>IFERROR(__xludf.DUMMYFUNCTION("GOOGLETRANSLATE(A4970,""en"",""pt-br"")"),"rejeitado")</f>
        <v>rejeitado</v>
      </c>
      <c r="D4970" s="1" t="str">
        <f>IFERROR(__xludf.DUMMYFUNCTION("GOOGLETRANSLATE(B4970,""en"",""pt-br"")"),"negativo")</f>
        <v>negativo</v>
      </c>
    </row>
    <row r="4971" ht="15.75" customHeight="1">
      <c r="A4971" s="2" t="s">
        <v>4968</v>
      </c>
      <c r="B4971" s="2" t="s">
        <v>3</v>
      </c>
      <c r="C4971" s="1" t="str">
        <f>IFERROR(__xludf.DUMMYFUNCTION("GOOGLETRANSLATE(A4971,""en"",""pt-br"")"),"rejeitando")</f>
        <v>rejeitando</v>
      </c>
      <c r="D4971" s="1" t="str">
        <f>IFERROR(__xludf.DUMMYFUNCTION("GOOGLETRANSLATE(B4971,""en"",""pt-br"")"),"negativo")</f>
        <v>negativo</v>
      </c>
    </row>
    <row r="4972" ht="15.75" customHeight="1">
      <c r="A4972" s="2" t="s">
        <v>4969</v>
      </c>
      <c r="B4972" s="2" t="s">
        <v>3</v>
      </c>
      <c r="C4972" s="1" t="str">
        <f>IFERROR(__xludf.DUMMYFUNCTION("GOOGLETRANSLATE(A4972,""en"",""pt-br"")"),"rejeição")</f>
        <v>rejeição</v>
      </c>
      <c r="D4972" s="1" t="str">
        <f>IFERROR(__xludf.DUMMYFUNCTION("GOOGLETRANSLATE(B4972,""en"",""pt-br"")"),"negativo")</f>
        <v>negativo</v>
      </c>
    </row>
    <row r="4973" ht="15.75" customHeight="1">
      <c r="A4973" s="2" t="s">
        <v>4970</v>
      </c>
      <c r="B4973" s="2" t="s">
        <v>3</v>
      </c>
      <c r="C4973" s="1" t="str">
        <f>IFERROR(__xludf.DUMMYFUNCTION("GOOGLETRANSLATE(A4973,""en"",""pt-br"")"),"rejeitos")</f>
        <v>rejeitos</v>
      </c>
      <c r="D4973" s="1" t="str">
        <f>IFERROR(__xludf.DUMMYFUNCTION("GOOGLETRANSLATE(B4973,""en"",""pt-br"")"),"negativo")</f>
        <v>negativo</v>
      </c>
    </row>
    <row r="4974" ht="15.75" customHeight="1">
      <c r="A4974" s="2" t="s">
        <v>4971</v>
      </c>
      <c r="B4974" s="2" t="s">
        <v>14</v>
      </c>
      <c r="C4974" s="1" t="str">
        <f>IFERROR(__xludf.DUMMYFUNCTION("GOOGLETRANSLATE(A4974,""en"",""pt-br"")"),"alegrar")</f>
        <v>alegrar</v>
      </c>
      <c r="D4974" s="1" t="str">
        <f>IFERROR(__xludf.DUMMYFUNCTION("GOOGLETRANSLATE(B4974,""en"",""pt-br"")"),"positivo")</f>
        <v>positivo</v>
      </c>
    </row>
    <row r="4975" ht="15.75" customHeight="1">
      <c r="A4975" s="2" t="s">
        <v>4972</v>
      </c>
      <c r="B4975" s="2" t="s">
        <v>14</v>
      </c>
      <c r="C4975" s="1" t="str">
        <f>IFERROR(__xludf.DUMMYFUNCTION("GOOGLETRANSLATE(A4975,""en"",""pt-br"")"),"alegria")</f>
        <v>alegria</v>
      </c>
      <c r="D4975" s="1" t="str">
        <f>IFERROR(__xludf.DUMMYFUNCTION("GOOGLETRANSLATE(B4975,""en"",""pt-br"")"),"positivo")</f>
        <v>positivo</v>
      </c>
    </row>
    <row r="4976" ht="15.75" customHeight="1">
      <c r="A4976" s="2" t="s">
        <v>4973</v>
      </c>
      <c r="B4976" s="2" t="s">
        <v>14</v>
      </c>
      <c r="C4976" s="1" t="str">
        <f>IFERROR(__xludf.DUMMYFUNCTION("GOOGLETRANSLATE(A4976,""en"",""pt-br"")"),"alegremente")</f>
        <v>alegremente</v>
      </c>
      <c r="D4976" s="1" t="str">
        <f>IFERROR(__xludf.DUMMYFUNCTION("GOOGLETRANSLATE(B4976,""en"",""pt-br"")"),"positivo")</f>
        <v>positivo</v>
      </c>
    </row>
    <row r="4977" ht="15.75" customHeight="1">
      <c r="A4977" s="2" t="s">
        <v>4974</v>
      </c>
      <c r="B4977" s="2" t="s">
        <v>14</v>
      </c>
      <c r="C4977" s="1" t="str">
        <f>IFERROR(__xludf.DUMMYFUNCTION("GOOGLETRANSLATE(A4977,""en"",""pt-br"")"),"rejuvenescer")</f>
        <v>rejuvenescer</v>
      </c>
      <c r="D4977" s="1" t="str">
        <f>IFERROR(__xludf.DUMMYFUNCTION("GOOGLETRANSLATE(B4977,""en"",""pt-br"")"),"positivo")</f>
        <v>positivo</v>
      </c>
    </row>
    <row r="4978" ht="15.75" customHeight="1">
      <c r="A4978" s="2" t="s">
        <v>4975</v>
      </c>
      <c r="B4978" s="2" t="s">
        <v>14</v>
      </c>
      <c r="C4978" s="1" t="str">
        <f>IFERROR(__xludf.DUMMYFUNCTION("GOOGLETRANSLATE(A4978,""en"",""pt-br"")"),"rejuvenescido")</f>
        <v>rejuvenescido</v>
      </c>
      <c r="D4978" s="1" t="str">
        <f>IFERROR(__xludf.DUMMYFUNCTION("GOOGLETRANSLATE(B4978,""en"",""pt-br"")"),"positivo")</f>
        <v>positivo</v>
      </c>
    </row>
    <row r="4979" ht="15.75" customHeight="1">
      <c r="A4979" s="2" t="s">
        <v>4976</v>
      </c>
      <c r="B4979" s="2" t="s">
        <v>14</v>
      </c>
      <c r="C4979" s="1" t="str">
        <f>IFERROR(__xludf.DUMMYFUNCTION("GOOGLETRANSLATE(A4979,""en"",""pt-br"")"),"rejuvenescedor")</f>
        <v>rejuvenescedor</v>
      </c>
      <c r="D4979" s="1" t="str">
        <f>IFERROR(__xludf.DUMMYFUNCTION("GOOGLETRANSLATE(B4979,""en"",""pt-br"")"),"positivo")</f>
        <v>positivo</v>
      </c>
    </row>
    <row r="4980" ht="15.75" customHeight="1">
      <c r="A4980" s="2" t="s">
        <v>4977</v>
      </c>
      <c r="B4980" s="2" t="s">
        <v>3</v>
      </c>
      <c r="C4980" s="1" t="str">
        <f>IFERROR(__xludf.DUMMYFUNCTION("GOOGLETRANSLATE(A4980,""en"",""pt-br"")"),"recaída")</f>
        <v>recaída</v>
      </c>
      <c r="D4980" s="1" t="str">
        <f>IFERROR(__xludf.DUMMYFUNCTION("GOOGLETRANSLATE(B4980,""en"",""pt-br"")"),"negativo")</f>
        <v>negativo</v>
      </c>
    </row>
    <row r="4981" ht="15.75" customHeight="1">
      <c r="A4981" s="2" t="s">
        <v>4978</v>
      </c>
      <c r="B4981" s="2" t="s">
        <v>14</v>
      </c>
      <c r="C4981" s="1" t="str">
        <f>IFERROR(__xludf.DUMMYFUNCTION("GOOGLETRANSLATE(A4981,""en"",""pt-br"")"),"relaxado")</f>
        <v>relaxado</v>
      </c>
      <c r="D4981" s="1" t="str">
        <f>IFERROR(__xludf.DUMMYFUNCTION("GOOGLETRANSLATE(B4981,""en"",""pt-br"")"),"positivo")</f>
        <v>positivo</v>
      </c>
    </row>
    <row r="4982" ht="15.75" customHeight="1">
      <c r="A4982" s="2" t="s">
        <v>4979</v>
      </c>
      <c r="B4982" s="2" t="s">
        <v>14</v>
      </c>
      <c r="C4982" s="1" t="str">
        <f>IFERROR(__xludf.DUMMYFUNCTION("GOOGLETRANSLATE(A4982,""en"",""pt-br"")"),"ceder")</f>
        <v>ceder</v>
      </c>
      <c r="D4982" s="1" t="str">
        <f>IFERROR(__xludf.DUMMYFUNCTION("GOOGLETRANSLATE(B4982,""en"",""pt-br"")"),"positivo")</f>
        <v>positivo</v>
      </c>
    </row>
    <row r="4983" ht="15.75" customHeight="1">
      <c r="A4983" s="2" t="s">
        <v>4980</v>
      </c>
      <c r="B4983" s="2" t="s">
        <v>3</v>
      </c>
      <c r="C4983" s="1" t="str">
        <f>IFERROR(__xludf.DUMMYFUNCTION("GOOGLETRANSLATE(A4983,""en"",""pt-br"")"),"implacável")</f>
        <v>implacável</v>
      </c>
      <c r="D4983" s="1" t="str">
        <f>IFERROR(__xludf.DUMMYFUNCTION("GOOGLETRANSLATE(B4983,""en"",""pt-br"")"),"negativo")</f>
        <v>negativo</v>
      </c>
    </row>
    <row r="4984" ht="15.75" customHeight="1">
      <c r="A4984" s="2" t="s">
        <v>4981</v>
      </c>
      <c r="B4984" s="2" t="s">
        <v>3</v>
      </c>
      <c r="C4984" s="1" t="str">
        <f>IFERROR(__xludf.DUMMYFUNCTION("GOOGLETRANSLATE(A4984,""en"",""pt-br"")"),"implacavelmente")</f>
        <v>implacavelmente</v>
      </c>
      <c r="D4984" s="1" t="str">
        <f>IFERROR(__xludf.DUMMYFUNCTION("GOOGLETRANSLATE(B4984,""en"",""pt-br"")"),"negativo")</f>
        <v>negativo</v>
      </c>
    </row>
    <row r="4985" ht="15.75" customHeight="1">
      <c r="A4985" s="2" t="s">
        <v>4982</v>
      </c>
      <c r="B4985" s="2" t="s">
        <v>3</v>
      </c>
      <c r="C4985" s="1" t="str">
        <f>IFERROR(__xludf.DUMMYFUNCTION("GOOGLETRANSLATE(A4985,""en"",""pt-br"")"),"relentlessness")</f>
        <v>relentlessness</v>
      </c>
      <c r="D4985" s="1" t="str">
        <f>IFERROR(__xludf.DUMMYFUNCTION("GOOGLETRANSLATE(B4985,""en"",""pt-br"")"),"negativo")</f>
        <v>negativo</v>
      </c>
    </row>
    <row r="4986" ht="15.75" customHeight="1">
      <c r="A4986" s="2" t="s">
        <v>4983</v>
      </c>
      <c r="B4986" s="2" t="s">
        <v>14</v>
      </c>
      <c r="C4986" s="1" t="str">
        <f>IFERROR(__xludf.DUMMYFUNCTION("GOOGLETRANSLATE(A4986,""en"",""pt-br"")"),"confiável")</f>
        <v>confiável</v>
      </c>
      <c r="D4986" s="1" t="str">
        <f>IFERROR(__xludf.DUMMYFUNCTION("GOOGLETRANSLATE(B4986,""en"",""pt-br"")"),"positivo")</f>
        <v>positivo</v>
      </c>
    </row>
    <row r="4987" ht="15.75" customHeight="1">
      <c r="A4987" s="2" t="s">
        <v>4984</v>
      </c>
      <c r="B4987" s="2" t="s">
        <v>14</v>
      </c>
      <c r="C4987" s="1" t="str">
        <f>IFERROR(__xludf.DUMMYFUNCTION("GOOGLETRANSLATE(A4987,""en"",""pt-br"")"),"com segurança")</f>
        <v>com segurança</v>
      </c>
      <c r="D4987" s="1" t="str">
        <f>IFERROR(__xludf.DUMMYFUNCTION("GOOGLETRANSLATE(B4987,""en"",""pt-br"")"),"positivo")</f>
        <v>positivo</v>
      </c>
    </row>
    <row r="4988" ht="15.75" customHeight="1">
      <c r="A4988" s="2" t="s">
        <v>4985</v>
      </c>
      <c r="B4988" s="2" t="s">
        <v>14</v>
      </c>
      <c r="C4988" s="1" t="str">
        <f>IFERROR(__xludf.DUMMYFUNCTION("GOOGLETRANSLATE(A4988,""en"",""pt-br"")"),"alívio")</f>
        <v>alívio</v>
      </c>
      <c r="D4988" s="1" t="str">
        <f>IFERROR(__xludf.DUMMYFUNCTION("GOOGLETRANSLATE(B4988,""en"",""pt-br"")"),"positivo")</f>
        <v>positivo</v>
      </c>
    </row>
    <row r="4989" ht="15.75" customHeight="1">
      <c r="A4989" s="2" t="s">
        <v>4986</v>
      </c>
      <c r="B4989" s="2" t="s">
        <v>14</v>
      </c>
      <c r="C4989" s="1" t="str">
        <f>IFERROR(__xludf.DUMMYFUNCTION("GOOGLETRANSLATE(A4989,""en"",""pt-br"")"),"relish")</f>
        <v>relish</v>
      </c>
      <c r="D4989" s="1" t="str">
        <f>IFERROR(__xludf.DUMMYFUNCTION("GOOGLETRANSLATE(B4989,""en"",""pt-br"")"),"positivo")</f>
        <v>positivo</v>
      </c>
    </row>
    <row r="4990" ht="15.75" customHeight="1">
      <c r="A4990" s="2" t="s">
        <v>4987</v>
      </c>
      <c r="B4990" s="2" t="s">
        <v>3</v>
      </c>
      <c r="C4990" s="1" t="str">
        <f>IFERROR(__xludf.DUMMYFUNCTION("GOOGLETRANSLATE(A4990,""en"",""pt-br"")"),"relutância")</f>
        <v>relutância</v>
      </c>
      <c r="D4990" s="1" t="str">
        <f>IFERROR(__xludf.DUMMYFUNCTION("GOOGLETRANSLATE(B4990,""en"",""pt-br"")"),"negativo")</f>
        <v>negativo</v>
      </c>
    </row>
    <row r="4991" ht="15.75" customHeight="1">
      <c r="A4991" s="2" t="s">
        <v>4988</v>
      </c>
      <c r="B4991" s="2" t="s">
        <v>3</v>
      </c>
      <c r="C4991" s="1" t="str">
        <f>IFERROR(__xludf.DUMMYFUNCTION("GOOGLETRANSLATE(A4991,""en"",""pt-br"")"),"relutante")</f>
        <v>relutante</v>
      </c>
      <c r="D4991" s="1" t="str">
        <f>IFERROR(__xludf.DUMMYFUNCTION("GOOGLETRANSLATE(B4991,""en"",""pt-br"")"),"negativo")</f>
        <v>negativo</v>
      </c>
    </row>
    <row r="4992" ht="15.75" customHeight="1">
      <c r="A4992" s="2" t="s">
        <v>4989</v>
      </c>
      <c r="B4992" s="2" t="s">
        <v>3</v>
      </c>
      <c r="C4992" s="1" t="str">
        <f>IFERROR(__xludf.DUMMYFUNCTION("GOOGLETRANSLATE(A4992,""en"",""pt-br"")"),"relutantemente")</f>
        <v>relutantemente</v>
      </c>
      <c r="D4992" s="1" t="str">
        <f>IFERROR(__xludf.DUMMYFUNCTION("GOOGLETRANSLATE(B4992,""en"",""pt-br"")"),"negativo")</f>
        <v>negativo</v>
      </c>
    </row>
    <row r="4993" ht="15.75" customHeight="1">
      <c r="A4993" s="2" t="s">
        <v>4990</v>
      </c>
      <c r="B4993" s="2" t="s">
        <v>14</v>
      </c>
      <c r="C4993" s="1" t="str">
        <f>IFERROR(__xludf.DUMMYFUNCTION("GOOGLETRANSLATE(A4993,""en"",""pt-br"")"),"notável")</f>
        <v>notável</v>
      </c>
      <c r="D4993" s="1" t="str">
        <f>IFERROR(__xludf.DUMMYFUNCTION("GOOGLETRANSLATE(B4993,""en"",""pt-br"")"),"positivo")</f>
        <v>positivo</v>
      </c>
    </row>
    <row r="4994" ht="15.75" customHeight="1">
      <c r="A4994" s="2" t="s">
        <v>4991</v>
      </c>
      <c r="B4994" s="2" t="s">
        <v>14</v>
      </c>
      <c r="C4994" s="1" t="str">
        <f>IFERROR(__xludf.DUMMYFUNCTION("GOOGLETRANSLATE(A4994,""en"",""pt-br"")"),"notavelmente")</f>
        <v>notavelmente</v>
      </c>
      <c r="D4994" s="1" t="str">
        <f>IFERROR(__xludf.DUMMYFUNCTION("GOOGLETRANSLATE(B4994,""en"",""pt-br"")"),"positivo")</f>
        <v>positivo</v>
      </c>
    </row>
    <row r="4995" ht="15.75" customHeight="1">
      <c r="A4995" s="2" t="s">
        <v>4992</v>
      </c>
      <c r="B4995" s="2" t="s">
        <v>14</v>
      </c>
      <c r="C4995" s="1" t="str">
        <f>IFERROR(__xludf.DUMMYFUNCTION("GOOGLETRANSLATE(A4995,""en"",""pt-br"")"),"remédio")</f>
        <v>remédio</v>
      </c>
      <c r="D4995" s="1" t="str">
        <f>IFERROR(__xludf.DUMMYFUNCTION("GOOGLETRANSLATE(B4995,""en"",""pt-br"")"),"positivo")</f>
        <v>positivo</v>
      </c>
    </row>
    <row r="4996" ht="15.75" customHeight="1">
      <c r="A4996" s="2" t="s">
        <v>4993</v>
      </c>
      <c r="B4996" s="2" t="s">
        <v>14</v>
      </c>
      <c r="C4996" s="1" t="str">
        <f>IFERROR(__xludf.DUMMYFUNCTION("GOOGLETRANSLATE(A4996,""en"",""pt-br"")"),"remissão")</f>
        <v>remissão</v>
      </c>
      <c r="D4996" s="1" t="str">
        <f>IFERROR(__xludf.DUMMYFUNCTION("GOOGLETRANSLATE(B4996,""en"",""pt-br"")"),"positivo")</f>
        <v>positivo</v>
      </c>
    </row>
    <row r="4997" ht="15.75" customHeight="1">
      <c r="A4997" s="2" t="s">
        <v>4994</v>
      </c>
      <c r="B4997" s="2" t="s">
        <v>3</v>
      </c>
      <c r="C4997" s="1" t="str">
        <f>IFERROR(__xludf.DUMMYFUNCTION("GOOGLETRANSLATE(A4997,""en"",""pt-br"")"),"remorso")</f>
        <v>remorso</v>
      </c>
      <c r="D4997" s="1" t="str">
        <f>IFERROR(__xludf.DUMMYFUNCTION("GOOGLETRANSLATE(B4997,""en"",""pt-br"")"),"negativo")</f>
        <v>negativo</v>
      </c>
    </row>
    <row r="4998" ht="15.75" customHeight="1">
      <c r="A4998" s="2" t="s">
        <v>4995</v>
      </c>
      <c r="B4998" s="2" t="s">
        <v>3</v>
      </c>
      <c r="C4998" s="1" t="str">
        <f>IFERROR(__xludf.DUMMYFUNCTION("GOOGLETRANSLATE(A4998,""en"",""pt-br"")"),"cheio de remorsos")</f>
        <v>cheio de remorsos</v>
      </c>
      <c r="D4998" s="1" t="str">
        <f>IFERROR(__xludf.DUMMYFUNCTION("GOOGLETRANSLATE(B4998,""en"",""pt-br"")"),"negativo")</f>
        <v>negativo</v>
      </c>
    </row>
    <row r="4999" ht="15.75" customHeight="1">
      <c r="A4999" s="2" t="s">
        <v>4996</v>
      </c>
      <c r="B4999" s="2" t="s">
        <v>3</v>
      </c>
      <c r="C4999" s="1" t="str">
        <f>IFERROR(__xludf.DUMMYFUNCTION("GOOGLETRANSLATE(A4999,""en"",""pt-br"")"),"remorso")</f>
        <v>remorso</v>
      </c>
      <c r="D4999" s="1" t="str">
        <f>IFERROR(__xludf.DUMMYFUNCTION("GOOGLETRANSLATE(B4999,""en"",""pt-br"")"),"negativo")</f>
        <v>negativo</v>
      </c>
    </row>
    <row r="5000" ht="15.75" customHeight="1">
      <c r="A5000" s="2" t="s">
        <v>4997</v>
      </c>
      <c r="B5000" s="2" t="s">
        <v>3</v>
      </c>
      <c r="C5000" s="1" t="str">
        <f>IFERROR(__xludf.DUMMYFUNCTION("GOOGLETRANSLATE(A5000,""en"",""pt-br"")"),"sem piedade")</f>
        <v>sem piedade</v>
      </c>
      <c r="D5000" s="1" t="str">
        <f>IFERROR(__xludf.DUMMYFUNCTION("GOOGLETRANSLATE(B5000,""en"",""pt-br"")"),"negativo")</f>
        <v>negativo</v>
      </c>
    </row>
    <row r="5001" ht="15.75" customHeight="1">
      <c r="A5001" s="2" t="s">
        <v>4998</v>
      </c>
      <c r="B5001" s="2" t="s">
        <v>3</v>
      </c>
      <c r="C5001" s="1" t="str">
        <f>IFERROR(__xludf.DUMMYFUNCTION("GOOGLETRANSLATE(A5001,""en"",""pt-br"")"),"remorselessly")</f>
        <v>remorselessly</v>
      </c>
      <c r="D5001" s="1" t="str">
        <f>IFERROR(__xludf.DUMMYFUNCTION("GOOGLETRANSLATE(B5001,""en"",""pt-br"")"),"negativo")</f>
        <v>negativo</v>
      </c>
    </row>
    <row r="5002" ht="15.75" customHeight="1">
      <c r="A5002" s="2" t="s">
        <v>4999</v>
      </c>
      <c r="B5002" s="2" t="s">
        <v>3</v>
      </c>
      <c r="C5002" s="1" t="str">
        <f>IFERROR(__xludf.DUMMYFUNCTION("GOOGLETRANSLATE(A5002,""en"",""pt-br"")"),"remorselessness")</f>
        <v>remorselessness</v>
      </c>
      <c r="D5002" s="1" t="str">
        <f>IFERROR(__xludf.DUMMYFUNCTION("GOOGLETRANSLATE(B5002,""en"",""pt-br"")"),"negativo")</f>
        <v>negativo</v>
      </c>
    </row>
    <row r="5003" ht="15.75" customHeight="1">
      <c r="A5003" s="2" t="s">
        <v>5000</v>
      </c>
      <c r="B5003" s="2" t="s">
        <v>14</v>
      </c>
      <c r="C5003" s="1" t="str">
        <f>IFERROR(__xludf.DUMMYFUNCTION("GOOGLETRANSLATE(A5003,""en"",""pt-br"")"),"remunerar")</f>
        <v>remunerar</v>
      </c>
      <c r="D5003" s="1" t="str">
        <f>IFERROR(__xludf.DUMMYFUNCTION("GOOGLETRANSLATE(B5003,""en"",""pt-br"")"),"positivo")</f>
        <v>positivo</v>
      </c>
    </row>
    <row r="5004" ht="15.75" customHeight="1">
      <c r="A5004" s="2" t="s">
        <v>5001</v>
      </c>
      <c r="B5004" s="2" t="s">
        <v>14</v>
      </c>
      <c r="C5004" s="1" t="str">
        <f>IFERROR(__xludf.DUMMYFUNCTION("GOOGLETRANSLATE(A5004,""en"",""pt-br"")"),"renascimento")</f>
        <v>renascimento</v>
      </c>
      <c r="D5004" s="1" t="str">
        <f>IFERROR(__xludf.DUMMYFUNCTION("GOOGLETRANSLATE(B5004,""en"",""pt-br"")"),"positivo")</f>
        <v>positivo</v>
      </c>
    </row>
    <row r="5005" ht="15.75" customHeight="1">
      <c r="A5005" s="2" t="s">
        <v>5002</v>
      </c>
      <c r="B5005" s="2" t="s">
        <v>14</v>
      </c>
      <c r="C5005" s="1" t="str">
        <f>IFERROR(__xludf.DUMMYFUNCTION("GOOGLETRANSLATE(A5005,""en"",""pt-br"")"),"renovada")</f>
        <v>renovada</v>
      </c>
      <c r="D5005" s="1" t="str">
        <f>IFERROR(__xludf.DUMMYFUNCTION("GOOGLETRANSLATE(B5005,""en"",""pt-br"")"),"positivo")</f>
        <v>positivo</v>
      </c>
    </row>
    <row r="5006" ht="15.75" customHeight="1">
      <c r="A5006" s="2" t="s">
        <v>5003</v>
      </c>
      <c r="B5006" s="2" t="s">
        <v>3</v>
      </c>
      <c r="C5006" s="1" t="str">
        <f>IFERROR(__xludf.DUMMYFUNCTION("GOOGLETRANSLATE(A5006,""en"",""pt-br"")"),"renúncia")</f>
        <v>renúncia</v>
      </c>
      <c r="D5006" s="1" t="str">
        <f>IFERROR(__xludf.DUMMYFUNCTION("GOOGLETRANSLATE(B5006,""en"",""pt-br"")"),"negativo")</f>
        <v>negativo</v>
      </c>
    </row>
    <row r="5007" ht="15.75" customHeight="1">
      <c r="A5007" s="2" t="s">
        <v>5004</v>
      </c>
      <c r="B5007" s="2" t="s">
        <v>14</v>
      </c>
      <c r="C5007" s="1" t="str">
        <f>IFERROR(__xludf.DUMMYFUNCTION("GOOGLETRANSLATE(A5007,""en"",""pt-br"")"),"renome")</f>
        <v>renome</v>
      </c>
      <c r="D5007" s="1" t="str">
        <f>IFERROR(__xludf.DUMMYFUNCTION("GOOGLETRANSLATE(B5007,""en"",""pt-br"")"),"positivo")</f>
        <v>positivo</v>
      </c>
    </row>
    <row r="5008" ht="15.75" customHeight="1">
      <c r="A5008" s="2" t="s">
        <v>5005</v>
      </c>
      <c r="B5008" s="2" t="s">
        <v>14</v>
      </c>
      <c r="C5008" s="1" t="str">
        <f>IFERROR(__xludf.DUMMYFUNCTION("GOOGLETRANSLATE(A5008,""en"",""pt-br"")"),"famoso")</f>
        <v>famoso</v>
      </c>
      <c r="D5008" s="1" t="str">
        <f>IFERROR(__xludf.DUMMYFUNCTION("GOOGLETRANSLATE(B5008,""en"",""pt-br"")"),"positivo")</f>
        <v>positivo</v>
      </c>
    </row>
    <row r="5009" ht="15.75" customHeight="1">
      <c r="A5009" s="2" t="s">
        <v>5006</v>
      </c>
      <c r="B5009" s="2" t="s">
        <v>3</v>
      </c>
      <c r="C5009" s="1" t="str">
        <f>IFERROR(__xludf.DUMMYFUNCTION("GOOGLETRANSLATE(A5009,""en"",""pt-br"")"),"renúncia")</f>
        <v>renúncia</v>
      </c>
      <c r="D5009" s="1" t="str">
        <f>IFERROR(__xludf.DUMMYFUNCTION("GOOGLETRANSLATE(B5009,""en"",""pt-br"")"),"negativo")</f>
        <v>negativo</v>
      </c>
    </row>
    <row r="5010" ht="15.75" customHeight="1">
      <c r="A5010" s="2" t="s">
        <v>5007</v>
      </c>
      <c r="B5010" s="2" t="s">
        <v>3</v>
      </c>
      <c r="C5010" s="1" t="str">
        <f>IFERROR(__xludf.DUMMYFUNCTION("GOOGLETRANSLATE(A5010,""en"",""pt-br"")"),"repelir")</f>
        <v>repelir</v>
      </c>
      <c r="D5010" s="1" t="str">
        <f>IFERROR(__xludf.DUMMYFUNCTION("GOOGLETRANSLATE(B5010,""en"",""pt-br"")"),"negativo")</f>
        <v>negativo</v>
      </c>
    </row>
    <row r="5011" ht="15.75" customHeight="1">
      <c r="A5011" s="2" t="s">
        <v>5008</v>
      </c>
      <c r="B5011" s="2" t="s">
        <v>3</v>
      </c>
      <c r="C5011" s="1" t="str">
        <f>IFERROR(__xludf.DUMMYFUNCTION("GOOGLETRANSLATE(A5011,""en"",""pt-br"")"),"repetitivo")</f>
        <v>repetitivo</v>
      </c>
      <c r="D5011" s="1" t="str">
        <f>IFERROR(__xludf.DUMMYFUNCTION("GOOGLETRANSLATE(B5011,""en"",""pt-br"")"),"negativo")</f>
        <v>negativo</v>
      </c>
    </row>
    <row r="5012" ht="15.75" customHeight="1">
      <c r="A5012" s="2" t="s">
        <v>5009</v>
      </c>
      <c r="B5012" s="2" t="s">
        <v>14</v>
      </c>
      <c r="C5012" s="1" t="str">
        <f>IFERROR(__xludf.DUMMYFUNCTION("GOOGLETRANSLATE(A5012,""en"",""pt-br"")"),"substituível")</f>
        <v>substituível</v>
      </c>
      <c r="D5012" s="1" t="str">
        <f>IFERROR(__xludf.DUMMYFUNCTION("GOOGLETRANSLATE(B5012,""en"",""pt-br"")"),"positivo")</f>
        <v>positivo</v>
      </c>
    </row>
    <row r="5013" ht="15.75" customHeight="1">
      <c r="A5013" s="2" t="s">
        <v>5010</v>
      </c>
      <c r="B5013" s="2" t="s">
        <v>3</v>
      </c>
      <c r="C5013" s="1" t="str">
        <f>IFERROR(__xludf.DUMMYFUNCTION("GOOGLETRANSLATE(A5013,""en"",""pt-br"")"),"repreensível")</f>
        <v>repreensível</v>
      </c>
      <c r="D5013" s="1" t="str">
        <f>IFERROR(__xludf.DUMMYFUNCTION("GOOGLETRANSLATE(B5013,""en"",""pt-br"")"),"negativo")</f>
        <v>negativo</v>
      </c>
    </row>
    <row r="5014" ht="15.75" customHeight="1">
      <c r="A5014" s="2" t="s">
        <v>5011</v>
      </c>
      <c r="B5014" s="2" t="s">
        <v>3</v>
      </c>
      <c r="C5014" s="1" t="str">
        <f>IFERROR(__xludf.DUMMYFUNCTION("GOOGLETRANSLATE(A5014,""en"",""pt-br"")"),"repreensivelmente")</f>
        <v>repreensivelmente</v>
      </c>
      <c r="D5014" s="1" t="str">
        <f>IFERROR(__xludf.DUMMYFUNCTION("GOOGLETRANSLATE(B5014,""en"",""pt-br"")"),"negativo")</f>
        <v>negativo</v>
      </c>
    </row>
    <row r="5015" ht="15.75" customHeight="1">
      <c r="A5015" s="2" t="s">
        <v>5012</v>
      </c>
      <c r="B5015" s="2" t="s">
        <v>3</v>
      </c>
      <c r="C5015" s="1" t="str">
        <f>IFERROR(__xludf.DUMMYFUNCTION("GOOGLETRANSLATE(A5015,""en"",""pt-br"")"),"repreensão")</f>
        <v>repreensão</v>
      </c>
      <c r="D5015" s="1" t="str">
        <f>IFERROR(__xludf.DUMMYFUNCTION("GOOGLETRANSLATE(B5015,""en"",""pt-br"")"),"negativo")</f>
        <v>negativo</v>
      </c>
    </row>
    <row r="5016" ht="15.75" customHeight="1">
      <c r="A5016" s="2" t="s">
        <v>5013</v>
      </c>
      <c r="B5016" s="2" t="s">
        <v>3</v>
      </c>
      <c r="C5016" s="1" t="str">
        <f>IFERROR(__xludf.DUMMYFUNCTION("GOOGLETRANSLATE(A5016,""en"",""pt-br"")"),"repreensiva")</f>
        <v>repreensiva</v>
      </c>
      <c r="D5016" s="1" t="str">
        <f>IFERROR(__xludf.DUMMYFUNCTION("GOOGLETRANSLATE(B5016,""en"",""pt-br"")"),"negativo")</f>
        <v>negativo</v>
      </c>
    </row>
    <row r="5017" ht="15.75" customHeight="1">
      <c r="A5017" s="2" t="s">
        <v>5014</v>
      </c>
      <c r="B5017" s="2" t="s">
        <v>3</v>
      </c>
      <c r="C5017" s="1" t="str">
        <f>IFERROR(__xludf.DUMMYFUNCTION("GOOGLETRANSLATE(A5017,""en"",""pt-br"")"),"reprimir")</f>
        <v>reprimir</v>
      </c>
      <c r="D5017" s="1" t="str">
        <f>IFERROR(__xludf.DUMMYFUNCTION("GOOGLETRANSLATE(B5017,""en"",""pt-br"")"),"negativo")</f>
        <v>negativo</v>
      </c>
    </row>
    <row r="5018" ht="15.75" customHeight="1">
      <c r="A5018" s="2" t="s">
        <v>5015</v>
      </c>
      <c r="B5018" s="2" t="s">
        <v>3</v>
      </c>
      <c r="C5018" s="1" t="str">
        <f>IFERROR(__xludf.DUMMYFUNCTION("GOOGLETRANSLATE(A5018,""en"",""pt-br"")"),"repressão")</f>
        <v>repressão</v>
      </c>
      <c r="D5018" s="1" t="str">
        <f>IFERROR(__xludf.DUMMYFUNCTION("GOOGLETRANSLATE(B5018,""en"",""pt-br"")"),"negativo")</f>
        <v>negativo</v>
      </c>
    </row>
    <row r="5019" ht="15.75" customHeight="1">
      <c r="A5019" s="2" t="s">
        <v>5016</v>
      </c>
      <c r="B5019" s="2" t="s">
        <v>3</v>
      </c>
      <c r="C5019" s="1" t="str">
        <f>IFERROR(__xludf.DUMMYFUNCTION("GOOGLETRANSLATE(A5019,""en"",""pt-br"")"),"repressivo")</f>
        <v>repressivo</v>
      </c>
      <c r="D5019" s="1" t="str">
        <f>IFERROR(__xludf.DUMMYFUNCTION("GOOGLETRANSLATE(B5019,""en"",""pt-br"")"),"negativo")</f>
        <v>negativo</v>
      </c>
    </row>
    <row r="5020" ht="15.75" customHeight="1">
      <c r="A5020" s="2" t="s">
        <v>5017</v>
      </c>
      <c r="B5020" s="2" t="s">
        <v>3</v>
      </c>
      <c r="C5020" s="1" t="str">
        <f>IFERROR(__xludf.DUMMYFUNCTION("GOOGLETRANSLATE(A5020,""en"",""pt-br"")"),"reprimenda")</f>
        <v>reprimenda</v>
      </c>
      <c r="D5020" s="1" t="str">
        <f>IFERROR(__xludf.DUMMYFUNCTION("GOOGLETRANSLATE(B5020,""en"",""pt-br"")"),"negativo")</f>
        <v>negativo</v>
      </c>
    </row>
    <row r="5021" ht="15.75" customHeight="1">
      <c r="A5021" s="2" t="s">
        <v>5018</v>
      </c>
      <c r="B5021" s="2" t="s">
        <v>3</v>
      </c>
      <c r="C5021" s="1" t="str">
        <f>IFERROR(__xludf.DUMMYFUNCTION("GOOGLETRANSLATE(A5021,""en"",""pt-br"")"),"censura")</f>
        <v>censura</v>
      </c>
      <c r="D5021" s="1" t="str">
        <f>IFERROR(__xludf.DUMMYFUNCTION("GOOGLETRANSLATE(B5021,""en"",""pt-br"")"),"negativo")</f>
        <v>negativo</v>
      </c>
    </row>
    <row r="5022" ht="15.75" customHeight="1">
      <c r="A5022" s="2" t="s">
        <v>5019</v>
      </c>
      <c r="B5022" s="2" t="s">
        <v>3</v>
      </c>
      <c r="C5022" s="1" t="str">
        <f>IFERROR(__xludf.DUMMYFUNCTION("GOOGLETRANSLATE(A5022,""en"",""pt-br"")"),"reprovador")</f>
        <v>reprovador</v>
      </c>
      <c r="D5022" s="1" t="str">
        <f>IFERROR(__xludf.DUMMYFUNCTION("GOOGLETRANSLATE(B5022,""en"",""pt-br"")"),"negativo")</f>
        <v>negativo</v>
      </c>
    </row>
    <row r="5023" ht="15.75" customHeight="1">
      <c r="A5023" s="2" t="s">
        <v>5020</v>
      </c>
      <c r="B5023" s="2" t="s">
        <v>3</v>
      </c>
      <c r="C5023" s="1" t="str">
        <f>IFERROR(__xludf.DUMMYFUNCTION("GOOGLETRANSLATE(A5023,""en"",""pt-br"")"),"reprovação")</f>
        <v>reprovação</v>
      </c>
      <c r="D5023" s="1" t="str">
        <f>IFERROR(__xludf.DUMMYFUNCTION("GOOGLETRANSLATE(B5023,""en"",""pt-br"")"),"negativo")</f>
        <v>negativo</v>
      </c>
    </row>
    <row r="5024" ht="15.75" customHeight="1">
      <c r="A5024" s="2" t="s">
        <v>5021</v>
      </c>
      <c r="B5024" s="2" t="s">
        <v>3</v>
      </c>
      <c r="C5024" s="1" t="str">
        <f>IFERROR(__xludf.DUMMYFUNCTION("GOOGLETRANSLATE(A5024,""en"",""pt-br"")"),"reprovador")</f>
        <v>reprovador</v>
      </c>
      <c r="D5024" s="1" t="str">
        <f>IFERROR(__xludf.DUMMYFUNCTION("GOOGLETRANSLATE(B5024,""en"",""pt-br"")"),"negativo")</f>
        <v>negativo</v>
      </c>
    </row>
    <row r="5025" ht="15.75" customHeight="1">
      <c r="A5025" s="2" t="s">
        <v>5022</v>
      </c>
      <c r="B5025" s="2" t="s">
        <v>3</v>
      </c>
      <c r="C5025" s="1" t="str">
        <f>IFERROR(__xludf.DUMMYFUNCTION("GOOGLETRANSLATE(A5025,""en"",""pt-br"")"),"repudiar")</f>
        <v>repudiar</v>
      </c>
      <c r="D5025" s="1" t="str">
        <f>IFERROR(__xludf.DUMMYFUNCTION("GOOGLETRANSLATE(B5025,""en"",""pt-br"")"),"negativo")</f>
        <v>negativo</v>
      </c>
    </row>
    <row r="5026" ht="15.75" customHeight="1">
      <c r="A5026" s="2" t="s">
        <v>5023</v>
      </c>
      <c r="B5026" s="2" t="s">
        <v>3</v>
      </c>
      <c r="C5026" s="1" t="str">
        <f>IFERROR(__xludf.DUMMYFUNCTION("GOOGLETRANSLATE(A5026,""en"",""pt-br"")"),"repúdio")</f>
        <v>repúdio</v>
      </c>
      <c r="D5026" s="1" t="str">
        <f>IFERROR(__xludf.DUMMYFUNCTION("GOOGLETRANSLATE(B5026,""en"",""pt-br"")"),"negativo")</f>
        <v>negativo</v>
      </c>
    </row>
    <row r="5027" ht="15.75" customHeight="1">
      <c r="A5027" s="2" t="s">
        <v>5024</v>
      </c>
      <c r="B5027" s="2" t="s">
        <v>3</v>
      </c>
      <c r="C5027" s="1" t="str">
        <f>IFERROR(__xludf.DUMMYFUNCTION("GOOGLETRANSLATE(A5027,""en"",""pt-br"")"),"repugn")</f>
        <v>repugn</v>
      </c>
      <c r="D5027" s="1" t="str">
        <f>IFERROR(__xludf.DUMMYFUNCTION("GOOGLETRANSLATE(B5027,""en"",""pt-br"")"),"negativo")</f>
        <v>negativo</v>
      </c>
    </row>
    <row r="5028" ht="15.75" customHeight="1">
      <c r="A5028" s="2" t="s">
        <v>5025</v>
      </c>
      <c r="B5028" s="2" t="s">
        <v>3</v>
      </c>
      <c r="C5028" s="1" t="str">
        <f>IFERROR(__xludf.DUMMYFUNCTION("GOOGLETRANSLATE(A5028,""en"",""pt-br"")"),"repugnância")</f>
        <v>repugnância</v>
      </c>
      <c r="D5028" s="1" t="str">
        <f>IFERROR(__xludf.DUMMYFUNCTION("GOOGLETRANSLATE(B5028,""en"",""pt-br"")"),"negativo")</f>
        <v>negativo</v>
      </c>
    </row>
    <row r="5029" ht="15.75" customHeight="1">
      <c r="A5029" s="2" t="s">
        <v>5026</v>
      </c>
      <c r="B5029" s="2" t="s">
        <v>3</v>
      </c>
      <c r="C5029" s="1" t="str">
        <f>IFERROR(__xludf.DUMMYFUNCTION("GOOGLETRANSLATE(A5029,""en"",""pt-br"")"),"repugnante")</f>
        <v>repugnante</v>
      </c>
      <c r="D5029" s="1" t="str">
        <f>IFERROR(__xludf.DUMMYFUNCTION("GOOGLETRANSLATE(B5029,""en"",""pt-br"")"),"negativo")</f>
        <v>negativo</v>
      </c>
    </row>
    <row r="5030" ht="15.75" customHeight="1">
      <c r="A5030" s="2" t="s">
        <v>5027</v>
      </c>
      <c r="B5030" s="2" t="s">
        <v>3</v>
      </c>
      <c r="C5030" s="1" t="str">
        <f>IFERROR(__xludf.DUMMYFUNCTION("GOOGLETRANSLATE(A5030,""en"",""pt-br"")"),"repugnantemente")</f>
        <v>repugnantemente</v>
      </c>
      <c r="D5030" s="1" t="str">
        <f>IFERROR(__xludf.DUMMYFUNCTION("GOOGLETRANSLATE(B5030,""en"",""pt-br"")"),"negativo")</f>
        <v>negativo</v>
      </c>
    </row>
    <row r="5031" ht="15.75" customHeight="1">
      <c r="A5031" s="2" t="s">
        <v>5028</v>
      </c>
      <c r="B5031" s="2" t="s">
        <v>3</v>
      </c>
      <c r="C5031" s="1" t="str">
        <f>IFERROR(__xludf.DUMMYFUNCTION("GOOGLETRANSLATE(A5031,""en"",""pt-br"")"),"repulsa")</f>
        <v>repulsa</v>
      </c>
      <c r="D5031" s="1" t="str">
        <f>IFERROR(__xludf.DUMMYFUNCTION("GOOGLETRANSLATE(B5031,""en"",""pt-br"")"),"negativo")</f>
        <v>negativo</v>
      </c>
    </row>
    <row r="5032" ht="15.75" customHeight="1">
      <c r="A5032" s="2" t="s">
        <v>5029</v>
      </c>
      <c r="B5032" s="2" t="s">
        <v>3</v>
      </c>
      <c r="C5032" s="1" t="str">
        <f>IFERROR(__xludf.DUMMYFUNCTION("GOOGLETRANSLATE(A5032,""en"",""pt-br"")"),"repelido")</f>
        <v>repelido</v>
      </c>
      <c r="D5032" s="1" t="str">
        <f>IFERROR(__xludf.DUMMYFUNCTION("GOOGLETRANSLATE(B5032,""en"",""pt-br"")"),"negativo")</f>
        <v>negativo</v>
      </c>
    </row>
    <row r="5033" ht="15.75" customHeight="1">
      <c r="A5033" s="2" t="s">
        <v>5030</v>
      </c>
      <c r="B5033" s="2" t="s">
        <v>3</v>
      </c>
      <c r="C5033" s="1" t="str">
        <f>IFERROR(__xludf.DUMMYFUNCTION("GOOGLETRANSLATE(A5033,""en"",""pt-br"")"),"repulsing")</f>
        <v>repulsing</v>
      </c>
      <c r="D5033" s="1" t="str">
        <f>IFERROR(__xludf.DUMMYFUNCTION("GOOGLETRANSLATE(B5033,""en"",""pt-br"")"),"negativo")</f>
        <v>negativo</v>
      </c>
    </row>
    <row r="5034" ht="15.75" customHeight="1">
      <c r="A5034" s="2" t="s">
        <v>5031</v>
      </c>
      <c r="B5034" s="2" t="s">
        <v>3</v>
      </c>
      <c r="C5034" s="1" t="str">
        <f>IFERROR(__xludf.DUMMYFUNCTION("GOOGLETRANSLATE(A5034,""en"",""pt-br"")"),"repulsivo")</f>
        <v>repulsivo</v>
      </c>
      <c r="D5034" s="1" t="str">
        <f>IFERROR(__xludf.DUMMYFUNCTION("GOOGLETRANSLATE(B5034,""en"",""pt-br"")"),"negativo")</f>
        <v>negativo</v>
      </c>
    </row>
    <row r="5035" ht="15.75" customHeight="1">
      <c r="A5035" s="2" t="s">
        <v>5032</v>
      </c>
      <c r="B5035" s="2" t="s">
        <v>3</v>
      </c>
      <c r="C5035" s="1" t="str">
        <f>IFERROR(__xludf.DUMMYFUNCTION("GOOGLETRANSLATE(A5035,""en"",""pt-br"")"),"repulsively")</f>
        <v>repulsively</v>
      </c>
      <c r="D5035" s="1" t="str">
        <f>IFERROR(__xludf.DUMMYFUNCTION("GOOGLETRANSLATE(B5035,""en"",""pt-br"")"),"negativo")</f>
        <v>negativo</v>
      </c>
    </row>
    <row r="5036" ht="15.75" customHeight="1">
      <c r="A5036" s="2" t="s">
        <v>5033</v>
      </c>
      <c r="B5036" s="2" t="s">
        <v>3</v>
      </c>
      <c r="C5036" s="1" t="str">
        <f>IFERROR(__xludf.DUMMYFUNCTION("GOOGLETRANSLATE(A5036,""en"",""pt-br"")"),"repulsiveness")</f>
        <v>repulsiveness</v>
      </c>
      <c r="D5036" s="1" t="str">
        <f>IFERROR(__xludf.DUMMYFUNCTION("GOOGLETRANSLATE(B5036,""en"",""pt-br"")"),"negativo")</f>
        <v>negativo</v>
      </c>
    </row>
    <row r="5037" ht="15.75" customHeight="1">
      <c r="A5037" s="2" t="s">
        <v>5034</v>
      </c>
      <c r="B5037" s="2" t="s">
        <v>14</v>
      </c>
      <c r="C5037" s="1" t="str">
        <f>IFERROR(__xludf.DUMMYFUNCTION("GOOGLETRANSLATE(A5037,""en"",""pt-br"")"),"respeitável")</f>
        <v>respeitável</v>
      </c>
      <c r="D5037" s="1" t="str">
        <f>IFERROR(__xludf.DUMMYFUNCTION("GOOGLETRANSLATE(B5037,""en"",""pt-br"")"),"positivo")</f>
        <v>positivo</v>
      </c>
    </row>
    <row r="5038" ht="15.75" customHeight="1">
      <c r="A5038" s="2" t="s">
        <v>5035</v>
      </c>
      <c r="B5038" s="2" t="s">
        <v>14</v>
      </c>
      <c r="C5038" s="1" t="str">
        <f>IFERROR(__xludf.DUMMYFUNCTION("GOOGLETRANSLATE(A5038,""en"",""pt-br"")"),"reputação")</f>
        <v>reputação</v>
      </c>
      <c r="D5038" s="1" t="str">
        <f>IFERROR(__xludf.DUMMYFUNCTION("GOOGLETRANSLATE(B5038,""en"",""pt-br"")"),"positivo")</f>
        <v>positivo</v>
      </c>
    </row>
    <row r="5039" ht="15.75" customHeight="1">
      <c r="A5039" s="2" t="s">
        <v>5036</v>
      </c>
      <c r="B5039" s="2" t="s">
        <v>3</v>
      </c>
      <c r="C5039" s="1" t="str">
        <f>IFERROR(__xludf.DUMMYFUNCTION("GOOGLETRANSLATE(A5039,""en"",""pt-br"")"),"reenviado")</f>
        <v>reenviado</v>
      </c>
      <c r="D5039" s="1" t="str">
        <f>IFERROR(__xludf.DUMMYFUNCTION("GOOGLETRANSLATE(B5039,""en"",""pt-br"")"),"negativo")</f>
        <v>negativo</v>
      </c>
    </row>
    <row r="5040" ht="15.75" customHeight="1">
      <c r="A5040" s="2" t="s">
        <v>5037</v>
      </c>
      <c r="B5040" s="2" t="s">
        <v>3</v>
      </c>
      <c r="C5040" s="1" t="str">
        <f>IFERROR(__xludf.DUMMYFUNCTION("GOOGLETRANSLATE(A5040,""en"",""pt-br"")"),"ressentido")</f>
        <v>ressentido</v>
      </c>
      <c r="D5040" s="1" t="str">
        <f>IFERROR(__xludf.DUMMYFUNCTION("GOOGLETRANSLATE(B5040,""en"",""pt-br"")"),"negativo")</f>
        <v>negativo</v>
      </c>
    </row>
    <row r="5041" ht="15.75" customHeight="1">
      <c r="A5041" s="2" t="s">
        <v>5038</v>
      </c>
      <c r="B5041" s="2" t="s">
        <v>3</v>
      </c>
      <c r="C5041" s="1" t="str">
        <f>IFERROR(__xludf.DUMMYFUNCTION("GOOGLETRANSLATE(A5041,""en"",""pt-br"")"),"ressentimento")</f>
        <v>ressentimento</v>
      </c>
      <c r="D5041" s="1" t="str">
        <f>IFERROR(__xludf.DUMMYFUNCTION("GOOGLETRANSLATE(B5041,""en"",""pt-br"")"),"negativo")</f>
        <v>negativo</v>
      </c>
    </row>
    <row r="5042" ht="15.75" customHeight="1">
      <c r="A5042" s="2" t="s">
        <v>5039</v>
      </c>
      <c r="B5042" s="2" t="s">
        <v>3</v>
      </c>
      <c r="C5042" s="1" t="str">
        <f>IFERROR(__xludf.DUMMYFUNCTION("GOOGLETRANSLATE(A5042,""en"",""pt-br"")"),"renúncia")</f>
        <v>renúncia</v>
      </c>
      <c r="D5042" s="1" t="str">
        <f>IFERROR(__xludf.DUMMYFUNCTION("GOOGLETRANSLATE(B5042,""en"",""pt-br"")"),"negativo")</f>
        <v>negativo</v>
      </c>
    </row>
    <row r="5043" ht="15.75" customHeight="1">
      <c r="A5043" s="2" t="s">
        <v>5040</v>
      </c>
      <c r="B5043" s="2" t="s">
        <v>3</v>
      </c>
      <c r="C5043" s="1" t="str">
        <f>IFERROR(__xludf.DUMMYFUNCTION("GOOGLETRANSLATE(A5043,""en"",""pt-br"")"),"resignado")</f>
        <v>resignado</v>
      </c>
      <c r="D5043" s="1" t="str">
        <f>IFERROR(__xludf.DUMMYFUNCTION("GOOGLETRANSLATE(B5043,""en"",""pt-br"")"),"negativo")</f>
        <v>negativo</v>
      </c>
    </row>
    <row r="5044" ht="15.75" customHeight="1">
      <c r="A5044" s="2" t="s">
        <v>5041</v>
      </c>
      <c r="B5044" s="2" t="s">
        <v>14</v>
      </c>
      <c r="C5044" s="1" t="str">
        <f>IFERROR(__xludf.DUMMYFUNCTION("GOOGLETRANSLATE(A5044,""en"",""pt-br"")"),"resiliente")</f>
        <v>resiliente</v>
      </c>
      <c r="D5044" s="1" t="str">
        <f>IFERROR(__xludf.DUMMYFUNCTION("GOOGLETRANSLATE(B5044,""en"",""pt-br"")"),"positivo")</f>
        <v>positivo</v>
      </c>
    </row>
    <row r="5045" ht="15.75" customHeight="1">
      <c r="A5045" s="2" t="s">
        <v>5042</v>
      </c>
      <c r="B5045" s="2" t="s">
        <v>3</v>
      </c>
      <c r="C5045" s="1" t="str">
        <f>IFERROR(__xludf.DUMMYFUNCTION("GOOGLETRANSLATE(A5045,""en"",""pt-br"")"),"resistência")</f>
        <v>resistência</v>
      </c>
      <c r="D5045" s="1" t="str">
        <f>IFERROR(__xludf.DUMMYFUNCTION("GOOGLETRANSLATE(B5045,""en"",""pt-br"")"),"negativo")</f>
        <v>negativo</v>
      </c>
    </row>
    <row r="5046" ht="15.75" customHeight="1">
      <c r="A5046" s="2" t="s">
        <v>5043</v>
      </c>
      <c r="B5046" s="2" t="s">
        <v>14</v>
      </c>
      <c r="C5046" s="1" t="str">
        <f>IFERROR(__xludf.DUMMYFUNCTION("GOOGLETRANSLATE(A5046,""en"",""pt-br"")"),"resoluto")</f>
        <v>resoluto</v>
      </c>
      <c r="D5046" s="1" t="str">
        <f>IFERROR(__xludf.DUMMYFUNCTION("GOOGLETRANSLATE(B5046,""en"",""pt-br"")"),"positivo")</f>
        <v>positivo</v>
      </c>
    </row>
    <row r="5047" ht="15.75" customHeight="1">
      <c r="A5047" s="2" t="s">
        <v>5044</v>
      </c>
      <c r="B5047" s="2" t="s">
        <v>14</v>
      </c>
      <c r="C5047" s="1" t="str">
        <f>IFERROR(__xludf.DUMMYFUNCTION("GOOGLETRANSLATE(A5047,""en"",""pt-br"")"),"ressoar")</f>
        <v>ressoar</v>
      </c>
      <c r="D5047" s="1" t="str">
        <f>IFERROR(__xludf.DUMMYFUNCTION("GOOGLETRANSLATE(B5047,""en"",""pt-br"")"),"positivo")</f>
        <v>positivo</v>
      </c>
    </row>
    <row r="5048" ht="15.75" customHeight="1">
      <c r="A5048" s="2" t="s">
        <v>5045</v>
      </c>
      <c r="B5048" s="2" t="s">
        <v>14</v>
      </c>
      <c r="C5048" s="1" t="str">
        <f>IFERROR(__xludf.DUMMYFUNCTION("GOOGLETRANSLATE(A5048,""en"",""pt-br"")"),"ressoando")</f>
        <v>ressoando</v>
      </c>
      <c r="D5048" s="1" t="str">
        <f>IFERROR(__xludf.DUMMYFUNCTION("GOOGLETRANSLATE(B5048,""en"",""pt-br"")"),"positivo")</f>
        <v>positivo</v>
      </c>
    </row>
    <row r="5049" ht="15.75" customHeight="1">
      <c r="A5049" s="2" t="s">
        <v>5046</v>
      </c>
      <c r="B5049" s="2" t="s">
        <v>14</v>
      </c>
      <c r="C5049" s="1" t="str">
        <f>IFERROR(__xludf.DUMMYFUNCTION("GOOGLETRANSLATE(A5049,""en"",""pt-br"")"),"engenhoso")</f>
        <v>engenhoso</v>
      </c>
      <c r="D5049" s="1" t="str">
        <f>IFERROR(__xludf.DUMMYFUNCTION("GOOGLETRANSLATE(B5049,""en"",""pt-br"")"),"positivo")</f>
        <v>positivo</v>
      </c>
    </row>
    <row r="5050" ht="15.75" customHeight="1">
      <c r="A5050" s="2" t="s">
        <v>5047</v>
      </c>
      <c r="B5050" s="2" t="s">
        <v>14</v>
      </c>
      <c r="C5050" s="1" t="str">
        <f>IFERROR(__xludf.DUMMYFUNCTION("GOOGLETRANSLATE(A5050,""en"",""pt-br"")"),"desenvoltura")</f>
        <v>desenvoltura</v>
      </c>
      <c r="D5050" s="1" t="str">
        <f>IFERROR(__xludf.DUMMYFUNCTION("GOOGLETRANSLATE(B5050,""en"",""pt-br"")"),"positivo")</f>
        <v>positivo</v>
      </c>
    </row>
    <row r="5051" ht="15.75" customHeight="1">
      <c r="A5051" s="2" t="s">
        <v>5048</v>
      </c>
      <c r="B5051" s="2" t="s">
        <v>14</v>
      </c>
      <c r="C5051" s="1" t="str">
        <f>IFERROR(__xludf.DUMMYFUNCTION("GOOGLETRANSLATE(A5051,""en"",""pt-br"")"),"respeito")</f>
        <v>respeito</v>
      </c>
      <c r="D5051" s="1" t="str">
        <f>IFERROR(__xludf.DUMMYFUNCTION("GOOGLETRANSLATE(B5051,""en"",""pt-br"")"),"positivo")</f>
        <v>positivo</v>
      </c>
    </row>
    <row r="5052" ht="15.75" customHeight="1">
      <c r="A5052" s="2" t="s">
        <v>5049</v>
      </c>
      <c r="B5052" s="2" t="s">
        <v>14</v>
      </c>
      <c r="C5052" s="1" t="str">
        <f>IFERROR(__xludf.DUMMYFUNCTION("GOOGLETRANSLATE(A5052,""en"",""pt-br"")"),"respeitável")</f>
        <v>respeitável</v>
      </c>
      <c r="D5052" s="1" t="str">
        <f>IFERROR(__xludf.DUMMYFUNCTION("GOOGLETRANSLATE(B5052,""en"",""pt-br"")"),"positivo")</f>
        <v>positivo</v>
      </c>
    </row>
    <row r="5053" ht="15.75" customHeight="1">
      <c r="A5053" s="2" t="s">
        <v>5050</v>
      </c>
      <c r="B5053" s="2" t="s">
        <v>14</v>
      </c>
      <c r="C5053" s="1" t="str">
        <f>IFERROR(__xludf.DUMMYFUNCTION("GOOGLETRANSLATE(A5053,""en"",""pt-br"")"),"respeitoso")</f>
        <v>respeitoso</v>
      </c>
      <c r="D5053" s="1" t="str">
        <f>IFERROR(__xludf.DUMMYFUNCTION("GOOGLETRANSLATE(B5053,""en"",""pt-br"")"),"positivo")</f>
        <v>positivo</v>
      </c>
    </row>
    <row r="5054" ht="15.75" customHeight="1">
      <c r="A5054" s="2" t="s">
        <v>5051</v>
      </c>
      <c r="B5054" s="2" t="s">
        <v>14</v>
      </c>
      <c r="C5054" s="1" t="str">
        <f>IFERROR(__xludf.DUMMYFUNCTION("GOOGLETRANSLATE(A5054,""en"",""pt-br"")"),"respeitosamente")</f>
        <v>respeitosamente</v>
      </c>
      <c r="D5054" s="1" t="str">
        <f>IFERROR(__xludf.DUMMYFUNCTION("GOOGLETRANSLATE(B5054,""en"",""pt-br"")"),"positivo")</f>
        <v>positivo</v>
      </c>
    </row>
    <row r="5055" ht="15.75" customHeight="1">
      <c r="A5055" s="2" t="s">
        <v>5052</v>
      </c>
      <c r="B5055" s="2" t="s">
        <v>14</v>
      </c>
      <c r="C5055" s="1" t="str">
        <f>IFERROR(__xludf.DUMMYFUNCTION("GOOGLETRANSLATE(A5055,""en"",""pt-br"")"),"pausa")</f>
        <v>pausa</v>
      </c>
      <c r="D5055" s="1" t="str">
        <f>IFERROR(__xludf.DUMMYFUNCTION("GOOGLETRANSLATE(B5055,""en"",""pt-br"")"),"positivo")</f>
        <v>positivo</v>
      </c>
    </row>
    <row r="5056" ht="15.75" customHeight="1">
      <c r="A5056" s="2" t="s">
        <v>5053</v>
      </c>
      <c r="B5056" s="2" t="s">
        <v>14</v>
      </c>
      <c r="C5056" s="1" t="str">
        <f>IFERROR(__xludf.DUMMYFUNCTION("GOOGLETRANSLATE(A5056,""en"",""pt-br"")"),"resplandecente")</f>
        <v>resplandecente</v>
      </c>
      <c r="D5056" s="1" t="str">
        <f>IFERROR(__xludf.DUMMYFUNCTION("GOOGLETRANSLATE(B5056,""en"",""pt-br"")"),"positivo")</f>
        <v>positivo</v>
      </c>
    </row>
    <row r="5057" ht="15.75" customHeight="1">
      <c r="A5057" s="2" t="s">
        <v>5054</v>
      </c>
      <c r="B5057" s="2" t="s">
        <v>14</v>
      </c>
      <c r="C5057" s="1" t="str">
        <f>IFERROR(__xludf.DUMMYFUNCTION("GOOGLETRANSLATE(A5057,""en"",""pt-br"")"),"responsavelmente")</f>
        <v>responsavelmente</v>
      </c>
      <c r="D5057" s="1" t="str">
        <f>IFERROR(__xludf.DUMMYFUNCTION("GOOGLETRANSLATE(B5057,""en"",""pt-br"")"),"positivo")</f>
        <v>positivo</v>
      </c>
    </row>
    <row r="5058" ht="15.75" customHeight="1">
      <c r="A5058" s="2" t="s">
        <v>5055</v>
      </c>
      <c r="B5058" s="2" t="s">
        <v>14</v>
      </c>
      <c r="C5058" s="1" t="str">
        <f>IFERROR(__xludf.DUMMYFUNCTION("GOOGLETRANSLATE(A5058,""en"",""pt-br"")"),"responsivo")</f>
        <v>responsivo</v>
      </c>
      <c r="D5058" s="1" t="str">
        <f>IFERROR(__xludf.DUMMYFUNCTION("GOOGLETRANSLATE(B5058,""en"",""pt-br"")"),"positivo")</f>
        <v>positivo</v>
      </c>
    </row>
    <row r="5059" ht="15.75" customHeight="1">
      <c r="A5059" s="2" t="s">
        <v>5056</v>
      </c>
      <c r="B5059" s="2" t="s">
        <v>14</v>
      </c>
      <c r="C5059" s="1" t="str">
        <f>IFERROR(__xludf.DUMMYFUNCTION("GOOGLETRANSLATE(A5059,""en"",""pt-br"")"),"repousante")</f>
        <v>repousante</v>
      </c>
      <c r="D5059" s="1" t="str">
        <f>IFERROR(__xludf.DUMMYFUNCTION("GOOGLETRANSLATE(B5059,""en"",""pt-br"")"),"positivo")</f>
        <v>positivo</v>
      </c>
    </row>
    <row r="5060" ht="15.75" customHeight="1">
      <c r="A5060" s="2" t="s">
        <v>5057</v>
      </c>
      <c r="B5060" s="2" t="s">
        <v>3</v>
      </c>
      <c r="C5060" s="1" t="str">
        <f>IFERROR(__xludf.DUMMYFUNCTION("GOOGLETRANSLATE(A5060,""en"",""pt-br"")"),"sem descanso")</f>
        <v>sem descanso</v>
      </c>
      <c r="D5060" s="1" t="str">
        <f>IFERROR(__xludf.DUMMYFUNCTION("GOOGLETRANSLATE(B5060,""en"",""pt-br"")"),"negativo")</f>
        <v>negativo</v>
      </c>
    </row>
    <row r="5061" ht="15.75" customHeight="1">
      <c r="A5061" s="2" t="s">
        <v>5058</v>
      </c>
      <c r="B5061" s="2" t="s">
        <v>3</v>
      </c>
      <c r="C5061" s="1" t="str">
        <f>IFERROR(__xludf.DUMMYFUNCTION("GOOGLETRANSLATE(A5061,""en"",""pt-br"")"),"inquietação")</f>
        <v>inquietação</v>
      </c>
      <c r="D5061" s="1" t="str">
        <f>IFERROR(__xludf.DUMMYFUNCTION("GOOGLETRANSLATE(B5061,""en"",""pt-br"")"),"negativo")</f>
        <v>negativo</v>
      </c>
    </row>
    <row r="5062" ht="15.75" customHeight="1">
      <c r="A5062" s="2" t="s">
        <v>5059</v>
      </c>
      <c r="B5062" s="2" t="s">
        <v>14</v>
      </c>
      <c r="C5062" s="1" t="str">
        <f>IFERROR(__xludf.DUMMYFUNCTION("GOOGLETRANSLATE(A5062,""en"",""pt-br"")"),"restaurado")</f>
        <v>restaurado</v>
      </c>
      <c r="D5062" s="1" t="str">
        <f>IFERROR(__xludf.DUMMYFUNCTION("GOOGLETRANSLATE(B5062,""en"",""pt-br"")"),"positivo")</f>
        <v>positivo</v>
      </c>
    </row>
    <row r="5063" ht="15.75" customHeight="1">
      <c r="A5063" s="2" t="s">
        <v>5060</v>
      </c>
      <c r="B5063" s="2" t="s">
        <v>3</v>
      </c>
      <c r="C5063" s="1" t="str">
        <f>IFERROR(__xludf.DUMMYFUNCTION("GOOGLETRANSLATE(A5063,""en"",""pt-br"")"),"restringir")</f>
        <v>restringir</v>
      </c>
      <c r="D5063" s="1" t="str">
        <f>IFERROR(__xludf.DUMMYFUNCTION("GOOGLETRANSLATE(B5063,""en"",""pt-br"")"),"negativo")</f>
        <v>negativo</v>
      </c>
    </row>
    <row r="5064" ht="15.75" customHeight="1">
      <c r="A5064" s="2" t="s">
        <v>5061</v>
      </c>
      <c r="B5064" s="2" t="s">
        <v>3</v>
      </c>
      <c r="C5064" s="1" t="str">
        <f>IFERROR(__xludf.DUMMYFUNCTION("GOOGLETRANSLATE(A5064,""en"",""pt-br"")"),"restrito")</f>
        <v>restrito</v>
      </c>
      <c r="D5064" s="1" t="str">
        <f>IFERROR(__xludf.DUMMYFUNCTION("GOOGLETRANSLATE(B5064,""en"",""pt-br"")"),"negativo")</f>
        <v>negativo</v>
      </c>
    </row>
    <row r="5065" ht="15.75" customHeight="1">
      <c r="A5065" s="2" t="s">
        <v>5062</v>
      </c>
      <c r="B5065" s="2" t="s">
        <v>3</v>
      </c>
      <c r="C5065" s="1" t="str">
        <f>IFERROR(__xludf.DUMMYFUNCTION("GOOGLETRANSLATE(A5065,""en"",""pt-br"")"),"restrição")</f>
        <v>restrição</v>
      </c>
      <c r="D5065" s="1" t="str">
        <f>IFERROR(__xludf.DUMMYFUNCTION("GOOGLETRANSLATE(B5065,""en"",""pt-br"")"),"negativo")</f>
        <v>negativo</v>
      </c>
    </row>
    <row r="5066" ht="15.75" customHeight="1">
      <c r="A5066" s="2" t="s">
        <v>5063</v>
      </c>
      <c r="B5066" s="2" t="s">
        <v>3</v>
      </c>
      <c r="C5066" s="1" t="str">
        <f>IFERROR(__xludf.DUMMYFUNCTION("GOOGLETRANSLATE(A5066,""en"",""pt-br"")"),"restritivo")</f>
        <v>restritivo</v>
      </c>
      <c r="D5066" s="1" t="str">
        <f>IFERROR(__xludf.DUMMYFUNCTION("GOOGLETRANSLATE(B5066,""en"",""pt-br"")"),"negativo")</f>
        <v>negativo</v>
      </c>
    </row>
    <row r="5067" ht="15.75" customHeight="1">
      <c r="A5067" s="2" t="s">
        <v>5064</v>
      </c>
      <c r="B5067" s="2" t="s">
        <v>14</v>
      </c>
      <c r="C5067" s="1" t="str">
        <f>IFERROR(__xludf.DUMMYFUNCTION("GOOGLETRANSLATE(A5067,""en"",""pt-br"")"),"reestruturar")</f>
        <v>reestruturar</v>
      </c>
      <c r="D5067" s="1" t="str">
        <f>IFERROR(__xludf.DUMMYFUNCTION("GOOGLETRANSLATE(B5067,""en"",""pt-br"")"),"positivo")</f>
        <v>positivo</v>
      </c>
    </row>
    <row r="5068" ht="15.75" customHeight="1">
      <c r="A5068" s="2" t="s">
        <v>5065</v>
      </c>
      <c r="B5068" s="2" t="s">
        <v>14</v>
      </c>
      <c r="C5068" s="1" t="str">
        <f>IFERROR(__xludf.DUMMYFUNCTION("GOOGLETRANSLATE(A5068,""en"",""pt-br"")"),"reestruturado")</f>
        <v>reestruturado</v>
      </c>
      <c r="D5068" s="1" t="str">
        <f>IFERROR(__xludf.DUMMYFUNCTION("GOOGLETRANSLATE(B5068,""en"",""pt-br"")"),"positivo")</f>
        <v>positivo</v>
      </c>
    </row>
    <row r="5069" ht="15.75" customHeight="1">
      <c r="A5069" s="2" t="s">
        <v>5066</v>
      </c>
      <c r="B5069" s="2" t="s">
        <v>14</v>
      </c>
      <c r="C5069" s="1" t="str">
        <f>IFERROR(__xludf.DUMMYFUNCTION("GOOGLETRANSLATE(A5069,""en"",""pt-br"")"),"reestruturação")</f>
        <v>reestruturação</v>
      </c>
      <c r="D5069" s="1" t="str">
        <f>IFERROR(__xludf.DUMMYFUNCTION("GOOGLETRANSLATE(B5069,""en"",""pt-br"")"),"positivo")</f>
        <v>positivo</v>
      </c>
    </row>
    <row r="5070" ht="15.75" customHeight="1">
      <c r="A5070" s="2" t="s">
        <v>5067</v>
      </c>
      <c r="B5070" s="2" t="s">
        <v>3</v>
      </c>
      <c r="C5070" s="1" t="str">
        <f>IFERROR(__xludf.DUMMYFUNCTION("GOOGLETRANSLATE(A5070,""en"",""pt-br"")"),"que ressurge")</f>
        <v>que ressurge</v>
      </c>
      <c r="D5070" s="1" t="str">
        <f>IFERROR(__xludf.DUMMYFUNCTION("GOOGLETRANSLATE(B5070,""en"",""pt-br"")"),"negativo")</f>
        <v>negativo</v>
      </c>
    </row>
    <row r="5071" ht="15.75" customHeight="1">
      <c r="A5071" s="2" t="s">
        <v>5068</v>
      </c>
      <c r="B5071" s="2" t="s">
        <v>3</v>
      </c>
      <c r="C5071" s="1" t="str">
        <f>IFERROR(__xludf.DUMMYFUNCTION("GOOGLETRANSLATE(A5071,""en"",""pt-br"")"),"retaliar")</f>
        <v>retaliar</v>
      </c>
      <c r="D5071" s="1" t="str">
        <f>IFERROR(__xludf.DUMMYFUNCTION("GOOGLETRANSLATE(B5071,""en"",""pt-br"")"),"negativo")</f>
        <v>negativo</v>
      </c>
    </row>
    <row r="5072" ht="15.75" customHeight="1">
      <c r="A5072" s="2" t="s">
        <v>5069</v>
      </c>
      <c r="B5072" s="2" t="s">
        <v>3</v>
      </c>
      <c r="C5072" s="1" t="str">
        <f>IFERROR(__xludf.DUMMYFUNCTION("GOOGLETRANSLATE(A5072,""en"",""pt-br"")"),"retaliativo")</f>
        <v>retaliativo</v>
      </c>
      <c r="D5072" s="1" t="str">
        <f>IFERROR(__xludf.DUMMYFUNCTION("GOOGLETRANSLATE(B5072,""en"",""pt-br"")"),"negativo")</f>
        <v>negativo</v>
      </c>
    </row>
    <row r="5073" ht="15.75" customHeight="1">
      <c r="A5073" s="2" t="s">
        <v>5070</v>
      </c>
      <c r="B5073" s="2" t="s">
        <v>3</v>
      </c>
      <c r="C5073" s="1" t="str">
        <f>IFERROR(__xludf.DUMMYFUNCTION("GOOGLETRANSLATE(A5073,""en"",""pt-br"")"),"retardar")</f>
        <v>retardar</v>
      </c>
      <c r="D5073" s="1" t="str">
        <f>IFERROR(__xludf.DUMMYFUNCTION("GOOGLETRANSLATE(B5073,""en"",""pt-br"")"),"negativo")</f>
        <v>negativo</v>
      </c>
    </row>
    <row r="5074" ht="15.75" customHeight="1">
      <c r="A5074" s="2" t="s">
        <v>5071</v>
      </c>
      <c r="B5074" s="2" t="s">
        <v>3</v>
      </c>
      <c r="C5074" s="1" t="str">
        <f>IFERROR(__xludf.DUMMYFUNCTION("GOOGLETRANSLATE(A5074,""en"",""pt-br"")"),"retardado")</f>
        <v>retardado</v>
      </c>
      <c r="D5074" s="1" t="str">
        <f>IFERROR(__xludf.DUMMYFUNCTION("GOOGLETRANSLATE(B5074,""en"",""pt-br"")"),"negativo")</f>
        <v>negativo</v>
      </c>
    </row>
    <row r="5075" ht="15.75" customHeight="1">
      <c r="A5075" s="2" t="s">
        <v>5072</v>
      </c>
      <c r="B5075" s="2" t="s">
        <v>3</v>
      </c>
      <c r="C5075" s="1" t="str">
        <f>IFERROR(__xludf.DUMMYFUNCTION("GOOGLETRANSLATE(A5075,""en"",""pt-br"")"),"retardedness")</f>
        <v>retardedness</v>
      </c>
      <c r="D5075" s="1" t="str">
        <f>IFERROR(__xludf.DUMMYFUNCTION("GOOGLETRANSLATE(B5075,""en"",""pt-br"")"),"negativo")</f>
        <v>negativo</v>
      </c>
    </row>
    <row r="5076" ht="15.75" customHeight="1">
      <c r="A5076" s="2" t="s">
        <v>5073</v>
      </c>
      <c r="B5076" s="2" t="s">
        <v>3</v>
      </c>
      <c r="C5076" s="1" t="str">
        <f>IFERROR(__xludf.DUMMYFUNCTION("GOOGLETRANSLATE(A5076,""en"",""pt-br"")"),"retardados")</f>
        <v>retardados</v>
      </c>
      <c r="D5076" s="1" t="str">
        <f>IFERROR(__xludf.DUMMYFUNCTION("GOOGLETRANSLATE(B5076,""en"",""pt-br"")"),"negativo")</f>
        <v>negativo</v>
      </c>
    </row>
    <row r="5077" ht="15.75" customHeight="1">
      <c r="A5077" s="2" t="s">
        <v>5074</v>
      </c>
      <c r="B5077" s="2" t="s">
        <v>3</v>
      </c>
      <c r="C5077" s="1" t="str">
        <f>IFERROR(__xludf.DUMMYFUNCTION("GOOGLETRANSLATE(A5077,""en"",""pt-br"")"),"reticente")</f>
        <v>reticente</v>
      </c>
      <c r="D5077" s="1" t="str">
        <f>IFERROR(__xludf.DUMMYFUNCTION("GOOGLETRANSLATE(B5077,""en"",""pt-br"")"),"negativo")</f>
        <v>negativo</v>
      </c>
    </row>
    <row r="5078" ht="15.75" customHeight="1">
      <c r="A5078" s="2" t="s">
        <v>5075</v>
      </c>
      <c r="B5078" s="2" t="s">
        <v>3</v>
      </c>
      <c r="C5078" s="1" t="str">
        <f>IFERROR(__xludf.DUMMYFUNCTION("GOOGLETRANSLATE(A5078,""en"",""pt-br"")"),"retrair")</f>
        <v>retrair</v>
      </c>
      <c r="D5078" s="1" t="str">
        <f>IFERROR(__xludf.DUMMYFUNCTION("GOOGLETRANSLATE(B5078,""en"",""pt-br"")"),"negativo")</f>
        <v>negativo</v>
      </c>
    </row>
    <row r="5079" ht="15.75" customHeight="1">
      <c r="A5079" s="2" t="s">
        <v>5076</v>
      </c>
      <c r="B5079" s="2" t="s">
        <v>14</v>
      </c>
      <c r="C5079" s="1" t="str">
        <f>IFERROR(__xludf.DUMMYFUNCTION("GOOGLETRANSLATE(A5079,""en"",""pt-br"")"),"retrátil")</f>
        <v>retrátil</v>
      </c>
      <c r="D5079" s="1" t="str">
        <f>IFERROR(__xludf.DUMMYFUNCTION("GOOGLETRANSLATE(B5079,""en"",""pt-br"")"),"positivo")</f>
        <v>positivo</v>
      </c>
    </row>
    <row r="5080" ht="15.75" customHeight="1">
      <c r="A5080" s="2" t="s">
        <v>5077</v>
      </c>
      <c r="B5080" s="2" t="s">
        <v>3</v>
      </c>
      <c r="C5080" s="1" t="str">
        <f>IFERROR(__xludf.DUMMYFUNCTION("GOOGLETRANSLATE(A5080,""en"",""pt-br"")"),"retiro")</f>
        <v>retiro</v>
      </c>
      <c r="D5080" s="1" t="str">
        <f>IFERROR(__xludf.DUMMYFUNCTION("GOOGLETRANSLATE(B5080,""en"",""pt-br"")"),"negativo")</f>
        <v>negativo</v>
      </c>
    </row>
    <row r="5081" ht="15.75" customHeight="1">
      <c r="A5081" s="2" t="s">
        <v>5078</v>
      </c>
      <c r="B5081" s="2" t="s">
        <v>3</v>
      </c>
      <c r="C5081" s="1" t="str">
        <f>IFERROR(__xludf.DUMMYFUNCTION("GOOGLETRANSLATE(A5081,""en"",""pt-br"")"),"retirou")</f>
        <v>retirou</v>
      </c>
      <c r="D5081" s="1" t="str">
        <f>IFERROR(__xludf.DUMMYFUNCTION("GOOGLETRANSLATE(B5081,""en"",""pt-br"")"),"negativo")</f>
        <v>negativo</v>
      </c>
    </row>
    <row r="5082" ht="15.75" customHeight="1">
      <c r="A5082" s="2" t="s">
        <v>5079</v>
      </c>
      <c r="B5082" s="2" t="s">
        <v>14</v>
      </c>
      <c r="C5082" s="1" t="str">
        <f>IFERROR(__xludf.DUMMYFUNCTION("GOOGLETRANSLATE(A5082,""en"",""pt-br"")"),"revel")</f>
        <v>revel</v>
      </c>
      <c r="D5082" s="1" t="str">
        <f>IFERROR(__xludf.DUMMYFUNCTION("GOOGLETRANSLATE(B5082,""en"",""pt-br"")"),"positivo")</f>
        <v>positivo</v>
      </c>
    </row>
    <row r="5083" ht="15.75" customHeight="1">
      <c r="A5083" s="2" t="s">
        <v>5080</v>
      </c>
      <c r="B5083" s="2" t="s">
        <v>14</v>
      </c>
      <c r="C5083" s="1" t="str">
        <f>IFERROR(__xludf.DUMMYFUNCTION("GOOGLETRANSLATE(A5083,""en"",""pt-br"")"),"revelação")</f>
        <v>revelação</v>
      </c>
      <c r="D5083" s="1" t="str">
        <f>IFERROR(__xludf.DUMMYFUNCTION("GOOGLETRANSLATE(B5083,""en"",""pt-br"")"),"positivo")</f>
        <v>positivo</v>
      </c>
    </row>
    <row r="5084" ht="15.75" customHeight="1">
      <c r="A5084" s="2" t="s">
        <v>5081</v>
      </c>
      <c r="B5084" s="2" t="s">
        <v>3</v>
      </c>
      <c r="C5084" s="1" t="str">
        <f>IFERROR(__xludf.DUMMYFUNCTION("GOOGLETRANSLATE(A5084,""en"",""pt-br"")"),"vingança")</f>
        <v>vingança</v>
      </c>
      <c r="D5084" s="1" t="str">
        <f>IFERROR(__xludf.DUMMYFUNCTION("GOOGLETRANSLATE(B5084,""en"",""pt-br"")"),"negativo")</f>
        <v>negativo</v>
      </c>
    </row>
    <row r="5085" ht="15.75" customHeight="1">
      <c r="A5085" s="2" t="s">
        <v>5082</v>
      </c>
      <c r="B5085" s="2" t="s">
        <v>3</v>
      </c>
      <c r="C5085" s="1" t="str">
        <f>IFERROR(__xludf.DUMMYFUNCTION("GOOGLETRANSLATE(A5085,""en"",""pt-br"")"),"vingativo")</f>
        <v>vingativo</v>
      </c>
      <c r="D5085" s="1" t="str">
        <f>IFERROR(__xludf.DUMMYFUNCTION("GOOGLETRANSLATE(B5085,""en"",""pt-br"")"),"negativo")</f>
        <v>negativo</v>
      </c>
    </row>
    <row r="5086" ht="15.75" customHeight="1">
      <c r="A5086" s="2" t="s">
        <v>5083</v>
      </c>
      <c r="B5086" s="2" t="s">
        <v>3</v>
      </c>
      <c r="C5086" s="1" t="str">
        <f>IFERROR(__xludf.DUMMYFUNCTION("GOOGLETRANSLATE(A5086,""en"",""pt-br"")"),"vingativamente")</f>
        <v>vingativamente</v>
      </c>
      <c r="D5086" s="1" t="str">
        <f>IFERROR(__xludf.DUMMYFUNCTION("GOOGLETRANSLATE(B5086,""en"",""pt-br"")"),"negativo")</f>
        <v>negativo</v>
      </c>
    </row>
    <row r="5087" ht="15.75" customHeight="1">
      <c r="A5087" s="2" t="s">
        <v>5084</v>
      </c>
      <c r="B5087" s="2" t="s">
        <v>14</v>
      </c>
      <c r="C5087" s="1" t="str">
        <f>IFERROR(__xludf.DUMMYFUNCTION("GOOGLETRANSLATE(A5087,""en"",""pt-br"")"),"reverenciar")</f>
        <v>reverenciar</v>
      </c>
      <c r="D5087" s="1" t="str">
        <f>IFERROR(__xludf.DUMMYFUNCTION("GOOGLETRANSLATE(B5087,""en"",""pt-br"")"),"positivo")</f>
        <v>positivo</v>
      </c>
    </row>
    <row r="5088" ht="15.75" customHeight="1">
      <c r="A5088" s="2" t="s">
        <v>5085</v>
      </c>
      <c r="B5088" s="2" t="s">
        <v>14</v>
      </c>
      <c r="C5088" s="1" t="str">
        <f>IFERROR(__xludf.DUMMYFUNCTION("GOOGLETRANSLATE(A5088,""en"",""pt-br"")"),"reverência")</f>
        <v>reverência</v>
      </c>
      <c r="D5088" s="1" t="str">
        <f>IFERROR(__xludf.DUMMYFUNCTION("GOOGLETRANSLATE(B5088,""en"",""pt-br"")"),"positivo")</f>
        <v>positivo</v>
      </c>
    </row>
    <row r="5089" ht="15.75" customHeight="1">
      <c r="A5089" s="2" t="s">
        <v>5086</v>
      </c>
      <c r="B5089" s="2" t="s">
        <v>14</v>
      </c>
      <c r="C5089" s="1" t="str">
        <f>IFERROR(__xludf.DUMMYFUNCTION("GOOGLETRANSLATE(A5089,""en"",""pt-br"")"),"reverente")</f>
        <v>reverente</v>
      </c>
      <c r="D5089" s="1" t="str">
        <f>IFERROR(__xludf.DUMMYFUNCTION("GOOGLETRANSLATE(B5089,""en"",""pt-br"")"),"positivo")</f>
        <v>positivo</v>
      </c>
    </row>
    <row r="5090" ht="15.75" customHeight="1">
      <c r="A5090" s="2" t="s">
        <v>5087</v>
      </c>
      <c r="B5090" s="2" t="s">
        <v>14</v>
      </c>
      <c r="C5090" s="1" t="str">
        <f>IFERROR(__xludf.DUMMYFUNCTION("GOOGLETRANSLATE(A5090,""en"",""pt-br"")"),"reverentemente")</f>
        <v>reverentemente</v>
      </c>
      <c r="D5090" s="1" t="str">
        <f>IFERROR(__xludf.DUMMYFUNCTION("GOOGLETRANSLATE(B5090,""en"",""pt-br"")"),"positivo")</f>
        <v>positivo</v>
      </c>
    </row>
    <row r="5091" ht="15.75" customHeight="1">
      <c r="A5091" s="2" t="s">
        <v>5088</v>
      </c>
      <c r="B5091" s="2" t="s">
        <v>3</v>
      </c>
      <c r="C5091" s="1" t="str">
        <f>IFERROR(__xludf.DUMMYFUNCTION("GOOGLETRANSLATE(A5091,""en"",""pt-br"")"),"reverter")</f>
        <v>reverter</v>
      </c>
      <c r="D5091" s="1" t="str">
        <f>IFERROR(__xludf.DUMMYFUNCTION("GOOGLETRANSLATE(B5091,""en"",""pt-br"")"),"negativo")</f>
        <v>negativo</v>
      </c>
    </row>
    <row r="5092" ht="15.75" customHeight="1">
      <c r="A5092" s="2" t="s">
        <v>5089</v>
      </c>
      <c r="B5092" s="2" t="s">
        <v>3</v>
      </c>
      <c r="C5092" s="1" t="str">
        <f>IFERROR(__xludf.DUMMYFUNCTION("GOOGLETRANSLATE(A5092,""en"",""pt-br"")"),"Revile")</f>
        <v>Revile</v>
      </c>
      <c r="D5092" s="1" t="str">
        <f>IFERROR(__xludf.DUMMYFUNCTION("GOOGLETRANSLATE(B5092,""en"",""pt-br"")"),"negativo")</f>
        <v>negativo</v>
      </c>
    </row>
    <row r="5093" ht="15.75" customHeight="1">
      <c r="A5093" s="2" t="s">
        <v>5090</v>
      </c>
      <c r="B5093" s="2" t="s">
        <v>3</v>
      </c>
      <c r="C5093" s="1" t="str">
        <f>IFERROR(__xludf.DUMMYFUNCTION("GOOGLETRANSLATE(A5093,""en"",""pt-br"")"),"injuriado")</f>
        <v>injuriado</v>
      </c>
      <c r="D5093" s="1" t="str">
        <f>IFERROR(__xludf.DUMMYFUNCTION("GOOGLETRANSLATE(B5093,""en"",""pt-br"")"),"negativo")</f>
        <v>negativo</v>
      </c>
    </row>
    <row r="5094" ht="15.75" customHeight="1">
      <c r="A5094" s="2" t="s">
        <v>5091</v>
      </c>
      <c r="B5094" s="2" t="s">
        <v>14</v>
      </c>
      <c r="C5094" s="1" t="str">
        <f>IFERROR(__xludf.DUMMYFUNCTION("GOOGLETRANSLATE(A5094,""en"",""pt-br"")"),"revitalizar")</f>
        <v>revitalizar</v>
      </c>
      <c r="D5094" s="1" t="str">
        <f>IFERROR(__xludf.DUMMYFUNCTION("GOOGLETRANSLATE(B5094,""en"",""pt-br"")"),"positivo")</f>
        <v>positivo</v>
      </c>
    </row>
    <row r="5095" ht="15.75" customHeight="1">
      <c r="A5095" s="2" t="s">
        <v>5092</v>
      </c>
      <c r="B5095" s="2" t="s">
        <v>14</v>
      </c>
      <c r="C5095" s="1" t="str">
        <f>IFERROR(__xludf.DUMMYFUNCTION("GOOGLETRANSLATE(A5095,""en"",""pt-br"")"),"renascimento")</f>
        <v>renascimento</v>
      </c>
      <c r="D5095" s="1" t="str">
        <f>IFERROR(__xludf.DUMMYFUNCTION("GOOGLETRANSLATE(B5095,""en"",""pt-br"")"),"positivo")</f>
        <v>positivo</v>
      </c>
    </row>
    <row r="5096" ht="15.75" customHeight="1">
      <c r="A5096" s="2" t="s">
        <v>5093</v>
      </c>
      <c r="B5096" s="2" t="s">
        <v>14</v>
      </c>
      <c r="C5096" s="1" t="str">
        <f>IFERROR(__xludf.DUMMYFUNCTION("GOOGLETRANSLATE(A5096,""en"",""pt-br"")"),"reviver")</f>
        <v>reviver</v>
      </c>
      <c r="D5096" s="1" t="str">
        <f>IFERROR(__xludf.DUMMYFUNCTION("GOOGLETRANSLATE(B5096,""en"",""pt-br"")"),"positivo")</f>
        <v>positivo</v>
      </c>
    </row>
    <row r="5097" ht="15.75" customHeight="1">
      <c r="A5097" s="2" t="s">
        <v>5094</v>
      </c>
      <c r="B5097" s="2" t="s">
        <v>14</v>
      </c>
      <c r="C5097" s="1" t="str">
        <f>IFERROR(__xludf.DUMMYFUNCTION("GOOGLETRANSLATE(A5097,""en"",""pt-br"")"),"revive")</f>
        <v>revive</v>
      </c>
      <c r="D5097" s="1" t="str">
        <f>IFERROR(__xludf.DUMMYFUNCTION("GOOGLETRANSLATE(B5097,""en"",""pt-br"")"),"positivo")</f>
        <v>positivo</v>
      </c>
    </row>
    <row r="5098" ht="15.75" customHeight="1">
      <c r="A5098" s="2" t="s">
        <v>5095</v>
      </c>
      <c r="B5098" s="2" t="s">
        <v>3</v>
      </c>
      <c r="C5098" s="1" t="str">
        <f>IFERROR(__xludf.DUMMYFUNCTION("GOOGLETRANSLATE(A5098,""en"",""pt-br"")"),"revogar")</f>
        <v>revogar</v>
      </c>
      <c r="D5098" s="1" t="str">
        <f>IFERROR(__xludf.DUMMYFUNCTION("GOOGLETRANSLATE(B5098,""en"",""pt-br"")"),"negativo")</f>
        <v>negativo</v>
      </c>
    </row>
    <row r="5099" ht="15.75" customHeight="1">
      <c r="A5099" s="2" t="s">
        <v>5096</v>
      </c>
      <c r="B5099" s="2" t="s">
        <v>3</v>
      </c>
      <c r="C5099" s="1" t="str">
        <f>IFERROR(__xludf.DUMMYFUNCTION("GOOGLETRANSLATE(A5099,""en"",""pt-br"")"),"revolta")</f>
        <v>revolta</v>
      </c>
      <c r="D5099" s="1" t="str">
        <f>IFERROR(__xludf.DUMMYFUNCTION("GOOGLETRANSLATE(B5099,""en"",""pt-br"")"),"negativo")</f>
        <v>negativo</v>
      </c>
    </row>
    <row r="5100" ht="15.75" customHeight="1">
      <c r="A5100" s="2" t="s">
        <v>5097</v>
      </c>
      <c r="B5100" s="2" t="s">
        <v>3</v>
      </c>
      <c r="C5100" s="1" t="str">
        <f>IFERROR(__xludf.DUMMYFUNCTION("GOOGLETRANSLATE(A5100,""en"",""pt-br"")"),"revoltante")</f>
        <v>revoltante</v>
      </c>
      <c r="D5100" s="1" t="str">
        <f>IFERROR(__xludf.DUMMYFUNCTION("GOOGLETRANSLATE(B5100,""en"",""pt-br"")"),"negativo")</f>
        <v>negativo</v>
      </c>
    </row>
    <row r="5101" ht="15.75" customHeight="1">
      <c r="A5101" s="2" t="s">
        <v>5098</v>
      </c>
      <c r="B5101" s="2" t="s">
        <v>3</v>
      </c>
      <c r="C5101" s="1" t="str">
        <f>IFERROR(__xludf.DUMMYFUNCTION("GOOGLETRANSLATE(A5101,""en"",""pt-br"")"),"revoltingly")</f>
        <v>revoltingly</v>
      </c>
      <c r="D5101" s="1" t="str">
        <f>IFERROR(__xludf.DUMMYFUNCTION("GOOGLETRANSLATE(B5101,""en"",""pt-br"")"),"negativo")</f>
        <v>negativo</v>
      </c>
    </row>
    <row r="5102" ht="15.75" customHeight="1">
      <c r="A5102" s="2" t="s">
        <v>5099</v>
      </c>
      <c r="B5102" s="2" t="s">
        <v>14</v>
      </c>
      <c r="C5102" s="1" t="str">
        <f>IFERROR(__xludf.DUMMYFUNCTION("GOOGLETRANSLATE(A5102,""en"",""pt-br"")"),"revolucionário")</f>
        <v>revolucionário</v>
      </c>
      <c r="D5102" s="1" t="str">
        <f>IFERROR(__xludf.DUMMYFUNCTION("GOOGLETRANSLATE(B5102,""en"",""pt-br"")"),"positivo")</f>
        <v>positivo</v>
      </c>
    </row>
    <row r="5103" ht="15.75" customHeight="1">
      <c r="A5103" s="2" t="s">
        <v>5100</v>
      </c>
      <c r="B5103" s="2" t="s">
        <v>14</v>
      </c>
      <c r="C5103" s="1" t="str">
        <f>IFERROR(__xludf.DUMMYFUNCTION("GOOGLETRANSLATE(A5103,""en"",""pt-br"")"),"revolucionar")</f>
        <v>revolucionar</v>
      </c>
      <c r="D5103" s="1" t="str">
        <f>IFERROR(__xludf.DUMMYFUNCTION("GOOGLETRANSLATE(B5103,""en"",""pt-br"")"),"positivo")</f>
        <v>positivo</v>
      </c>
    </row>
    <row r="5104" ht="15.75" customHeight="1">
      <c r="A5104" s="2" t="s">
        <v>5101</v>
      </c>
      <c r="B5104" s="2" t="s">
        <v>14</v>
      </c>
      <c r="C5104" s="1" t="str">
        <f>IFERROR(__xludf.DUMMYFUNCTION("GOOGLETRANSLATE(A5104,""en"",""pt-br"")"),"revolucionou")</f>
        <v>revolucionou</v>
      </c>
      <c r="D5104" s="1" t="str">
        <f>IFERROR(__xludf.DUMMYFUNCTION("GOOGLETRANSLATE(B5104,""en"",""pt-br"")"),"positivo")</f>
        <v>positivo</v>
      </c>
    </row>
    <row r="5105" ht="15.75" customHeight="1">
      <c r="A5105" s="2" t="s">
        <v>5102</v>
      </c>
      <c r="B5105" s="2" t="s">
        <v>14</v>
      </c>
      <c r="C5105" s="1" t="str">
        <f>IFERROR(__xludf.DUMMYFUNCTION("GOOGLETRANSLATE(A5105,""en"",""pt-br"")"),"revoluciona")</f>
        <v>revoluciona</v>
      </c>
      <c r="D5105" s="1" t="str">
        <f>IFERROR(__xludf.DUMMYFUNCTION("GOOGLETRANSLATE(B5105,""en"",""pt-br"")"),"positivo")</f>
        <v>positivo</v>
      </c>
    </row>
    <row r="5106" ht="15.75" customHeight="1">
      <c r="A5106" s="2" t="s">
        <v>5103</v>
      </c>
      <c r="B5106" s="2" t="s">
        <v>3</v>
      </c>
      <c r="C5106" s="1" t="str">
        <f>IFERROR(__xludf.DUMMYFUNCTION("GOOGLETRANSLATE(A5106,""en"",""pt-br"")"),"asco")</f>
        <v>asco</v>
      </c>
      <c r="D5106" s="1" t="str">
        <f>IFERROR(__xludf.DUMMYFUNCTION("GOOGLETRANSLATE(B5106,""en"",""pt-br"")"),"negativo")</f>
        <v>negativo</v>
      </c>
    </row>
    <row r="5107" ht="15.75" customHeight="1">
      <c r="A5107" s="2" t="s">
        <v>5104</v>
      </c>
      <c r="B5107" s="2" t="s">
        <v>3</v>
      </c>
      <c r="C5107" s="1" t="str">
        <f>IFERROR(__xludf.DUMMYFUNCTION("GOOGLETRANSLATE(A5107,""en"",""pt-br"")"),"revulsivo")</f>
        <v>revulsivo</v>
      </c>
      <c r="D5107" s="1" t="str">
        <f>IFERROR(__xludf.DUMMYFUNCTION("GOOGLETRANSLATE(B5107,""en"",""pt-br"")"),"negativo")</f>
        <v>negativo</v>
      </c>
    </row>
    <row r="5108" ht="15.75" customHeight="1">
      <c r="A5108" s="2" t="s">
        <v>5105</v>
      </c>
      <c r="B5108" s="2" t="s">
        <v>14</v>
      </c>
      <c r="C5108" s="1" t="str">
        <f>IFERROR(__xludf.DUMMYFUNCTION("GOOGLETRANSLATE(A5108,""en"",""pt-br"")"),"recompensa")</f>
        <v>recompensa</v>
      </c>
      <c r="D5108" s="1" t="str">
        <f>IFERROR(__xludf.DUMMYFUNCTION("GOOGLETRANSLATE(B5108,""en"",""pt-br"")"),"positivo")</f>
        <v>positivo</v>
      </c>
    </row>
    <row r="5109" ht="15.75" customHeight="1">
      <c r="A5109" s="2" t="s">
        <v>5106</v>
      </c>
      <c r="B5109" s="2" t="s">
        <v>14</v>
      </c>
      <c r="C5109" s="1" t="str">
        <f>IFERROR(__xludf.DUMMYFUNCTION("GOOGLETRANSLATE(A5109,""en"",""pt-br"")"),"recompensador")</f>
        <v>recompensador</v>
      </c>
      <c r="D5109" s="1" t="str">
        <f>IFERROR(__xludf.DUMMYFUNCTION("GOOGLETRANSLATE(B5109,""en"",""pt-br"")"),"positivo")</f>
        <v>positivo</v>
      </c>
    </row>
    <row r="5110" ht="15.75" customHeight="1">
      <c r="A5110" s="2" t="s">
        <v>5107</v>
      </c>
      <c r="B5110" s="2" t="s">
        <v>14</v>
      </c>
      <c r="C5110" s="1" t="str">
        <f>IFERROR(__xludf.DUMMYFUNCTION("GOOGLETRANSLATE(A5110,""en"",""pt-br"")"),"rewardingly")</f>
        <v>rewardingly</v>
      </c>
      <c r="D5110" s="1" t="str">
        <f>IFERROR(__xludf.DUMMYFUNCTION("GOOGLETRANSLATE(B5110,""en"",""pt-br"")"),"positivo")</f>
        <v>positivo</v>
      </c>
    </row>
    <row r="5111" ht="15.75" customHeight="1">
      <c r="A5111" s="2" t="s">
        <v>5108</v>
      </c>
      <c r="B5111" s="2" t="s">
        <v>3</v>
      </c>
      <c r="C5111" s="1" t="str">
        <f>IFERROR(__xludf.DUMMYFUNCTION("GOOGLETRANSLATE(A5111,""en"",""pt-br"")"),"escrever rapsódias")</f>
        <v>escrever rapsódias</v>
      </c>
      <c r="D5111" s="1" t="str">
        <f>IFERROR(__xludf.DUMMYFUNCTION("GOOGLETRANSLATE(B5111,""en"",""pt-br"")"),"negativo")</f>
        <v>negativo</v>
      </c>
    </row>
    <row r="5112" ht="15.75" customHeight="1">
      <c r="A5112" s="2" t="s">
        <v>5109</v>
      </c>
      <c r="B5112" s="2" t="s">
        <v>3</v>
      </c>
      <c r="C5112" s="1" t="str">
        <f>IFERROR(__xludf.DUMMYFUNCTION("GOOGLETRANSLATE(A5112,""en"",""pt-br"")"),"retórica")</f>
        <v>retórica</v>
      </c>
      <c r="D5112" s="1" t="str">
        <f>IFERROR(__xludf.DUMMYFUNCTION("GOOGLETRANSLATE(B5112,""en"",""pt-br"")"),"negativo")</f>
        <v>negativo</v>
      </c>
    </row>
    <row r="5113" ht="15.75" customHeight="1">
      <c r="A5113" s="2" t="s">
        <v>5110</v>
      </c>
      <c r="B5113" s="2" t="s">
        <v>3</v>
      </c>
      <c r="C5113" s="1" t="str">
        <f>IFERROR(__xludf.DUMMYFUNCTION("GOOGLETRANSLATE(A5113,""en"",""pt-br"")"),"retórico")</f>
        <v>retórico</v>
      </c>
      <c r="D5113" s="1" t="str">
        <f>IFERROR(__xludf.DUMMYFUNCTION("GOOGLETRANSLATE(B5113,""en"",""pt-br"")"),"negativo")</f>
        <v>negativo</v>
      </c>
    </row>
    <row r="5114" ht="15.75" customHeight="1">
      <c r="A5114" s="2" t="s">
        <v>5111</v>
      </c>
      <c r="B5114" s="2" t="s">
        <v>3</v>
      </c>
      <c r="C5114" s="1" t="str">
        <f>IFERROR(__xludf.DUMMYFUNCTION("GOOGLETRANSLATE(A5114,""en"",""pt-br"")"),"ricer")</f>
        <v>ricer</v>
      </c>
      <c r="D5114" s="1" t="str">
        <f>IFERROR(__xludf.DUMMYFUNCTION("GOOGLETRANSLATE(B5114,""en"",""pt-br"")"),"negativo")</f>
        <v>negativo</v>
      </c>
    </row>
    <row r="5115" ht="15.75" customHeight="1">
      <c r="A5115" s="2" t="s">
        <v>5112</v>
      </c>
      <c r="B5115" s="2" t="s">
        <v>14</v>
      </c>
      <c r="C5115" s="1" t="str">
        <f>IFERROR(__xludf.DUMMYFUNCTION("GOOGLETRANSLATE(A5115,""en"",""pt-br"")"),"rico")</f>
        <v>rico</v>
      </c>
      <c r="D5115" s="1" t="str">
        <f>IFERROR(__xludf.DUMMYFUNCTION("GOOGLETRANSLATE(B5115,""en"",""pt-br"")"),"positivo")</f>
        <v>positivo</v>
      </c>
    </row>
    <row r="5116" ht="15.75" customHeight="1">
      <c r="A5116" s="2" t="s">
        <v>5113</v>
      </c>
      <c r="B5116" s="2" t="s">
        <v>14</v>
      </c>
      <c r="C5116" s="1" t="str">
        <f>IFERROR(__xludf.DUMMYFUNCTION("GOOGLETRANSLATE(A5116,""en"",""pt-br"")"),"mais rico")</f>
        <v>mais rico</v>
      </c>
      <c r="D5116" s="1" t="str">
        <f>IFERROR(__xludf.DUMMYFUNCTION("GOOGLETRANSLATE(B5116,""en"",""pt-br"")"),"positivo")</f>
        <v>positivo</v>
      </c>
    </row>
    <row r="5117" ht="15.75" customHeight="1">
      <c r="A5117" s="2" t="s">
        <v>5114</v>
      </c>
      <c r="B5117" s="2" t="s">
        <v>14</v>
      </c>
      <c r="C5117" s="1" t="str">
        <f>IFERROR(__xludf.DUMMYFUNCTION("GOOGLETRANSLATE(A5117,""en"",""pt-br"")"),"ricamente")</f>
        <v>ricamente</v>
      </c>
      <c r="D5117" s="1" t="str">
        <f>IFERROR(__xludf.DUMMYFUNCTION("GOOGLETRANSLATE(B5117,""en"",""pt-br"")"),"positivo")</f>
        <v>positivo</v>
      </c>
    </row>
    <row r="5118" ht="15.75" customHeight="1">
      <c r="A5118" s="2" t="s">
        <v>5115</v>
      </c>
      <c r="B5118" s="2" t="s">
        <v>14</v>
      </c>
      <c r="C5118" s="1" t="str">
        <f>IFERROR(__xludf.DUMMYFUNCTION("GOOGLETRANSLATE(A5118,""en"",""pt-br"")"),"riqueza")</f>
        <v>riqueza</v>
      </c>
      <c r="D5118" s="1" t="str">
        <f>IFERROR(__xludf.DUMMYFUNCTION("GOOGLETRANSLATE(B5118,""en"",""pt-br"")"),"positivo")</f>
        <v>positivo</v>
      </c>
    </row>
    <row r="5119" ht="15.75" customHeight="1">
      <c r="A5119" s="2" t="s">
        <v>5116</v>
      </c>
      <c r="B5119" s="2" t="s">
        <v>3</v>
      </c>
      <c r="C5119" s="1" t="str">
        <f>IFERROR(__xludf.DUMMYFUNCTION("GOOGLETRANSLATE(A5119,""en"",""pt-br"")"),"ridículo")</f>
        <v>ridículo</v>
      </c>
      <c r="D5119" s="1" t="str">
        <f>IFERROR(__xludf.DUMMYFUNCTION("GOOGLETRANSLATE(B5119,""en"",""pt-br"")"),"negativo")</f>
        <v>negativo</v>
      </c>
    </row>
    <row r="5120" ht="15.75" customHeight="1">
      <c r="A5120" s="2" t="s">
        <v>5117</v>
      </c>
      <c r="B5120" s="2" t="s">
        <v>3</v>
      </c>
      <c r="C5120" s="1" t="str">
        <f>IFERROR(__xludf.DUMMYFUNCTION("GOOGLETRANSLATE(A5120,""en"",""pt-br"")"),"ridiculariza")</f>
        <v>ridiculariza</v>
      </c>
      <c r="D5120" s="1" t="str">
        <f>IFERROR(__xludf.DUMMYFUNCTION("GOOGLETRANSLATE(B5120,""en"",""pt-br"")"),"negativo")</f>
        <v>negativo</v>
      </c>
    </row>
    <row r="5121" ht="15.75" customHeight="1">
      <c r="A5121" s="2" t="s">
        <v>5118</v>
      </c>
      <c r="B5121" s="2" t="s">
        <v>3</v>
      </c>
      <c r="C5121" s="1" t="str">
        <f>IFERROR(__xludf.DUMMYFUNCTION("GOOGLETRANSLATE(A5121,""en"",""pt-br"")"),"ridículo")</f>
        <v>ridículo</v>
      </c>
      <c r="D5121" s="1" t="str">
        <f>IFERROR(__xludf.DUMMYFUNCTION("GOOGLETRANSLATE(B5121,""en"",""pt-br"")"),"negativo")</f>
        <v>negativo</v>
      </c>
    </row>
    <row r="5122" ht="15.75" customHeight="1">
      <c r="A5122" s="2" t="s">
        <v>5119</v>
      </c>
      <c r="B5122" s="2" t="s">
        <v>3</v>
      </c>
      <c r="C5122" s="1" t="str">
        <f>IFERROR(__xludf.DUMMYFUNCTION("GOOGLETRANSLATE(A5122,""en"",""pt-br"")"),"ridiculamente")</f>
        <v>ridiculamente</v>
      </c>
      <c r="D5122" s="1" t="str">
        <f>IFERROR(__xludf.DUMMYFUNCTION("GOOGLETRANSLATE(B5122,""en"",""pt-br"")"),"negativo")</f>
        <v>negativo</v>
      </c>
    </row>
    <row r="5123" ht="15.75" customHeight="1">
      <c r="A5123" s="2" t="s">
        <v>5120</v>
      </c>
      <c r="B5123" s="2" t="s">
        <v>3</v>
      </c>
      <c r="C5123" s="1" t="str">
        <f>IFERROR(__xludf.DUMMYFUNCTION("GOOGLETRANSLATE(A5123,""en"",""pt-br"")"),"freqüente")</f>
        <v>freqüente</v>
      </c>
      <c r="D5123" s="1" t="str">
        <f>IFERROR(__xludf.DUMMYFUNCTION("GOOGLETRANSLATE(B5123,""en"",""pt-br"")"),"negativo")</f>
        <v>negativo</v>
      </c>
    </row>
    <row r="5124" ht="15.75" customHeight="1">
      <c r="A5124" s="2" t="s">
        <v>5121</v>
      </c>
      <c r="B5124" s="2" t="s">
        <v>3</v>
      </c>
      <c r="C5124" s="1" t="str">
        <f>IFERROR(__xludf.DUMMYFUNCTION("GOOGLETRANSLATE(A5124,""en"",""pt-br"")"),"fenda")</f>
        <v>fenda</v>
      </c>
      <c r="D5124" s="1" t="str">
        <f>IFERROR(__xludf.DUMMYFUNCTION("GOOGLETRANSLATE(B5124,""en"",""pt-br"")"),"negativo")</f>
        <v>negativo</v>
      </c>
    </row>
    <row r="5125" ht="15.75" customHeight="1">
      <c r="A5125" s="2" t="s">
        <v>5122</v>
      </c>
      <c r="B5125" s="2" t="s">
        <v>3</v>
      </c>
      <c r="C5125" s="1" t="str">
        <f>IFERROR(__xludf.DUMMYFUNCTION("GOOGLETRANSLATE(A5125,""en"",""pt-br"")"),"fendas")</f>
        <v>fendas</v>
      </c>
      <c r="D5125" s="1" t="str">
        <f>IFERROR(__xludf.DUMMYFUNCTION("GOOGLETRANSLATE(B5125,""en"",""pt-br"")"),"negativo")</f>
        <v>negativo</v>
      </c>
    </row>
    <row r="5126" ht="15.75" customHeight="1">
      <c r="A5126" s="2" t="s">
        <v>5123</v>
      </c>
      <c r="B5126" s="2" t="s">
        <v>14</v>
      </c>
      <c r="C5126" s="1" t="str">
        <f>IFERROR(__xludf.DUMMYFUNCTION("GOOGLETRANSLATE(A5126,""en"",""pt-br"")"),"direita")</f>
        <v>direita</v>
      </c>
      <c r="D5126" s="1" t="str">
        <f>IFERROR(__xludf.DUMMYFUNCTION("GOOGLETRANSLATE(B5126,""en"",""pt-br"")"),"positivo")</f>
        <v>positivo</v>
      </c>
    </row>
    <row r="5127" ht="15.75" customHeight="1">
      <c r="A5127" s="2" t="s">
        <v>5124</v>
      </c>
      <c r="B5127" s="2" t="s">
        <v>14</v>
      </c>
      <c r="C5127" s="1" t="str">
        <f>IFERROR(__xludf.DUMMYFUNCTION("GOOGLETRANSLATE(A5127,""en"",""pt-br"")"),"righten")</f>
        <v>righten</v>
      </c>
      <c r="D5127" s="1" t="str">
        <f>IFERROR(__xludf.DUMMYFUNCTION("GOOGLETRANSLATE(B5127,""en"",""pt-br"")"),"positivo")</f>
        <v>positivo</v>
      </c>
    </row>
    <row r="5128" ht="15.75" customHeight="1">
      <c r="A5128" s="2" t="s">
        <v>5125</v>
      </c>
      <c r="B5128" s="2" t="s">
        <v>14</v>
      </c>
      <c r="C5128" s="1" t="str">
        <f>IFERROR(__xludf.DUMMYFUNCTION("GOOGLETRANSLATE(A5128,""en"",""pt-br"")"),"justo")</f>
        <v>justo</v>
      </c>
      <c r="D5128" s="1" t="str">
        <f>IFERROR(__xludf.DUMMYFUNCTION("GOOGLETRANSLATE(B5128,""en"",""pt-br"")"),"positivo")</f>
        <v>positivo</v>
      </c>
    </row>
    <row r="5129" ht="15.75" customHeight="1">
      <c r="A5129" s="2" t="s">
        <v>5126</v>
      </c>
      <c r="B5129" s="2" t="s">
        <v>14</v>
      </c>
      <c r="C5129" s="1" t="str">
        <f>IFERROR(__xludf.DUMMYFUNCTION("GOOGLETRANSLATE(A5129,""en"",""pt-br"")"),"retamente")</f>
        <v>retamente</v>
      </c>
      <c r="D5129" s="1" t="str">
        <f>IFERROR(__xludf.DUMMYFUNCTION("GOOGLETRANSLATE(B5129,""en"",""pt-br"")"),"positivo")</f>
        <v>positivo</v>
      </c>
    </row>
    <row r="5130" ht="15.75" customHeight="1">
      <c r="A5130" s="2" t="s">
        <v>5127</v>
      </c>
      <c r="B5130" s="2" t="s">
        <v>14</v>
      </c>
      <c r="C5130" s="1" t="str">
        <f>IFERROR(__xludf.DUMMYFUNCTION("GOOGLETRANSLATE(A5130,""en"",""pt-br"")"),"justiça")</f>
        <v>justiça</v>
      </c>
      <c r="D5130" s="1" t="str">
        <f>IFERROR(__xludf.DUMMYFUNCTION("GOOGLETRANSLATE(B5130,""en"",""pt-br"")"),"positivo")</f>
        <v>positivo</v>
      </c>
    </row>
    <row r="5131" ht="15.75" customHeight="1">
      <c r="A5131" s="2" t="s">
        <v>5128</v>
      </c>
      <c r="B5131" s="2" t="s">
        <v>14</v>
      </c>
      <c r="C5131" s="1" t="str">
        <f>IFERROR(__xludf.DUMMYFUNCTION("GOOGLETRANSLATE(A5131,""en"",""pt-br"")"),"legítimo")</f>
        <v>legítimo</v>
      </c>
      <c r="D5131" s="1" t="str">
        <f>IFERROR(__xludf.DUMMYFUNCTION("GOOGLETRANSLATE(B5131,""en"",""pt-br"")"),"positivo")</f>
        <v>positivo</v>
      </c>
    </row>
    <row r="5132" ht="15.75" customHeight="1">
      <c r="A5132" s="2" t="s">
        <v>5129</v>
      </c>
      <c r="B5132" s="2" t="s">
        <v>14</v>
      </c>
      <c r="C5132" s="1" t="str">
        <f>IFERROR(__xludf.DUMMYFUNCTION("GOOGLETRANSLATE(A5132,""en"",""pt-br"")"),"legitimamente")</f>
        <v>legitimamente</v>
      </c>
      <c r="D5132" s="1" t="str">
        <f>IFERROR(__xludf.DUMMYFUNCTION("GOOGLETRANSLATE(B5132,""en"",""pt-br"")"),"positivo")</f>
        <v>positivo</v>
      </c>
    </row>
    <row r="5133" ht="15.75" customHeight="1">
      <c r="A5133" s="2" t="s">
        <v>5130</v>
      </c>
      <c r="B5133" s="2" t="s">
        <v>14</v>
      </c>
      <c r="C5133" s="1" t="str">
        <f>IFERROR(__xludf.DUMMYFUNCTION("GOOGLETRANSLATE(A5133,""en"",""pt-br"")"),"corretamente")</f>
        <v>corretamente</v>
      </c>
      <c r="D5133" s="1" t="str">
        <f>IFERROR(__xludf.DUMMYFUNCTION("GOOGLETRANSLATE(B5133,""en"",""pt-br"")"),"positivo")</f>
        <v>positivo</v>
      </c>
    </row>
    <row r="5134" ht="15.75" customHeight="1">
      <c r="A5134" s="2" t="s">
        <v>5131</v>
      </c>
      <c r="B5134" s="2" t="s">
        <v>14</v>
      </c>
      <c r="C5134" s="1" t="str">
        <f>IFERROR(__xludf.DUMMYFUNCTION("GOOGLETRANSLATE(A5134,""en"",""pt-br"")"),"retidão")</f>
        <v>retidão</v>
      </c>
      <c r="D5134" s="1" t="str">
        <f>IFERROR(__xludf.DUMMYFUNCTION("GOOGLETRANSLATE(B5134,""en"",""pt-br"")"),"positivo")</f>
        <v>positivo</v>
      </c>
    </row>
    <row r="5135" ht="15.75" customHeight="1">
      <c r="A5135" s="2" t="s">
        <v>5132</v>
      </c>
      <c r="B5135" s="2" t="s">
        <v>3</v>
      </c>
      <c r="C5135" s="1" t="str">
        <f>IFERROR(__xludf.DUMMYFUNCTION("GOOGLETRANSLATE(A5135,""en"",""pt-br"")"),"rígido")</f>
        <v>rígido</v>
      </c>
      <c r="D5135" s="1" t="str">
        <f>IFERROR(__xludf.DUMMYFUNCTION("GOOGLETRANSLATE(B5135,""en"",""pt-br"")"),"negativo")</f>
        <v>negativo</v>
      </c>
    </row>
    <row r="5136" ht="15.75" customHeight="1">
      <c r="A5136" s="2" t="s">
        <v>5133</v>
      </c>
      <c r="B5136" s="2" t="s">
        <v>3</v>
      </c>
      <c r="C5136" s="1" t="str">
        <f>IFERROR(__xludf.DUMMYFUNCTION("GOOGLETRANSLATE(A5136,""en"",""pt-br"")"),"rigidez")</f>
        <v>rigidez</v>
      </c>
      <c r="D5136" s="1" t="str">
        <f>IFERROR(__xludf.DUMMYFUNCTION("GOOGLETRANSLATE(B5136,""en"",""pt-br"")"),"negativo")</f>
        <v>negativo</v>
      </c>
    </row>
    <row r="5137" ht="15.75" customHeight="1">
      <c r="A5137" s="2" t="s">
        <v>5134</v>
      </c>
      <c r="B5137" s="2" t="s">
        <v>3</v>
      </c>
      <c r="C5137" s="1" t="str">
        <f>IFERROR(__xludf.DUMMYFUNCTION("GOOGLETRANSLATE(A5137,""en"",""pt-br"")"),"rigidez")</f>
        <v>rigidez</v>
      </c>
      <c r="D5137" s="1" t="str">
        <f>IFERROR(__xludf.DUMMYFUNCTION("GOOGLETRANSLATE(B5137,""en"",""pt-br"")"),"negativo")</f>
        <v>negativo</v>
      </c>
    </row>
    <row r="5138" ht="15.75" customHeight="1">
      <c r="A5138" s="2" t="s">
        <v>5135</v>
      </c>
      <c r="B5138" s="2" t="s">
        <v>3</v>
      </c>
      <c r="C5138" s="1" t="str">
        <f>IFERROR(__xludf.DUMMYFUNCTION("GOOGLETRANSLATE(A5138,""en"",""pt-br"")"),"irritar")</f>
        <v>irritar</v>
      </c>
      <c r="D5138" s="1" t="str">
        <f>IFERROR(__xludf.DUMMYFUNCTION("GOOGLETRANSLATE(B5138,""en"",""pt-br"")"),"negativo")</f>
        <v>negativo</v>
      </c>
    </row>
    <row r="5139" ht="15.75" customHeight="1">
      <c r="A5139" s="2" t="s">
        <v>5136</v>
      </c>
      <c r="B5139" s="2" t="s">
        <v>3</v>
      </c>
      <c r="C5139" s="1" t="str">
        <f>IFERROR(__xludf.DUMMYFUNCTION("GOOGLETRANSLATE(A5139,""en"",""pt-br"")"),"riled")</f>
        <v>riled</v>
      </c>
      <c r="D5139" s="1" t="str">
        <f>IFERROR(__xludf.DUMMYFUNCTION("GOOGLETRANSLATE(B5139,""en"",""pt-br"")"),"negativo")</f>
        <v>negativo</v>
      </c>
    </row>
    <row r="5140" ht="15.75" customHeight="1">
      <c r="A5140" s="2" t="s">
        <v>5137</v>
      </c>
      <c r="B5140" s="2" t="s">
        <v>3</v>
      </c>
      <c r="C5140" s="1" t="str">
        <f>IFERROR(__xludf.DUMMYFUNCTION("GOOGLETRANSLATE(A5140,""en"",""pt-br"")"),"Descanse em paz")</f>
        <v>Descanse em paz</v>
      </c>
      <c r="D5140" s="1" t="str">
        <f>IFERROR(__xludf.DUMMYFUNCTION("GOOGLETRANSLATE(B5140,""en"",""pt-br"")"),"negativo")</f>
        <v>negativo</v>
      </c>
    </row>
    <row r="5141" ht="15.75" customHeight="1">
      <c r="A5141" s="2" t="s">
        <v>5138</v>
      </c>
      <c r="B5141" s="2" t="s">
        <v>3</v>
      </c>
      <c r="C5141" s="1" t="str">
        <f>IFERROR(__xludf.DUMMYFUNCTION("GOOGLETRANSLATE(A5141,""en"",""pt-br"")"),"enganar")</f>
        <v>enganar</v>
      </c>
      <c r="D5141" s="1" t="str">
        <f>IFERROR(__xludf.DUMMYFUNCTION("GOOGLETRANSLATE(B5141,""en"",""pt-br"")"),"negativo")</f>
        <v>negativo</v>
      </c>
    </row>
    <row r="5142" ht="15.75" customHeight="1">
      <c r="A5142" s="2" t="s">
        <v>5139</v>
      </c>
      <c r="B5142" s="2" t="s">
        <v>3</v>
      </c>
      <c r="C5142" s="1" t="str">
        <f>IFERROR(__xludf.DUMMYFUNCTION("GOOGLETRANSLATE(A5142,""en"",""pt-br"")"),"enganar")</f>
        <v>enganar</v>
      </c>
      <c r="D5142" s="1" t="str">
        <f>IFERROR(__xludf.DUMMYFUNCTION("GOOGLETRANSLATE(B5142,""en"",""pt-br"")"),"negativo")</f>
        <v>negativo</v>
      </c>
    </row>
    <row r="5143" ht="15.75" customHeight="1">
      <c r="A5143" s="2" t="s">
        <v>5140</v>
      </c>
      <c r="B5143" s="2" t="s">
        <v>3</v>
      </c>
      <c r="C5143" s="1" t="str">
        <f>IFERROR(__xludf.DUMMYFUNCTION("GOOGLETRANSLATE(A5143,""en"",""pt-br"")"),"rasgado")</f>
        <v>rasgado</v>
      </c>
      <c r="D5143" s="1" t="str">
        <f>IFERROR(__xludf.DUMMYFUNCTION("GOOGLETRANSLATE(B5143,""en"",""pt-br"")"),"negativo")</f>
        <v>negativo</v>
      </c>
    </row>
    <row r="5144" ht="15.75" customHeight="1">
      <c r="A5144" s="2" t="s">
        <v>5141</v>
      </c>
      <c r="B5144" s="2" t="s">
        <v>3</v>
      </c>
      <c r="C5144" s="1" t="str">
        <f>IFERROR(__xludf.DUMMYFUNCTION("GOOGLETRANSLATE(A5144,""en"",""pt-br"")"),"risco")</f>
        <v>risco</v>
      </c>
      <c r="D5144" s="1" t="str">
        <f>IFERROR(__xludf.DUMMYFUNCTION("GOOGLETRANSLATE(B5144,""en"",""pt-br"")"),"negativo")</f>
        <v>negativo</v>
      </c>
    </row>
    <row r="5145" ht="15.75" customHeight="1">
      <c r="A5145" s="2" t="s">
        <v>5142</v>
      </c>
      <c r="B5145" s="2" t="s">
        <v>14</v>
      </c>
      <c r="C5145" s="1" t="str">
        <f>IFERROR(__xludf.DUMMYFUNCTION("GOOGLETRANSLATE(A5145,""en"",""pt-br"")"),"livre de risco")</f>
        <v>livre de risco</v>
      </c>
      <c r="D5145" s="1" t="str">
        <f>IFERROR(__xludf.DUMMYFUNCTION("GOOGLETRANSLATE(B5145,""en"",""pt-br"")"),"positivo")</f>
        <v>positivo</v>
      </c>
    </row>
    <row r="5146" ht="15.75" customHeight="1">
      <c r="A5146" s="2" t="s">
        <v>5143</v>
      </c>
      <c r="B5146" s="2" t="s">
        <v>3</v>
      </c>
      <c r="C5146" s="1" t="str">
        <f>IFERROR(__xludf.DUMMYFUNCTION("GOOGLETRANSLATE(A5146,""en"",""pt-br"")"),"riscos")</f>
        <v>riscos</v>
      </c>
      <c r="D5146" s="1" t="str">
        <f>IFERROR(__xludf.DUMMYFUNCTION("GOOGLETRANSLATE(B5146,""en"",""pt-br"")"),"negativo")</f>
        <v>negativo</v>
      </c>
    </row>
    <row r="5147" ht="15.75" customHeight="1">
      <c r="A5147" s="2" t="s">
        <v>5144</v>
      </c>
      <c r="B5147" s="2" t="s">
        <v>3</v>
      </c>
      <c r="C5147" s="1" t="str">
        <f>IFERROR(__xludf.DUMMYFUNCTION("GOOGLETRANSLATE(A5147,""en"",""pt-br"")"),"arriscado")</f>
        <v>arriscado</v>
      </c>
      <c r="D5147" s="1" t="str">
        <f>IFERROR(__xludf.DUMMYFUNCTION("GOOGLETRANSLATE(B5147,""en"",""pt-br"")"),"negativo")</f>
        <v>negativo</v>
      </c>
    </row>
    <row r="5148" ht="15.75" customHeight="1">
      <c r="A5148" s="2" t="s">
        <v>5145</v>
      </c>
      <c r="B5148" s="2" t="s">
        <v>3</v>
      </c>
      <c r="C5148" s="1" t="str">
        <f>IFERROR(__xludf.DUMMYFUNCTION("GOOGLETRANSLATE(A5148,""en"",""pt-br"")"),"rival")</f>
        <v>rival</v>
      </c>
      <c r="D5148" s="1" t="str">
        <f>IFERROR(__xludf.DUMMYFUNCTION("GOOGLETRANSLATE(B5148,""en"",""pt-br"")"),"negativo")</f>
        <v>negativo</v>
      </c>
    </row>
    <row r="5149" ht="15.75" customHeight="1">
      <c r="A5149" s="2" t="s">
        <v>5146</v>
      </c>
      <c r="B5149" s="2" t="s">
        <v>3</v>
      </c>
      <c r="C5149" s="1" t="str">
        <f>IFERROR(__xludf.DUMMYFUNCTION("GOOGLETRANSLATE(A5149,""en"",""pt-br"")"),"rivalidade")</f>
        <v>rivalidade</v>
      </c>
      <c r="D5149" s="1" t="str">
        <f>IFERROR(__xludf.DUMMYFUNCTION("GOOGLETRANSLATE(B5149,""en"",""pt-br"")"),"negativo")</f>
        <v>negativo</v>
      </c>
    </row>
    <row r="5150" ht="15.75" customHeight="1">
      <c r="A5150" s="2" t="s">
        <v>5147</v>
      </c>
      <c r="B5150" s="2" t="s">
        <v>3</v>
      </c>
      <c r="C5150" s="1" t="str">
        <f>IFERROR(__xludf.DUMMYFUNCTION("GOOGLETRANSLATE(A5150,""en"",""pt-br"")"),"bloqueios")</f>
        <v>bloqueios</v>
      </c>
      <c r="D5150" s="1" t="str">
        <f>IFERROR(__xludf.DUMMYFUNCTION("GOOGLETRANSLATE(B5150,""en"",""pt-br"")"),"negativo")</f>
        <v>negativo</v>
      </c>
    </row>
    <row r="5151" ht="15.75" customHeight="1">
      <c r="A5151" s="2" t="s">
        <v>5148</v>
      </c>
      <c r="B5151" s="2" t="s">
        <v>14</v>
      </c>
      <c r="C5151" s="1" t="str">
        <f>IFERROR(__xludf.DUMMYFUNCTION("GOOGLETRANSLATE(A5151,""en"",""pt-br"")"),"robusto")</f>
        <v>robusto</v>
      </c>
      <c r="D5151" s="1" t="str">
        <f>IFERROR(__xludf.DUMMYFUNCTION("GOOGLETRANSLATE(B5151,""en"",""pt-br"")"),"positivo")</f>
        <v>positivo</v>
      </c>
    </row>
    <row r="5152" ht="15.75" customHeight="1">
      <c r="A5152" s="2" t="s">
        <v>5149</v>
      </c>
      <c r="B5152" s="2" t="s">
        <v>14</v>
      </c>
      <c r="C5152" s="1" t="str">
        <f>IFERROR(__xludf.DUMMYFUNCTION("GOOGLETRANSLATE(A5152,""en"",""pt-br"")"),"estrela do rock")</f>
        <v>estrela do rock</v>
      </c>
      <c r="D5152" s="1" t="str">
        <f>IFERROR(__xludf.DUMMYFUNCTION("GOOGLETRANSLATE(B5152,""en"",""pt-br"")"),"positivo")</f>
        <v>positivo</v>
      </c>
    </row>
    <row r="5153" ht="15.75" customHeight="1">
      <c r="A5153" s="2" t="s">
        <v>5150</v>
      </c>
      <c r="B5153" s="2" t="s">
        <v>14</v>
      </c>
      <c r="C5153" s="1" t="str">
        <f>IFERROR(__xludf.DUMMYFUNCTION("GOOGLETRANSLATE(A5153,""en"",""pt-br"")"),"estrelas do rock")</f>
        <v>estrelas do rock</v>
      </c>
      <c r="D5153" s="1" t="str">
        <f>IFERROR(__xludf.DUMMYFUNCTION("GOOGLETRANSLATE(B5153,""en"",""pt-br"")"),"positivo")</f>
        <v>positivo</v>
      </c>
    </row>
    <row r="5154" ht="15.75" customHeight="1">
      <c r="A5154" s="2" t="s">
        <v>5151</v>
      </c>
      <c r="B5154" s="2" t="s">
        <v>14</v>
      </c>
      <c r="C5154" s="1" t="str">
        <f>IFERROR(__xludf.DUMMYFUNCTION("GOOGLETRANSLATE(A5154,""en"",""pt-br"")"),"estrela do rock")</f>
        <v>estrela do rock</v>
      </c>
      <c r="D5154" s="1" t="str">
        <f>IFERROR(__xludf.DUMMYFUNCTION("GOOGLETRANSLATE(B5154,""en"",""pt-br"")"),"positivo")</f>
        <v>positivo</v>
      </c>
    </row>
    <row r="5155" ht="15.75" customHeight="1">
      <c r="A5155" s="2" t="s">
        <v>5152</v>
      </c>
      <c r="B5155" s="2" t="s">
        <v>14</v>
      </c>
      <c r="C5155" s="1" t="str">
        <f>IFERROR(__xludf.DUMMYFUNCTION("GOOGLETRANSLATE(A5155,""en"",""pt-br"")"),"estrelas do rock")</f>
        <v>estrelas do rock</v>
      </c>
      <c r="D5155" s="1" t="str">
        <f>IFERROR(__xludf.DUMMYFUNCTION("GOOGLETRANSLATE(B5155,""en"",""pt-br"")"),"positivo")</f>
        <v>positivo</v>
      </c>
    </row>
    <row r="5156" ht="15.75" customHeight="1">
      <c r="A5156" s="2" t="s">
        <v>5153</v>
      </c>
      <c r="B5156" s="2" t="s">
        <v>3</v>
      </c>
      <c r="C5156" s="1" t="str">
        <f>IFERROR(__xludf.DUMMYFUNCTION("GOOGLETRANSLATE(A5156,""en"",""pt-br"")"),"rochoso")</f>
        <v>rochoso</v>
      </c>
      <c r="D5156" s="1" t="str">
        <f>IFERROR(__xludf.DUMMYFUNCTION("GOOGLETRANSLATE(B5156,""en"",""pt-br"")"),"negativo")</f>
        <v>negativo</v>
      </c>
    </row>
    <row r="5157" ht="15.75" customHeight="1">
      <c r="A5157" s="2" t="s">
        <v>5154</v>
      </c>
      <c r="B5157" s="2" t="s">
        <v>3</v>
      </c>
      <c r="C5157" s="1" t="str">
        <f>IFERROR(__xludf.DUMMYFUNCTION("GOOGLETRANSLATE(A5157,""en"",""pt-br"")"),"Vampiro")</f>
        <v>Vampiro</v>
      </c>
      <c r="D5157" s="1" t="str">
        <f>IFERROR(__xludf.DUMMYFUNCTION("GOOGLETRANSLATE(B5157,""en"",""pt-br"")"),"negativo")</f>
        <v>negativo</v>
      </c>
    </row>
    <row r="5158" ht="15.75" customHeight="1">
      <c r="A5158" s="2" t="s">
        <v>5155</v>
      </c>
      <c r="B5158" s="2" t="s">
        <v>3</v>
      </c>
      <c r="C5158" s="1" t="str">
        <f>IFERROR(__xludf.DUMMYFUNCTION("GOOGLETRANSLATE(A5158,""en"",""pt-br"")"),"montanha russa")</f>
        <v>montanha russa</v>
      </c>
      <c r="D5158" s="1" t="str">
        <f>IFERROR(__xludf.DUMMYFUNCTION("GOOGLETRANSLATE(B5158,""en"",""pt-br"")"),"negativo")</f>
        <v>negativo</v>
      </c>
    </row>
    <row r="5159" ht="15.75" customHeight="1">
      <c r="A5159" s="2" t="s">
        <v>5156</v>
      </c>
      <c r="B5159" s="2" t="s">
        <v>14</v>
      </c>
      <c r="C5159" s="1" t="str">
        <f>IFERROR(__xludf.DUMMYFUNCTION("GOOGLETRANSLATE(A5159,""en"",""pt-br"")"),"romântico")</f>
        <v>romântico</v>
      </c>
      <c r="D5159" s="1" t="str">
        <f>IFERROR(__xludf.DUMMYFUNCTION("GOOGLETRANSLATE(B5159,""en"",""pt-br"")"),"positivo")</f>
        <v>positivo</v>
      </c>
    </row>
    <row r="5160" ht="15.75" customHeight="1">
      <c r="A5160" s="2" t="s">
        <v>5157</v>
      </c>
      <c r="B5160" s="2" t="s">
        <v>14</v>
      </c>
      <c r="C5160" s="1" t="str">
        <f>IFERROR(__xludf.DUMMYFUNCTION("GOOGLETRANSLATE(A5160,""en"",""pt-br"")"),"romanticamente")</f>
        <v>romanticamente</v>
      </c>
      <c r="D5160" s="1" t="str">
        <f>IFERROR(__xludf.DUMMYFUNCTION("GOOGLETRANSLATE(B5160,""en"",""pt-br"")"),"positivo")</f>
        <v>positivo</v>
      </c>
    </row>
    <row r="5161" ht="15.75" customHeight="1">
      <c r="A5161" s="2" t="s">
        <v>5158</v>
      </c>
      <c r="B5161" s="2" t="s">
        <v>14</v>
      </c>
      <c r="C5161" s="1" t="str">
        <f>IFERROR(__xludf.DUMMYFUNCTION("GOOGLETRANSLATE(A5161,""en"",""pt-br"")"),"romantizar")</f>
        <v>romantizar</v>
      </c>
      <c r="D5161" s="1" t="str">
        <f>IFERROR(__xludf.DUMMYFUNCTION("GOOGLETRANSLATE(B5161,""en"",""pt-br"")"),"positivo")</f>
        <v>positivo</v>
      </c>
    </row>
    <row r="5162" ht="15.75" customHeight="1">
      <c r="A5162" s="2" t="s">
        <v>5159</v>
      </c>
      <c r="B5162" s="2" t="s">
        <v>14</v>
      </c>
      <c r="C5162" s="1" t="str">
        <f>IFERROR(__xludf.DUMMYFUNCTION("GOOGLETRANSLATE(A5162,""en"",""pt-br"")"),"mais espaçoso")</f>
        <v>mais espaçoso</v>
      </c>
      <c r="D5162" s="1" t="str">
        <f>IFERROR(__xludf.DUMMYFUNCTION("GOOGLETRANSLATE(B5162,""en"",""pt-br"")"),"positivo")</f>
        <v>positivo</v>
      </c>
    </row>
    <row r="5163" ht="15.75" customHeight="1">
      <c r="A5163" s="2" t="s">
        <v>5160</v>
      </c>
      <c r="B5163" s="2" t="s">
        <v>14</v>
      </c>
      <c r="C5163" s="1" t="str">
        <f>IFERROR(__xludf.DUMMYFUNCTION("GOOGLETRANSLATE(A5163,""en"",""pt-br"")"),"espaçoso")</f>
        <v>espaçoso</v>
      </c>
      <c r="D5163" s="1" t="str">
        <f>IFERROR(__xludf.DUMMYFUNCTION("GOOGLETRANSLATE(B5163,""en"",""pt-br"")"),"positivo")</f>
        <v>positivo</v>
      </c>
    </row>
    <row r="5164" ht="15.75" customHeight="1">
      <c r="A5164" s="2" t="s">
        <v>5161</v>
      </c>
      <c r="B5164" s="2" t="s">
        <v>14</v>
      </c>
      <c r="C5164" s="1" t="str">
        <f>IFERROR(__xludf.DUMMYFUNCTION("GOOGLETRANSLATE(A5164,""en"",""pt-br"")"),"rosado")</f>
        <v>rosado</v>
      </c>
      <c r="D5164" s="1" t="str">
        <f>IFERROR(__xludf.DUMMYFUNCTION("GOOGLETRANSLATE(B5164,""en"",""pt-br"")"),"positivo")</f>
        <v>positivo</v>
      </c>
    </row>
    <row r="5165" ht="15.75" customHeight="1">
      <c r="A5165" s="2" t="s">
        <v>5162</v>
      </c>
      <c r="B5165" s="2" t="s">
        <v>3</v>
      </c>
      <c r="C5165" s="1" t="str">
        <f>IFERROR(__xludf.DUMMYFUNCTION("GOOGLETRANSLATE(A5165,""en"",""pt-br"")"),"podridão")</f>
        <v>podridão</v>
      </c>
      <c r="D5165" s="1" t="str">
        <f>IFERROR(__xludf.DUMMYFUNCTION("GOOGLETRANSLATE(B5165,""en"",""pt-br"")"),"negativo")</f>
        <v>negativo</v>
      </c>
    </row>
    <row r="5166" ht="15.75" customHeight="1">
      <c r="A5166" s="2" t="s">
        <v>5163</v>
      </c>
      <c r="B5166" s="2" t="s">
        <v>3</v>
      </c>
      <c r="C5166" s="1" t="str">
        <f>IFERROR(__xludf.DUMMYFUNCTION("GOOGLETRANSLATE(A5166,""en"",""pt-br"")"),"podre")</f>
        <v>podre</v>
      </c>
      <c r="D5166" s="1" t="str">
        <f>IFERROR(__xludf.DUMMYFUNCTION("GOOGLETRANSLATE(B5166,""en"",""pt-br"")"),"negativo")</f>
        <v>negativo</v>
      </c>
    </row>
    <row r="5167" ht="15.75" customHeight="1">
      <c r="A5167" s="2" t="s">
        <v>5164</v>
      </c>
      <c r="B5167" s="2" t="s">
        <v>3</v>
      </c>
      <c r="C5167" s="1" t="str">
        <f>IFERROR(__xludf.DUMMYFUNCTION("GOOGLETRANSLATE(A5167,""en"",""pt-br"")"),"rude")</f>
        <v>rude</v>
      </c>
      <c r="D5167" s="1" t="str">
        <f>IFERROR(__xludf.DUMMYFUNCTION("GOOGLETRANSLATE(B5167,""en"",""pt-br"")"),"negativo")</f>
        <v>negativo</v>
      </c>
    </row>
    <row r="5168" ht="15.75" customHeight="1">
      <c r="A5168" s="2" t="s">
        <v>5165</v>
      </c>
      <c r="B5168" s="2" t="s">
        <v>3</v>
      </c>
      <c r="C5168" s="1" t="str">
        <f>IFERROR(__xludf.DUMMYFUNCTION("GOOGLETRANSLATE(A5168,""en"",""pt-br"")"),"rremediable")</f>
        <v>rremediable</v>
      </c>
      <c r="D5168" s="1" t="str">
        <f>IFERROR(__xludf.DUMMYFUNCTION("GOOGLETRANSLATE(B5168,""en"",""pt-br"")"),"negativo")</f>
        <v>negativo</v>
      </c>
    </row>
    <row r="5169" ht="15.75" customHeight="1">
      <c r="A5169" s="2" t="s">
        <v>5166</v>
      </c>
      <c r="B5169" s="2" t="s">
        <v>3</v>
      </c>
      <c r="C5169" s="1" t="str">
        <f>IFERROR(__xludf.DUMMYFUNCTION("GOOGLETRANSLATE(A5169,""en"",""pt-br"")"),"lixo")</f>
        <v>lixo</v>
      </c>
      <c r="D5169" s="1" t="str">
        <f>IFERROR(__xludf.DUMMYFUNCTION("GOOGLETRANSLATE(B5169,""en"",""pt-br"")"),"negativo")</f>
        <v>negativo</v>
      </c>
    </row>
    <row r="5170" ht="15.75" customHeight="1">
      <c r="A5170" s="2" t="s">
        <v>5167</v>
      </c>
      <c r="B5170" s="2" t="s">
        <v>3</v>
      </c>
      <c r="C5170" s="1" t="str">
        <f>IFERROR(__xludf.DUMMYFUNCTION("GOOGLETRANSLATE(A5170,""en"",""pt-br"")"),"grosseiro")</f>
        <v>grosseiro</v>
      </c>
      <c r="D5170" s="1" t="str">
        <f>IFERROR(__xludf.DUMMYFUNCTION("GOOGLETRANSLATE(B5170,""en"",""pt-br"")"),"negativo")</f>
        <v>negativo</v>
      </c>
    </row>
    <row r="5171" ht="15.75" customHeight="1">
      <c r="A5171" s="2" t="s">
        <v>5168</v>
      </c>
      <c r="B5171" s="2" t="s">
        <v>3</v>
      </c>
      <c r="C5171" s="1" t="str">
        <f>IFERROR(__xludf.DUMMYFUNCTION("GOOGLETRANSLATE(A5171,""en"",""pt-br"")"),"arruda")</f>
        <v>arruda</v>
      </c>
      <c r="D5171" s="1" t="str">
        <f>IFERROR(__xludf.DUMMYFUNCTION("GOOGLETRANSLATE(B5171,""en"",""pt-br"")"),"negativo")</f>
        <v>negativo</v>
      </c>
    </row>
    <row r="5172" ht="15.75" customHeight="1">
      <c r="A5172" s="2" t="s">
        <v>5169</v>
      </c>
      <c r="B5172" s="2" t="s">
        <v>3</v>
      </c>
      <c r="C5172" s="1" t="str">
        <f>IFERROR(__xludf.DUMMYFUNCTION("GOOGLETRANSLATE(A5172,""en"",""pt-br"")"),"rufião")</f>
        <v>rufião</v>
      </c>
      <c r="D5172" s="1" t="str">
        <f>IFERROR(__xludf.DUMMYFUNCTION("GOOGLETRANSLATE(B5172,""en"",""pt-br"")"),"negativo")</f>
        <v>negativo</v>
      </c>
    </row>
    <row r="5173" ht="15.75" customHeight="1">
      <c r="A5173" s="2" t="s">
        <v>5170</v>
      </c>
      <c r="B5173" s="2" t="s">
        <v>3</v>
      </c>
      <c r="C5173" s="1" t="str">
        <f>IFERROR(__xludf.DUMMYFUNCTION("GOOGLETRANSLATE(A5173,""en"",""pt-br"")"),"irritar")</f>
        <v>irritar</v>
      </c>
      <c r="D5173" s="1" t="str">
        <f>IFERROR(__xludf.DUMMYFUNCTION("GOOGLETRANSLATE(B5173,""en"",""pt-br"")"),"negativo")</f>
        <v>negativo</v>
      </c>
    </row>
    <row r="5174" ht="15.75" customHeight="1">
      <c r="A5174" s="2" t="s">
        <v>5171</v>
      </c>
      <c r="B5174" s="2" t="s">
        <v>3</v>
      </c>
      <c r="C5174" s="1" t="str">
        <f>IFERROR(__xludf.DUMMYFUNCTION("GOOGLETRANSLATE(A5174,""en"",""pt-br"")"),"ruína")</f>
        <v>ruína</v>
      </c>
      <c r="D5174" s="1" t="str">
        <f>IFERROR(__xludf.DUMMYFUNCTION("GOOGLETRANSLATE(B5174,""en"",""pt-br"")"),"negativo")</f>
        <v>negativo</v>
      </c>
    </row>
    <row r="5175" ht="15.75" customHeight="1">
      <c r="A5175" s="2" t="s">
        <v>5172</v>
      </c>
      <c r="B5175" s="2" t="s">
        <v>3</v>
      </c>
      <c r="C5175" s="1" t="str">
        <f>IFERROR(__xludf.DUMMYFUNCTION("GOOGLETRANSLATE(A5175,""en"",""pt-br"")"),"arruinado")</f>
        <v>arruinado</v>
      </c>
      <c r="D5175" s="1" t="str">
        <f>IFERROR(__xludf.DUMMYFUNCTION("GOOGLETRANSLATE(B5175,""en"",""pt-br"")"),"negativo")</f>
        <v>negativo</v>
      </c>
    </row>
    <row r="5176" ht="15.75" customHeight="1">
      <c r="A5176" s="2" t="s">
        <v>5173</v>
      </c>
      <c r="B5176" s="2" t="s">
        <v>3</v>
      </c>
      <c r="C5176" s="1" t="str">
        <f>IFERROR(__xludf.DUMMYFUNCTION("GOOGLETRANSLATE(A5176,""en"",""pt-br"")"),"arruinando")</f>
        <v>arruinando</v>
      </c>
      <c r="D5176" s="1" t="str">
        <f>IFERROR(__xludf.DUMMYFUNCTION("GOOGLETRANSLATE(B5176,""en"",""pt-br"")"),"negativo")</f>
        <v>negativo</v>
      </c>
    </row>
    <row r="5177" ht="15.75" customHeight="1">
      <c r="A5177" s="2" t="s">
        <v>5174</v>
      </c>
      <c r="B5177" s="2" t="s">
        <v>3</v>
      </c>
      <c r="C5177" s="1" t="str">
        <f>IFERROR(__xludf.DUMMYFUNCTION("GOOGLETRANSLATE(A5177,""en"",""pt-br"")"),"ruinoso")</f>
        <v>ruinoso</v>
      </c>
      <c r="D5177" s="1" t="str">
        <f>IFERROR(__xludf.DUMMYFUNCTION("GOOGLETRANSLATE(B5177,""en"",""pt-br"")"),"negativo")</f>
        <v>negativo</v>
      </c>
    </row>
    <row r="5178" ht="15.75" customHeight="1">
      <c r="A5178" s="2" t="s">
        <v>5175</v>
      </c>
      <c r="B5178" s="2" t="s">
        <v>3</v>
      </c>
      <c r="C5178" s="1" t="str">
        <f>IFERROR(__xludf.DUMMYFUNCTION("GOOGLETRANSLATE(A5178,""en"",""pt-br"")"),"ruínas")</f>
        <v>ruínas</v>
      </c>
      <c r="D5178" s="1" t="str">
        <f>IFERROR(__xludf.DUMMYFUNCTION("GOOGLETRANSLATE(B5178,""en"",""pt-br"")"),"negativo")</f>
        <v>negativo</v>
      </c>
    </row>
    <row r="5179" ht="15.75" customHeight="1">
      <c r="A5179" s="2" t="s">
        <v>5176</v>
      </c>
      <c r="B5179" s="2" t="s">
        <v>3</v>
      </c>
      <c r="C5179" s="1" t="str">
        <f>IFERROR(__xludf.DUMMYFUNCTION("GOOGLETRANSLATE(A5179,""en"",""pt-br"")"),"retumbando")</f>
        <v>retumbando</v>
      </c>
      <c r="D5179" s="1" t="str">
        <f>IFERROR(__xludf.DUMMYFUNCTION("GOOGLETRANSLATE(B5179,""en"",""pt-br"")"),"negativo")</f>
        <v>negativo</v>
      </c>
    </row>
    <row r="5180" ht="15.75" customHeight="1">
      <c r="A5180" s="2" t="s">
        <v>5177</v>
      </c>
      <c r="B5180" s="2" t="s">
        <v>3</v>
      </c>
      <c r="C5180" s="1" t="str">
        <f>IFERROR(__xludf.DUMMYFUNCTION("GOOGLETRANSLATE(A5180,""en"",""pt-br"")"),"boato")</f>
        <v>boato</v>
      </c>
      <c r="D5180" s="1" t="str">
        <f>IFERROR(__xludf.DUMMYFUNCTION("GOOGLETRANSLATE(B5180,""en"",""pt-br"")"),"negativo")</f>
        <v>negativo</v>
      </c>
    </row>
    <row r="5181" ht="15.75" customHeight="1">
      <c r="A5181" s="2" t="s">
        <v>5178</v>
      </c>
      <c r="B5181" s="2" t="s">
        <v>3</v>
      </c>
      <c r="C5181" s="1" t="str">
        <f>IFERROR(__xludf.DUMMYFUNCTION("GOOGLETRANSLATE(A5181,""en"",""pt-br"")"),"rumores")</f>
        <v>rumores</v>
      </c>
      <c r="D5181" s="1" t="str">
        <f>IFERROR(__xludf.DUMMYFUNCTION("GOOGLETRANSLATE(B5181,""en"",""pt-br"")"),"negativo")</f>
        <v>negativo</v>
      </c>
    </row>
    <row r="5182" ht="15.75" customHeight="1">
      <c r="A5182" s="2" t="s">
        <v>5179</v>
      </c>
      <c r="B5182" s="2" t="s">
        <v>3</v>
      </c>
      <c r="C5182" s="1" t="str">
        <f>IFERROR(__xludf.DUMMYFUNCTION("GOOGLETRANSLATE(A5182,""en"",""pt-br"")"),"rumores")</f>
        <v>rumores</v>
      </c>
      <c r="D5182" s="1" t="str">
        <f>IFERROR(__xludf.DUMMYFUNCTION("GOOGLETRANSLATE(B5182,""en"",""pt-br"")"),"negativo")</f>
        <v>negativo</v>
      </c>
    </row>
    <row r="5183" ht="15.75" customHeight="1">
      <c r="A5183" s="2" t="s">
        <v>5180</v>
      </c>
      <c r="B5183" s="2" t="s">
        <v>3</v>
      </c>
      <c r="C5183" s="1" t="str">
        <f>IFERROR(__xludf.DUMMYFUNCTION("GOOGLETRANSLATE(A5183,""en"",""pt-br"")"),"amarfanhar")</f>
        <v>amarfanhar</v>
      </c>
      <c r="D5183" s="1" t="str">
        <f>IFERROR(__xludf.DUMMYFUNCTION("GOOGLETRANSLATE(B5183,""en"",""pt-br"")"),"negativo")</f>
        <v>negativo</v>
      </c>
    </row>
    <row r="5184" ht="15.75" customHeight="1">
      <c r="A5184" s="2" t="s">
        <v>5181</v>
      </c>
      <c r="B5184" s="2" t="s">
        <v>3</v>
      </c>
      <c r="C5184" s="1" t="str">
        <f>IFERROR(__xludf.DUMMYFUNCTION("GOOGLETRANSLATE(A5184,""en"",""pt-br"")"),"atropelar")</f>
        <v>atropelar</v>
      </c>
      <c r="D5184" s="1" t="str">
        <f>IFERROR(__xludf.DUMMYFUNCTION("GOOGLETRANSLATE(B5184,""en"",""pt-br"")"),"negativo")</f>
        <v>negativo</v>
      </c>
    </row>
    <row r="5185" ht="15.75" customHeight="1">
      <c r="A5185" s="2" t="s">
        <v>5182</v>
      </c>
      <c r="B5185" s="2" t="s">
        <v>3</v>
      </c>
      <c r="C5185" s="1" t="str">
        <f>IFERROR(__xludf.DUMMYFUNCTION("GOOGLETRANSLATE(A5185,""en"",""pt-br"")"),"fugir")</f>
        <v>fugir</v>
      </c>
      <c r="D5185" s="1" t="str">
        <f>IFERROR(__xludf.DUMMYFUNCTION("GOOGLETRANSLATE(B5185,""en"",""pt-br"")"),"negativo")</f>
        <v>negativo</v>
      </c>
    </row>
    <row r="5186" ht="15.75" customHeight="1">
      <c r="A5186" s="2" t="s">
        <v>5183</v>
      </c>
      <c r="B5186" s="2" t="s">
        <v>3</v>
      </c>
      <c r="C5186" s="1" t="str">
        <f>IFERROR(__xludf.DUMMYFUNCTION("GOOGLETRANSLATE(A5186,""en"",""pt-br"")"),"ruptura")</f>
        <v>ruptura</v>
      </c>
      <c r="D5186" s="1" t="str">
        <f>IFERROR(__xludf.DUMMYFUNCTION("GOOGLETRANSLATE(B5186,""en"",""pt-br"")"),"negativo")</f>
        <v>negativo</v>
      </c>
    </row>
    <row r="5187" ht="15.75" customHeight="1">
      <c r="A5187" s="2" t="s">
        <v>5184</v>
      </c>
      <c r="B5187" s="2" t="s">
        <v>3</v>
      </c>
      <c r="C5187" s="1" t="str">
        <f>IFERROR(__xludf.DUMMYFUNCTION("GOOGLETRANSLATE(A5187,""en"",""pt-br"")"),"ferrugem")</f>
        <v>ferrugem</v>
      </c>
      <c r="D5187" s="1" t="str">
        <f>IFERROR(__xludf.DUMMYFUNCTION("GOOGLETRANSLATE(B5187,""en"",""pt-br"")"),"negativo")</f>
        <v>negativo</v>
      </c>
    </row>
    <row r="5188" ht="15.75" customHeight="1">
      <c r="A5188" s="2" t="s">
        <v>5185</v>
      </c>
      <c r="B5188" s="2" t="s">
        <v>3</v>
      </c>
      <c r="C5188" s="1" t="str">
        <f>IFERROR(__xludf.DUMMYFUNCTION("GOOGLETRANSLATE(A5188,""en"",""pt-br"")"),"ferrugens")</f>
        <v>ferrugens</v>
      </c>
      <c r="D5188" s="1" t="str">
        <f>IFERROR(__xludf.DUMMYFUNCTION("GOOGLETRANSLATE(B5188,""en"",""pt-br"")"),"negativo")</f>
        <v>negativo</v>
      </c>
    </row>
    <row r="5189" ht="15.75" customHeight="1">
      <c r="A5189" s="2" t="s">
        <v>5186</v>
      </c>
      <c r="B5189" s="2" t="s">
        <v>3</v>
      </c>
      <c r="C5189" s="1" t="str">
        <f>IFERROR(__xludf.DUMMYFUNCTION("GOOGLETRANSLATE(A5189,""en"",""pt-br"")"),"oxidado")</f>
        <v>oxidado</v>
      </c>
      <c r="D5189" s="1" t="str">
        <f>IFERROR(__xludf.DUMMYFUNCTION("GOOGLETRANSLATE(B5189,""en"",""pt-br"")"),"negativo")</f>
        <v>negativo</v>
      </c>
    </row>
    <row r="5190" ht="15.75" customHeight="1">
      <c r="A5190" s="2" t="s">
        <v>5187</v>
      </c>
      <c r="B5190" s="2" t="s">
        <v>3</v>
      </c>
      <c r="C5190" s="1" t="str">
        <f>IFERROR(__xludf.DUMMYFUNCTION("GOOGLETRANSLATE(A5190,""en"",""pt-br"")"),"rotina")</f>
        <v>rotina</v>
      </c>
      <c r="D5190" s="1" t="str">
        <f>IFERROR(__xludf.DUMMYFUNCTION("GOOGLETRANSLATE(B5190,""en"",""pt-br"")"),"negativo")</f>
        <v>negativo</v>
      </c>
    </row>
    <row r="5191" ht="15.75" customHeight="1">
      <c r="A5191" s="2" t="s">
        <v>5188</v>
      </c>
      <c r="B5191" s="2" t="s">
        <v>3</v>
      </c>
      <c r="C5191" s="1" t="str">
        <f>IFERROR(__xludf.DUMMYFUNCTION("GOOGLETRANSLATE(A5191,""en"",""pt-br"")"),"cruel")</f>
        <v>cruel</v>
      </c>
      <c r="D5191" s="1" t="str">
        <f>IFERROR(__xludf.DUMMYFUNCTION("GOOGLETRANSLATE(B5191,""en"",""pt-br"")"),"negativo")</f>
        <v>negativo</v>
      </c>
    </row>
    <row r="5192" ht="15.75" customHeight="1">
      <c r="A5192" s="2" t="s">
        <v>5189</v>
      </c>
      <c r="B5192" s="2" t="s">
        <v>3</v>
      </c>
      <c r="C5192" s="1" t="str">
        <f>IFERROR(__xludf.DUMMYFUNCTION("GOOGLETRANSLATE(A5192,""en"",""pt-br"")"),"impiedosamente")</f>
        <v>impiedosamente</v>
      </c>
      <c r="D5192" s="1" t="str">
        <f>IFERROR(__xludf.DUMMYFUNCTION("GOOGLETRANSLATE(B5192,""en"",""pt-br"")"),"negativo")</f>
        <v>negativo</v>
      </c>
    </row>
    <row r="5193" ht="15.75" customHeight="1">
      <c r="A5193" s="2" t="s">
        <v>5190</v>
      </c>
      <c r="B5193" s="2" t="s">
        <v>3</v>
      </c>
      <c r="C5193" s="1" t="str">
        <f>IFERROR(__xludf.DUMMYFUNCTION("GOOGLETRANSLATE(A5193,""en"",""pt-br"")"),"crueldade")</f>
        <v>crueldade</v>
      </c>
      <c r="D5193" s="1" t="str">
        <f>IFERROR(__xludf.DUMMYFUNCTION("GOOGLETRANSLATE(B5193,""en"",""pt-br"")"),"negativo")</f>
        <v>negativo</v>
      </c>
    </row>
    <row r="5194" ht="15.75" customHeight="1">
      <c r="A5194" s="2" t="s">
        <v>5191</v>
      </c>
      <c r="B5194" s="2" t="s">
        <v>3</v>
      </c>
      <c r="C5194" s="1" t="str">
        <f>IFERROR(__xludf.DUMMYFUNCTION("GOOGLETRANSLATE(A5194,""en"",""pt-br"")"),"sulcos")</f>
        <v>sulcos</v>
      </c>
      <c r="D5194" s="1" t="str">
        <f>IFERROR(__xludf.DUMMYFUNCTION("GOOGLETRANSLATE(B5194,""en"",""pt-br"")"),"negativo")</f>
        <v>negativo</v>
      </c>
    </row>
    <row r="5195" ht="15.75" customHeight="1">
      <c r="A5195" s="2" t="s">
        <v>5192</v>
      </c>
      <c r="B5195" s="2" t="s">
        <v>3</v>
      </c>
      <c r="C5195" s="1" t="str">
        <f>IFERROR(__xludf.DUMMYFUNCTION("GOOGLETRANSLATE(A5195,""en"",""pt-br"")"),"sabotar")</f>
        <v>sabotar</v>
      </c>
      <c r="D5195" s="1" t="str">
        <f>IFERROR(__xludf.DUMMYFUNCTION("GOOGLETRANSLATE(B5195,""en"",""pt-br"")"),"negativo")</f>
        <v>negativo</v>
      </c>
    </row>
    <row r="5196" ht="15.75" customHeight="1">
      <c r="A5196" s="2" t="s">
        <v>5193</v>
      </c>
      <c r="B5196" s="2" t="s">
        <v>3</v>
      </c>
      <c r="C5196" s="1" t="str">
        <f>IFERROR(__xludf.DUMMYFUNCTION("GOOGLETRANSLATE(A5196,""en"",""pt-br"")"),"saco")</f>
        <v>saco</v>
      </c>
      <c r="D5196" s="1" t="str">
        <f>IFERROR(__xludf.DUMMYFUNCTION("GOOGLETRANSLATE(B5196,""en"",""pt-br"")"),"negativo")</f>
        <v>negativo</v>
      </c>
    </row>
    <row r="5197" ht="15.75" customHeight="1">
      <c r="A5197" s="2" t="s">
        <v>5194</v>
      </c>
      <c r="B5197" s="2" t="s">
        <v>3</v>
      </c>
      <c r="C5197" s="1" t="str">
        <f>IFERROR(__xludf.DUMMYFUNCTION("GOOGLETRANSLATE(A5197,""en"",""pt-br"")"),"sacrificado")</f>
        <v>sacrificado</v>
      </c>
      <c r="D5197" s="1" t="str">
        <f>IFERROR(__xludf.DUMMYFUNCTION("GOOGLETRANSLATE(B5197,""en"",""pt-br"")"),"negativo")</f>
        <v>negativo</v>
      </c>
    </row>
    <row r="5198" ht="15.75" customHeight="1">
      <c r="A5198" s="2" t="s">
        <v>5195</v>
      </c>
      <c r="B5198" s="2" t="s">
        <v>3</v>
      </c>
      <c r="C5198" s="1" t="str">
        <f>IFERROR(__xludf.DUMMYFUNCTION("GOOGLETRANSLATE(A5198,""en"",""pt-br"")"),"triste")</f>
        <v>triste</v>
      </c>
      <c r="D5198" s="1" t="str">
        <f>IFERROR(__xludf.DUMMYFUNCTION("GOOGLETRANSLATE(B5198,""en"",""pt-br"")"),"negativo")</f>
        <v>negativo</v>
      </c>
    </row>
    <row r="5199" ht="15.75" customHeight="1">
      <c r="A5199" s="2" t="s">
        <v>5196</v>
      </c>
      <c r="B5199" s="2" t="s">
        <v>3</v>
      </c>
      <c r="C5199" s="1" t="str">
        <f>IFERROR(__xludf.DUMMYFUNCTION("GOOGLETRANSLATE(A5199,""en"",""pt-br"")"),"entristecer")</f>
        <v>entristecer</v>
      </c>
      <c r="D5199" s="1" t="str">
        <f>IFERROR(__xludf.DUMMYFUNCTION("GOOGLETRANSLATE(B5199,""en"",""pt-br"")"),"negativo")</f>
        <v>negativo</v>
      </c>
    </row>
    <row r="5200" ht="15.75" customHeight="1">
      <c r="A5200" s="2" t="s">
        <v>5197</v>
      </c>
      <c r="B5200" s="2" t="s">
        <v>3</v>
      </c>
      <c r="C5200" s="1" t="str">
        <f>IFERROR(__xludf.DUMMYFUNCTION("GOOGLETRANSLATE(A5200,""en"",""pt-br"")"),"Infelizmente")</f>
        <v>Infelizmente</v>
      </c>
      <c r="D5200" s="1" t="str">
        <f>IFERROR(__xludf.DUMMYFUNCTION("GOOGLETRANSLATE(B5200,""en"",""pt-br"")"),"negativo")</f>
        <v>negativo</v>
      </c>
    </row>
    <row r="5201" ht="15.75" customHeight="1">
      <c r="A5201" s="2" t="s">
        <v>5198</v>
      </c>
      <c r="B5201" s="2" t="s">
        <v>3</v>
      </c>
      <c r="C5201" s="1" t="str">
        <f>IFERROR(__xludf.DUMMYFUNCTION("GOOGLETRANSLATE(A5201,""en"",""pt-br"")"),"tristeza")</f>
        <v>tristeza</v>
      </c>
      <c r="D5201" s="1" t="str">
        <f>IFERROR(__xludf.DUMMYFUNCTION("GOOGLETRANSLATE(B5201,""en"",""pt-br"")"),"negativo")</f>
        <v>negativo</v>
      </c>
    </row>
    <row r="5202" ht="15.75" customHeight="1">
      <c r="A5202" s="2" t="s">
        <v>5199</v>
      </c>
      <c r="B5202" s="2" t="s">
        <v>14</v>
      </c>
      <c r="C5202" s="1" t="str">
        <f>IFERROR(__xludf.DUMMYFUNCTION("GOOGLETRANSLATE(A5202,""en"",""pt-br"")"),"seguro")</f>
        <v>seguro</v>
      </c>
      <c r="D5202" s="1" t="str">
        <f>IFERROR(__xludf.DUMMYFUNCTION("GOOGLETRANSLATE(B5202,""en"",""pt-br"")"),"positivo")</f>
        <v>positivo</v>
      </c>
    </row>
    <row r="5203" ht="15.75" customHeight="1">
      <c r="A5203" s="2" t="s">
        <v>5200</v>
      </c>
      <c r="B5203" s="2" t="s">
        <v>14</v>
      </c>
      <c r="C5203" s="1" t="str">
        <f>IFERROR(__xludf.DUMMYFUNCTION("GOOGLETRANSLATE(A5203,""en"",""pt-br"")"),"seguramente")</f>
        <v>seguramente</v>
      </c>
      <c r="D5203" s="1" t="str">
        <f>IFERROR(__xludf.DUMMYFUNCTION("GOOGLETRANSLATE(B5203,""en"",""pt-br"")"),"positivo")</f>
        <v>positivo</v>
      </c>
    </row>
    <row r="5204" ht="15.75" customHeight="1">
      <c r="A5204" s="2" t="s">
        <v>5201</v>
      </c>
      <c r="B5204" s="2" t="s">
        <v>3</v>
      </c>
      <c r="C5204" s="1" t="str">
        <f>IFERROR(__xludf.DUMMYFUNCTION("GOOGLETRANSLATE(A5204,""en"",""pt-br"")"),"decair")</f>
        <v>decair</v>
      </c>
      <c r="D5204" s="1" t="str">
        <f>IFERROR(__xludf.DUMMYFUNCTION("GOOGLETRANSLATE(B5204,""en"",""pt-br"")"),"negativo")</f>
        <v>negativo</v>
      </c>
    </row>
    <row r="5205" ht="15.75" customHeight="1">
      <c r="A5205" s="2" t="s">
        <v>5202</v>
      </c>
      <c r="B5205" s="2" t="s">
        <v>14</v>
      </c>
      <c r="C5205" s="1" t="str">
        <f>IFERROR(__xludf.DUMMYFUNCTION("GOOGLETRANSLATE(A5205,""en"",""pt-br"")"),"sagacidade")</f>
        <v>sagacidade</v>
      </c>
      <c r="D5205" s="1" t="str">
        <f>IFERROR(__xludf.DUMMYFUNCTION("GOOGLETRANSLATE(B5205,""en"",""pt-br"")"),"positivo")</f>
        <v>positivo</v>
      </c>
    </row>
    <row r="5206" ht="15.75" customHeight="1">
      <c r="A5206" s="2" t="s">
        <v>5203</v>
      </c>
      <c r="B5206" s="2" t="s">
        <v>14</v>
      </c>
      <c r="C5206" s="1" t="str">
        <f>IFERROR(__xludf.DUMMYFUNCTION("GOOGLETRANSLATE(A5206,""en"",""pt-br"")"),"sagely")</f>
        <v>sagely</v>
      </c>
      <c r="D5206" s="1" t="str">
        <f>IFERROR(__xludf.DUMMYFUNCTION("GOOGLETRANSLATE(B5206,""en"",""pt-br"")"),"positivo")</f>
        <v>positivo</v>
      </c>
    </row>
    <row r="5207" ht="15.75" customHeight="1">
      <c r="A5207" s="2" t="s">
        <v>5204</v>
      </c>
      <c r="B5207" s="2" t="s">
        <v>3</v>
      </c>
      <c r="C5207" s="1" t="str">
        <f>IFERROR(__xludf.DUMMYFUNCTION("GOOGLETRANSLATE(A5207,""en"",""pt-br"")"),"cederam")</f>
        <v>cederam</v>
      </c>
      <c r="D5207" s="1" t="str">
        <f>IFERROR(__xludf.DUMMYFUNCTION("GOOGLETRANSLATE(B5207,""en"",""pt-br"")"),"negativo")</f>
        <v>negativo</v>
      </c>
    </row>
    <row r="5208" ht="15.75" customHeight="1">
      <c r="A5208" s="2" t="s">
        <v>5205</v>
      </c>
      <c r="B5208" s="2" t="s">
        <v>3</v>
      </c>
      <c r="C5208" s="1" t="str">
        <f>IFERROR(__xludf.DUMMYFUNCTION("GOOGLETRANSLATE(A5208,""en"",""pt-br"")"),"flacidez")</f>
        <v>flacidez</v>
      </c>
      <c r="D5208" s="1" t="str">
        <f>IFERROR(__xludf.DUMMYFUNCTION("GOOGLETRANSLATE(B5208,""en"",""pt-br"")"),"negativo")</f>
        <v>negativo</v>
      </c>
    </row>
    <row r="5209" ht="15.75" customHeight="1">
      <c r="A5209" s="2" t="s">
        <v>5206</v>
      </c>
      <c r="B5209" s="2" t="s">
        <v>3</v>
      </c>
      <c r="C5209" s="1" t="str">
        <f>IFERROR(__xludf.DUMMYFUNCTION("GOOGLETRANSLATE(A5209,""en"",""pt-br"")"),"saggy")</f>
        <v>saggy</v>
      </c>
      <c r="D5209" s="1" t="str">
        <f>IFERROR(__xludf.DUMMYFUNCTION("GOOGLETRANSLATE(B5209,""en"",""pt-br"")"),"negativo")</f>
        <v>negativo</v>
      </c>
    </row>
    <row r="5210" ht="15.75" customHeight="1">
      <c r="A5210" s="2" t="s">
        <v>5207</v>
      </c>
      <c r="B5210" s="2" t="s">
        <v>3</v>
      </c>
      <c r="C5210" s="1" t="str">
        <f>IFERROR(__xludf.DUMMYFUNCTION("GOOGLETRANSLATE(A5210,""en"",""pt-br"")"),"afundamentos")</f>
        <v>afundamentos</v>
      </c>
      <c r="D5210" s="1" t="str">
        <f>IFERROR(__xludf.DUMMYFUNCTION("GOOGLETRANSLATE(B5210,""en"",""pt-br"")"),"negativo")</f>
        <v>negativo</v>
      </c>
    </row>
    <row r="5211" ht="15.75" customHeight="1">
      <c r="A5211" s="2" t="s">
        <v>5208</v>
      </c>
      <c r="B5211" s="2" t="s">
        <v>14</v>
      </c>
      <c r="C5211" s="1" t="str">
        <f>IFERROR(__xludf.DUMMYFUNCTION("GOOGLETRANSLATE(A5211,""en"",""pt-br"")"),"santo")</f>
        <v>santo</v>
      </c>
      <c r="D5211" s="1" t="str">
        <f>IFERROR(__xludf.DUMMYFUNCTION("GOOGLETRANSLATE(B5211,""en"",""pt-br"")"),"positivo")</f>
        <v>positivo</v>
      </c>
    </row>
    <row r="5212" ht="15.75" customHeight="1">
      <c r="A5212" s="2" t="s">
        <v>5209</v>
      </c>
      <c r="B5212" s="2" t="s">
        <v>14</v>
      </c>
      <c r="C5212" s="1" t="str">
        <f>IFERROR(__xludf.DUMMYFUNCTION("GOOGLETRANSLATE(A5212,""en"",""pt-br"")"),"santidade")</f>
        <v>santidade</v>
      </c>
      <c r="D5212" s="1" t="str">
        <f>IFERROR(__xludf.DUMMYFUNCTION("GOOGLETRANSLATE(B5212,""en"",""pt-br"")"),"positivo")</f>
        <v>positivo</v>
      </c>
    </row>
    <row r="5213" ht="15.75" customHeight="1">
      <c r="A5213" s="2" t="s">
        <v>5210</v>
      </c>
      <c r="B5213" s="2" t="s">
        <v>14</v>
      </c>
      <c r="C5213" s="1" t="str">
        <f>IFERROR(__xludf.DUMMYFUNCTION("GOOGLETRANSLATE(A5213,""en"",""pt-br"")"),"santo")</f>
        <v>santo</v>
      </c>
      <c r="D5213" s="1" t="str">
        <f>IFERROR(__xludf.DUMMYFUNCTION("GOOGLETRANSLATE(B5213,""en"",""pt-br"")"),"positivo")</f>
        <v>positivo</v>
      </c>
    </row>
    <row r="5214" ht="15.75" customHeight="1">
      <c r="A5214" s="2" t="s">
        <v>5211</v>
      </c>
      <c r="B5214" s="2" t="s">
        <v>3</v>
      </c>
      <c r="C5214" s="1" t="str">
        <f>IFERROR(__xludf.DUMMYFUNCTION("GOOGLETRANSLATE(A5214,""en"",""pt-br"")"),"salaz")</f>
        <v>salaz</v>
      </c>
      <c r="D5214" s="1" t="str">
        <f>IFERROR(__xludf.DUMMYFUNCTION("GOOGLETRANSLATE(B5214,""en"",""pt-br"")"),"negativo")</f>
        <v>negativo</v>
      </c>
    </row>
    <row r="5215" ht="15.75" customHeight="1">
      <c r="A5215" s="2" t="s">
        <v>5212</v>
      </c>
      <c r="B5215" s="2" t="s">
        <v>14</v>
      </c>
      <c r="C5215" s="1" t="str">
        <f>IFERROR(__xludf.DUMMYFUNCTION("GOOGLETRANSLATE(A5215,""en"",""pt-br"")"),"salutar")</f>
        <v>salutar</v>
      </c>
      <c r="D5215" s="1" t="str">
        <f>IFERROR(__xludf.DUMMYFUNCTION("GOOGLETRANSLATE(B5215,""en"",""pt-br"")"),"positivo")</f>
        <v>positivo</v>
      </c>
    </row>
    <row r="5216" ht="15.75" customHeight="1">
      <c r="A5216" s="2" t="s">
        <v>5213</v>
      </c>
      <c r="B5216" s="2" t="s">
        <v>14</v>
      </c>
      <c r="C5216" s="1" t="str">
        <f>IFERROR(__xludf.DUMMYFUNCTION("GOOGLETRANSLATE(A5216,""en"",""pt-br"")"),"saudação")</f>
        <v>saudação</v>
      </c>
      <c r="D5216" s="1" t="str">
        <f>IFERROR(__xludf.DUMMYFUNCTION("GOOGLETRANSLATE(B5216,""en"",""pt-br"")"),"positivo")</f>
        <v>positivo</v>
      </c>
    </row>
    <row r="5217" ht="15.75" customHeight="1">
      <c r="A5217" s="2" t="s">
        <v>5214</v>
      </c>
      <c r="B5217" s="2" t="s">
        <v>3</v>
      </c>
      <c r="C5217" s="1" t="str">
        <f>IFERROR(__xludf.DUMMYFUNCTION("GOOGLETRANSLATE(A5217,""en"",""pt-br"")"),"hipócrita")</f>
        <v>hipócrita</v>
      </c>
      <c r="D5217" s="1" t="str">
        <f>IFERROR(__xludf.DUMMYFUNCTION("GOOGLETRANSLATE(B5217,""en"",""pt-br"")"),"negativo")</f>
        <v>negativo</v>
      </c>
    </row>
    <row r="5218" ht="15.75" customHeight="1">
      <c r="A5218" s="2" t="s">
        <v>5215</v>
      </c>
      <c r="B5218" s="2" t="s">
        <v>14</v>
      </c>
      <c r="C5218" s="1" t="str">
        <f>IFERROR(__xludf.DUMMYFUNCTION("GOOGLETRANSLATE(A5218,""en"",""pt-br"")"),"sensato")</f>
        <v>sensato</v>
      </c>
      <c r="D5218" s="1" t="str">
        <f>IFERROR(__xludf.DUMMYFUNCTION("GOOGLETRANSLATE(B5218,""en"",""pt-br"")"),"positivo")</f>
        <v>positivo</v>
      </c>
    </row>
    <row r="5219" ht="15.75" customHeight="1">
      <c r="A5219" s="2" t="s">
        <v>5216</v>
      </c>
      <c r="B5219" s="2" t="s">
        <v>3</v>
      </c>
      <c r="C5219" s="1" t="str">
        <f>IFERROR(__xludf.DUMMYFUNCTION("GOOGLETRANSLATE(A5219,""en"",""pt-br"")"),"seiva")</f>
        <v>seiva</v>
      </c>
      <c r="D5219" s="1" t="str">
        <f>IFERROR(__xludf.DUMMYFUNCTION("GOOGLETRANSLATE(B5219,""en"",""pt-br"")"),"negativo")</f>
        <v>negativo</v>
      </c>
    </row>
    <row r="5220" ht="15.75" customHeight="1">
      <c r="A5220" s="2" t="s">
        <v>5217</v>
      </c>
      <c r="B5220" s="2" t="s">
        <v>3</v>
      </c>
      <c r="C5220" s="1" t="str">
        <f>IFERROR(__xludf.DUMMYFUNCTION("GOOGLETRANSLATE(A5220,""en"",""pt-br"")"),"sarcasmo")</f>
        <v>sarcasmo</v>
      </c>
      <c r="D5220" s="1" t="str">
        <f>IFERROR(__xludf.DUMMYFUNCTION("GOOGLETRANSLATE(B5220,""en"",""pt-br"")"),"negativo")</f>
        <v>negativo</v>
      </c>
    </row>
    <row r="5221" ht="15.75" customHeight="1">
      <c r="A5221" s="2" t="s">
        <v>5218</v>
      </c>
      <c r="B5221" s="2" t="s">
        <v>3</v>
      </c>
      <c r="C5221" s="1" t="str">
        <f>IFERROR(__xludf.DUMMYFUNCTION("GOOGLETRANSLATE(A5221,""en"",""pt-br"")"),"sarcástico")</f>
        <v>sarcástico</v>
      </c>
      <c r="D5221" s="1" t="str">
        <f>IFERROR(__xludf.DUMMYFUNCTION("GOOGLETRANSLATE(B5221,""en"",""pt-br"")"),"negativo")</f>
        <v>negativo</v>
      </c>
    </row>
    <row r="5222" ht="15.75" customHeight="1">
      <c r="A5222" s="2" t="s">
        <v>5219</v>
      </c>
      <c r="B5222" s="2" t="s">
        <v>3</v>
      </c>
      <c r="C5222" s="1" t="str">
        <f>IFERROR(__xludf.DUMMYFUNCTION("GOOGLETRANSLATE(A5222,""en"",""pt-br"")"),"sarcasticamente")</f>
        <v>sarcasticamente</v>
      </c>
      <c r="D5222" s="1" t="str">
        <f>IFERROR(__xludf.DUMMYFUNCTION("GOOGLETRANSLATE(B5222,""en"",""pt-br"")"),"negativo")</f>
        <v>negativo</v>
      </c>
    </row>
    <row r="5223" ht="15.75" customHeight="1">
      <c r="A5223" s="2" t="s">
        <v>5220</v>
      </c>
      <c r="B5223" s="2" t="s">
        <v>3</v>
      </c>
      <c r="C5223" s="1" t="str">
        <f>IFERROR(__xludf.DUMMYFUNCTION("GOOGLETRANSLATE(A5223,""en"",""pt-br"")"),"sardônico")</f>
        <v>sardônico</v>
      </c>
      <c r="D5223" s="1" t="str">
        <f>IFERROR(__xludf.DUMMYFUNCTION("GOOGLETRANSLATE(B5223,""en"",""pt-br"")"),"negativo")</f>
        <v>negativo</v>
      </c>
    </row>
    <row r="5224" ht="15.75" customHeight="1">
      <c r="A5224" s="2" t="s">
        <v>5221</v>
      </c>
      <c r="B5224" s="2" t="s">
        <v>3</v>
      </c>
      <c r="C5224" s="1" t="str">
        <f>IFERROR(__xludf.DUMMYFUNCTION("GOOGLETRANSLATE(A5224,""en"",""pt-br"")"),"sardonicamente")</f>
        <v>sardonicamente</v>
      </c>
      <c r="D5224" s="1" t="str">
        <f>IFERROR(__xludf.DUMMYFUNCTION("GOOGLETRANSLATE(B5224,""en"",""pt-br"")"),"negativo")</f>
        <v>negativo</v>
      </c>
    </row>
    <row r="5225" ht="15.75" customHeight="1">
      <c r="A5225" s="2" t="s">
        <v>5222</v>
      </c>
      <c r="B5225" s="2" t="s">
        <v>3</v>
      </c>
      <c r="C5225" s="1" t="str">
        <f>IFERROR(__xludf.DUMMYFUNCTION("GOOGLETRANSLATE(A5225,""en"",""pt-br"")"),"insolência")</f>
        <v>insolência</v>
      </c>
      <c r="D5225" s="1" t="str">
        <f>IFERROR(__xludf.DUMMYFUNCTION("GOOGLETRANSLATE(B5225,""en"",""pt-br"")"),"negativo")</f>
        <v>negativo</v>
      </c>
    </row>
    <row r="5226" ht="15.75" customHeight="1">
      <c r="A5226" s="2" t="s">
        <v>5223</v>
      </c>
      <c r="B5226" s="2" t="s">
        <v>3</v>
      </c>
      <c r="C5226" s="1" t="str">
        <f>IFERROR(__xludf.DUMMYFUNCTION("GOOGLETRANSLATE(A5226,""en"",""pt-br"")"),"satírico")</f>
        <v>satírico</v>
      </c>
      <c r="D5226" s="1" t="str">
        <f>IFERROR(__xludf.DUMMYFUNCTION("GOOGLETRANSLATE(B5226,""en"",""pt-br"")"),"negativo")</f>
        <v>negativo</v>
      </c>
    </row>
    <row r="5227" ht="15.75" customHeight="1">
      <c r="A5227" s="2" t="s">
        <v>5224</v>
      </c>
      <c r="B5227" s="2" t="s">
        <v>3</v>
      </c>
      <c r="C5227" s="1" t="str">
        <f>IFERROR(__xludf.DUMMYFUNCTION("GOOGLETRANSLATE(A5227,""en"",""pt-br"")"),"satirizar")</f>
        <v>satirizar</v>
      </c>
      <c r="D5227" s="1" t="str">
        <f>IFERROR(__xludf.DUMMYFUNCTION("GOOGLETRANSLATE(B5227,""en"",""pt-br"")"),"negativo")</f>
        <v>negativo</v>
      </c>
    </row>
    <row r="5228" ht="15.75" customHeight="1">
      <c r="A5228" s="2" t="s">
        <v>5225</v>
      </c>
      <c r="B5228" s="2" t="s">
        <v>14</v>
      </c>
      <c r="C5228" s="1" t="str">
        <f>IFERROR(__xludf.DUMMYFUNCTION("GOOGLETRANSLATE(A5228,""en"",""pt-br"")"),"satisfatoriamente")</f>
        <v>satisfatoriamente</v>
      </c>
      <c r="D5228" s="1" t="str">
        <f>IFERROR(__xludf.DUMMYFUNCTION("GOOGLETRANSLATE(B5228,""en"",""pt-br"")"),"positivo")</f>
        <v>positivo</v>
      </c>
    </row>
    <row r="5229" ht="15.75" customHeight="1">
      <c r="A5229" s="2" t="s">
        <v>5226</v>
      </c>
      <c r="B5229" s="2" t="s">
        <v>14</v>
      </c>
      <c r="C5229" s="1" t="str">
        <f>IFERROR(__xludf.DUMMYFUNCTION("GOOGLETRANSLATE(A5229,""en"",""pt-br"")"),"satisfatório")</f>
        <v>satisfatório</v>
      </c>
      <c r="D5229" s="1" t="str">
        <f>IFERROR(__xludf.DUMMYFUNCTION("GOOGLETRANSLATE(B5229,""en"",""pt-br"")"),"positivo")</f>
        <v>positivo</v>
      </c>
    </row>
    <row r="5230" ht="15.75" customHeight="1">
      <c r="A5230" s="2" t="s">
        <v>5227</v>
      </c>
      <c r="B5230" s="2" t="s">
        <v>14</v>
      </c>
      <c r="C5230" s="1" t="str">
        <f>IFERROR(__xludf.DUMMYFUNCTION("GOOGLETRANSLATE(A5230,""en"",""pt-br"")"),"satisfeito")</f>
        <v>satisfeito</v>
      </c>
      <c r="D5230" s="1" t="str">
        <f>IFERROR(__xludf.DUMMYFUNCTION("GOOGLETRANSLATE(B5230,""en"",""pt-br"")"),"positivo")</f>
        <v>positivo</v>
      </c>
    </row>
    <row r="5231" ht="15.75" customHeight="1">
      <c r="A5231" s="2" t="s">
        <v>5228</v>
      </c>
      <c r="B5231" s="2" t="s">
        <v>14</v>
      </c>
      <c r="C5231" s="1" t="str">
        <f>IFERROR(__xludf.DUMMYFUNCTION("GOOGLETRANSLATE(A5231,""en"",""pt-br"")"),"satisfaz")</f>
        <v>satisfaz</v>
      </c>
      <c r="D5231" s="1" t="str">
        <f>IFERROR(__xludf.DUMMYFUNCTION("GOOGLETRANSLATE(B5231,""en"",""pt-br"")"),"positivo")</f>
        <v>positivo</v>
      </c>
    </row>
    <row r="5232" ht="15.75" customHeight="1">
      <c r="A5232" s="2" t="s">
        <v>5229</v>
      </c>
      <c r="B5232" s="2" t="s">
        <v>14</v>
      </c>
      <c r="C5232" s="1" t="str">
        <f>IFERROR(__xludf.DUMMYFUNCTION("GOOGLETRANSLATE(A5232,""en"",""pt-br"")"),"satisfazer")</f>
        <v>satisfazer</v>
      </c>
      <c r="D5232" s="1" t="str">
        <f>IFERROR(__xludf.DUMMYFUNCTION("GOOGLETRANSLATE(B5232,""en"",""pt-br"")"),"positivo")</f>
        <v>positivo</v>
      </c>
    </row>
    <row r="5233" ht="15.75" customHeight="1">
      <c r="A5233" s="2" t="s">
        <v>5230</v>
      </c>
      <c r="B5233" s="2" t="s">
        <v>14</v>
      </c>
      <c r="C5233" s="1" t="str">
        <f>IFERROR(__xludf.DUMMYFUNCTION("GOOGLETRANSLATE(A5233,""en"",""pt-br"")"),"satisfazendo")</f>
        <v>satisfazendo</v>
      </c>
      <c r="D5233" s="1" t="str">
        <f>IFERROR(__xludf.DUMMYFUNCTION("GOOGLETRANSLATE(B5233,""en"",""pt-br"")"),"positivo")</f>
        <v>positivo</v>
      </c>
    </row>
    <row r="5234" ht="15.75" customHeight="1">
      <c r="A5234" s="2" t="s">
        <v>5231</v>
      </c>
      <c r="B5234" s="2" t="s">
        <v>14</v>
      </c>
      <c r="C5234" s="1" t="str">
        <f>IFERROR(__xludf.DUMMYFUNCTION("GOOGLETRANSLATE(A5234,""en"",""pt-br"")"),"satisified")</f>
        <v>satisified</v>
      </c>
      <c r="D5234" s="1" t="str">
        <f>IFERROR(__xludf.DUMMYFUNCTION("GOOGLETRANSLATE(B5234,""en"",""pt-br"")"),"positivo")</f>
        <v>positivo</v>
      </c>
    </row>
    <row r="5235" ht="15.75" customHeight="1">
      <c r="A5235" s="2" t="s">
        <v>5232</v>
      </c>
      <c r="B5235" s="2" t="s">
        <v>3</v>
      </c>
      <c r="C5235" s="1" t="str">
        <f>IFERROR(__xludf.DUMMYFUNCTION("GOOGLETRANSLATE(A5235,""en"",""pt-br"")"),"selvagem")</f>
        <v>selvagem</v>
      </c>
      <c r="D5235" s="1" t="str">
        <f>IFERROR(__xludf.DUMMYFUNCTION("GOOGLETRANSLATE(B5235,""en"",""pt-br"")"),"negativo")</f>
        <v>negativo</v>
      </c>
    </row>
    <row r="5236" ht="15.75" customHeight="1">
      <c r="A5236" s="2" t="s">
        <v>5233</v>
      </c>
      <c r="B5236" s="2" t="s">
        <v>3</v>
      </c>
      <c r="C5236" s="1" t="str">
        <f>IFERROR(__xludf.DUMMYFUNCTION("GOOGLETRANSLATE(A5236,""en"",""pt-br"")"),"savaged")</f>
        <v>savaged</v>
      </c>
      <c r="D5236" s="1" t="str">
        <f>IFERROR(__xludf.DUMMYFUNCTION("GOOGLETRANSLATE(B5236,""en"",""pt-br"")"),"negativo")</f>
        <v>negativo</v>
      </c>
    </row>
    <row r="5237" ht="15.75" customHeight="1">
      <c r="A5237" s="2" t="s">
        <v>5234</v>
      </c>
      <c r="B5237" s="2" t="s">
        <v>3</v>
      </c>
      <c r="C5237" s="1" t="str">
        <f>IFERROR(__xludf.DUMMYFUNCTION("GOOGLETRANSLATE(A5237,""en"",""pt-br"")"),"selvageria")</f>
        <v>selvageria</v>
      </c>
      <c r="D5237" s="1" t="str">
        <f>IFERROR(__xludf.DUMMYFUNCTION("GOOGLETRANSLATE(B5237,""en"",""pt-br"")"),"negativo")</f>
        <v>negativo</v>
      </c>
    </row>
    <row r="5238" ht="15.75" customHeight="1">
      <c r="A5238" s="2" t="s">
        <v>5235</v>
      </c>
      <c r="B5238" s="2" t="s">
        <v>3</v>
      </c>
      <c r="C5238" s="1" t="str">
        <f>IFERROR(__xludf.DUMMYFUNCTION("GOOGLETRANSLATE(A5238,""en"",""pt-br"")"),"selvagens")</f>
        <v>selvagens</v>
      </c>
      <c r="D5238" s="1" t="str">
        <f>IFERROR(__xludf.DUMMYFUNCTION("GOOGLETRANSLATE(B5238,""en"",""pt-br"")"),"negativo")</f>
        <v>negativo</v>
      </c>
    </row>
    <row r="5239" ht="15.75" customHeight="1">
      <c r="A5239" s="2" t="s">
        <v>5236</v>
      </c>
      <c r="B5239" s="2" t="s">
        <v>14</v>
      </c>
      <c r="C5239" s="1" t="str">
        <f>IFERROR(__xludf.DUMMYFUNCTION("GOOGLETRANSLATE(A5239,""en"",""pt-br"")"),"salvador")</f>
        <v>salvador</v>
      </c>
      <c r="D5239" s="1" t="str">
        <f>IFERROR(__xludf.DUMMYFUNCTION("GOOGLETRANSLATE(B5239,""en"",""pt-br"")"),"positivo")</f>
        <v>positivo</v>
      </c>
    </row>
    <row r="5240" ht="15.75" customHeight="1">
      <c r="A5240" s="2" t="s">
        <v>5237</v>
      </c>
      <c r="B5240" s="2" t="s">
        <v>14</v>
      </c>
      <c r="C5240" s="1" t="str">
        <f>IFERROR(__xludf.DUMMYFUNCTION("GOOGLETRANSLATE(A5240,""en"",""pt-br"")"),"poupança")</f>
        <v>poupança</v>
      </c>
      <c r="D5240" s="1" t="str">
        <f>IFERROR(__xludf.DUMMYFUNCTION("GOOGLETRANSLATE(B5240,""en"",""pt-br"")"),"positivo")</f>
        <v>positivo</v>
      </c>
    </row>
    <row r="5241" ht="15.75" customHeight="1">
      <c r="A5241" s="2" t="s">
        <v>5238</v>
      </c>
      <c r="B5241" s="2" t="s">
        <v>14</v>
      </c>
      <c r="C5241" s="1" t="str">
        <f>IFERROR(__xludf.DUMMYFUNCTION("GOOGLETRANSLATE(A5241,""en"",""pt-br"")"),"salvador")</f>
        <v>salvador</v>
      </c>
      <c r="D5241" s="1" t="str">
        <f>IFERROR(__xludf.DUMMYFUNCTION("GOOGLETRANSLATE(B5241,""en"",""pt-br"")"),"positivo")</f>
        <v>positivo</v>
      </c>
    </row>
    <row r="5242" ht="15.75" customHeight="1">
      <c r="A5242" s="2" t="s">
        <v>5239</v>
      </c>
      <c r="B5242" s="2" t="s">
        <v>14</v>
      </c>
      <c r="C5242" s="1" t="str">
        <f>IFERROR(__xludf.DUMMYFUNCTION("GOOGLETRANSLATE(A5242,""en"",""pt-br"")"),"experiente")</f>
        <v>experiente</v>
      </c>
      <c r="D5242" s="1" t="str">
        <f>IFERROR(__xludf.DUMMYFUNCTION("GOOGLETRANSLATE(B5242,""en"",""pt-br"")"),"positivo")</f>
        <v>positivo</v>
      </c>
    </row>
    <row r="5243" ht="15.75" customHeight="1">
      <c r="A5243" s="2" t="s">
        <v>5240</v>
      </c>
      <c r="B5243" s="2" t="s">
        <v>3</v>
      </c>
      <c r="C5243" s="1" t="str">
        <f>IFERROR(__xludf.DUMMYFUNCTION("GOOGLETRANSLATE(A5243,""en"",""pt-br"")"),"escamoso")</f>
        <v>escamoso</v>
      </c>
      <c r="D5243" s="1" t="str">
        <f>IFERROR(__xludf.DUMMYFUNCTION("GOOGLETRANSLATE(B5243,""en"",""pt-br"")"),"negativo")</f>
        <v>negativo</v>
      </c>
    </row>
    <row r="5244" ht="15.75" customHeight="1">
      <c r="A5244" s="2" t="s">
        <v>5241</v>
      </c>
      <c r="B5244" s="2" t="s">
        <v>3</v>
      </c>
      <c r="C5244" s="1" t="str">
        <f>IFERROR(__xludf.DUMMYFUNCTION("GOOGLETRANSLATE(A5244,""en"",""pt-br"")"),"golpe")</f>
        <v>golpe</v>
      </c>
      <c r="D5244" s="1" t="str">
        <f>IFERROR(__xludf.DUMMYFUNCTION("GOOGLETRANSLATE(B5244,""en"",""pt-br"")"),"negativo")</f>
        <v>negativo</v>
      </c>
    </row>
    <row r="5245" ht="15.75" customHeight="1">
      <c r="A5245" s="2" t="s">
        <v>5242</v>
      </c>
      <c r="B5245" s="2" t="s">
        <v>3</v>
      </c>
      <c r="C5245" s="1" t="str">
        <f>IFERROR(__xludf.DUMMYFUNCTION("GOOGLETRANSLATE(A5245,""en"",""pt-br"")"),"scams")</f>
        <v>scams</v>
      </c>
      <c r="D5245" s="1" t="str">
        <f>IFERROR(__xludf.DUMMYFUNCTION("GOOGLETRANSLATE(B5245,""en"",""pt-br"")"),"negativo")</f>
        <v>negativo</v>
      </c>
    </row>
    <row r="5246" ht="15.75" customHeight="1">
      <c r="A5246" s="2" t="s">
        <v>5243</v>
      </c>
      <c r="B5246" s="2" t="s">
        <v>3</v>
      </c>
      <c r="C5246" s="1" t="str">
        <f>IFERROR(__xludf.DUMMYFUNCTION("GOOGLETRANSLATE(A5246,""en"",""pt-br"")"),"escândalo")</f>
        <v>escândalo</v>
      </c>
      <c r="D5246" s="1" t="str">
        <f>IFERROR(__xludf.DUMMYFUNCTION("GOOGLETRANSLATE(B5246,""en"",""pt-br"")"),"negativo")</f>
        <v>negativo</v>
      </c>
    </row>
    <row r="5247" ht="15.75" customHeight="1">
      <c r="A5247" s="2" t="s">
        <v>5244</v>
      </c>
      <c r="B5247" s="2" t="s">
        <v>3</v>
      </c>
      <c r="C5247" s="1" t="str">
        <f>IFERROR(__xludf.DUMMYFUNCTION("GOOGLETRANSLATE(A5247,""en"",""pt-br"")"),"escandalizar")</f>
        <v>escandalizar</v>
      </c>
      <c r="D5247" s="1" t="str">
        <f>IFERROR(__xludf.DUMMYFUNCTION("GOOGLETRANSLATE(B5247,""en"",""pt-br"")"),"negativo")</f>
        <v>negativo</v>
      </c>
    </row>
    <row r="5248" ht="15.75" customHeight="1">
      <c r="A5248" s="2" t="s">
        <v>5245</v>
      </c>
      <c r="B5248" s="2" t="s">
        <v>3</v>
      </c>
      <c r="C5248" s="1" t="str">
        <f>IFERROR(__xludf.DUMMYFUNCTION("GOOGLETRANSLATE(A5248,""en"",""pt-br"")"),"escandalizada")</f>
        <v>escandalizada</v>
      </c>
      <c r="D5248" s="1" t="str">
        <f>IFERROR(__xludf.DUMMYFUNCTION("GOOGLETRANSLATE(B5248,""en"",""pt-br"")"),"negativo")</f>
        <v>negativo</v>
      </c>
    </row>
    <row r="5249" ht="15.75" customHeight="1">
      <c r="A5249" s="2" t="s">
        <v>5246</v>
      </c>
      <c r="B5249" s="2" t="s">
        <v>3</v>
      </c>
      <c r="C5249" s="1" t="str">
        <f>IFERROR(__xludf.DUMMYFUNCTION("GOOGLETRANSLATE(A5249,""en"",""pt-br"")"),"escandaloso")</f>
        <v>escandaloso</v>
      </c>
      <c r="D5249" s="1" t="str">
        <f>IFERROR(__xludf.DUMMYFUNCTION("GOOGLETRANSLATE(B5249,""en"",""pt-br"")"),"negativo")</f>
        <v>negativo</v>
      </c>
    </row>
    <row r="5250" ht="15.75" customHeight="1">
      <c r="A5250" s="2" t="s">
        <v>5247</v>
      </c>
      <c r="B5250" s="2" t="s">
        <v>3</v>
      </c>
      <c r="C5250" s="1" t="str">
        <f>IFERROR(__xludf.DUMMYFUNCTION("GOOGLETRANSLATE(A5250,""en"",""pt-br"")"),"escandalosamente")</f>
        <v>escandalosamente</v>
      </c>
      <c r="D5250" s="1" t="str">
        <f>IFERROR(__xludf.DUMMYFUNCTION("GOOGLETRANSLATE(B5250,""en"",""pt-br"")"),"negativo")</f>
        <v>negativo</v>
      </c>
    </row>
    <row r="5251" ht="15.75" customHeight="1">
      <c r="A5251" s="2" t="s">
        <v>5248</v>
      </c>
      <c r="B5251" s="2" t="s">
        <v>3</v>
      </c>
      <c r="C5251" s="1" t="str">
        <f>IFERROR(__xludf.DUMMYFUNCTION("GOOGLETRANSLATE(A5251,""en"",""pt-br"")"),"escândalos")</f>
        <v>escândalos</v>
      </c>
      <c r="D5251" s="1" t="str">
        <f>IFERROR(__xludf.DUMMYFUNCTION("GOOGLETRANSLATE(B5251,""en"",""pt-br"")"),"negativo")</f>
        <v>negativo</v>
      </c>
    </row>
    <row r="5252" ht="15.75" customHeight="1">
      <c r="A5252" s="2" t="s">
        <v>5249</v>
      </c>
      <c r="B5252" s="2" t="s">
        <v>3</v>
      </c>
      <c r="C5252" s="1" t="str">
        <f>IFERROR(__xludf.DUMMYFUNCTION("GOOGLETRANSLATE(A5252,""en"",""pt-br"")"),"scandel")</f>
        <v>scandel</v>
      </c>
      <c r="D5252" s="1" t="str">
        <f>IFERROR(__xludf.DUMMYFUNCTION("GOOGLETRANSLATE(B5252,""en"",""pt-br"")"),"negativo")</f>
        <v>negativo</v>
      </c>
    </row>
    <row r="5253" ht="15.75" customHeight="1">
      <c r="A5253" s="2" t="s">
        <v>5250</v>
      </c>
      <c r="B5253" s="2" t="s">
        <v>3</v>
      </c>
      <c r="C5253" s="1" t="str">
        <f>IFERROR(__xludf.DUMMYFUNCTION("GOOGLETRANSLATE(A5253,""en"",""pt-br"")"),"scandels")</f>
        <v>scandels</v>
      </c>
      <c r="D5253" s="1" t="str">
        <f>IFERROR(__xludf.DUMMYFUNCTION("GOOGLETRANSLATE(B5253,""en"",""pt-br"")"),"negativo")</f>
        <v>negativo</v>
      </c>
    </row>
    <row r="5254" ht="15.75" customHeight="1">
      <c r="A5254" s="2" t="s">
        <v>5251</v>
      </c>
      <c r="B5254" s="2" t="s">
        <v>3</v>
      </c>
      <c r="C5254" s="1" t="str">
        <f>IFERROR(__xludf.DUMMYFUNCTION("GOOGLETRANSLATE(A5254,""en"",""pt-br"")"),"escasso")</f>
        <v>escasso</v>
      </c>
      <c r="D5254" s="1" t="str">
        <f>IFERROR(__xludf.DUMMYFUNCTION("GOOGLETRANSLATE(B5254,""en"",""pt-br"")"),"negativo")</f>
        <v>negativo</v>
      </c>
    </row>
    <row r="5255" ht="15.75" customHeight="1">
      <c r="A5255" s="2" t="s">
        <v>5252</v>
      </c>
      <c r="B5255" s="2" t="s">
        <v>3</v>
      </c>
      <c r="C5255" s="1" t="str">
        <f>IFERROR(__xludf.DUMMYFUNCTION("GOOGLETRANSLATE(A5255,""en"",""pt-br"")"),"bode expiatório")</f>
        <v>bode expiatório</v>
      </c>
      <c r="D5255" s="1" t="str">
        <f>IFERROR(__xludf.DUMMYFUNCTION("GOOGLETRANSLATE(B5255,""en"",""pt-br"")"),"negativo")</f>
        <v>negativo</v>
      </c>
    </row>
    <row r="5256" ht="15.75" customHeight="1">
      <c r="A5256" s="2" t="s">
        <v>5253</v>
      </c>
      <c r="B5256" s="2" t="s">
        <v>3</v>
      </c>
      <c r="C5256" s="1" t="str">
        <f>IFERROR(__xludf.DUMMYFUNCTION("GOOGLETRANSLATE(A5256,""en"",""pt-br"")"),"cicatriz")</f>
        <v>cicatriz</v>
      </c>
      <c r="D5256" s="1" t="str">
        <f>IFERROR(__xludf.DUMMYFUNCTION("GOOGLETRANSLATE(B5256,""en"",""pt-br"")"),"negativo")</f>
        <v>negativo</v>
      </c>
    </row>
    <row r="5257" ht="15.75" customHeight="1">
      <c r="A5257" s="2" t="s">
        <v>5254</v>
      </c>
      <c r="B5257" s="2" t="s">
        <v>3</v>
      </c>
      <c r="C5257" s="1" t="str">
        <f>IFERROR(__xludf.DUMMYFUNCTION("GOOGLETRANSLATE(A5257,""en"",""pt-br"")"),"escasso")</f>
        <v>escasso</v>
      </c>
      <c r="D5257" s="1" t="str">
        <f>IFERROR(__xludf.DUMMYFUNCTION("GOOGLETRANSLATE(B5257,""en"",""pt-br"")"),"negativo")</f>
        <v>negativo</v>
      </c>
    </row>
    <row r="5258" ht="15.75" customHeight="1">
      <c r="A5258" s="2" t="s">
        <v>5255</v>
      </c>
      <c r="B5258" s="2" t="s">
        <v>3</v>
      </c>
      <c r="C5258" s="1" t="str">
        <f>IFERROR(__xludf.DUMMYFUNCTION("GOOGLETRANSLATE(A5258,""en"",""pt-br"")"),"mal")</f>
        <v>mal</v>
      </c>
      <c r="D5258" s="1" t="str">
        <f>IFERROR(__xludf.DUMMYFUNCTION("GOOGLETRANSLATE(B5258,""en"",""pt-br"")"),"negativo")</f>
        <v>negativo</v>
      </c>
    </row>
    <row r="5259" ht="15.75" customHeight="1">
      <c r="A5259" s="2" t="s">
        <v>5256</v>
      </c>
      <c r="B5259" s="2" t="s">
        <v>3</v>
      </c>
      <c r="C5259" s="1" t="str">
        <f>IFERROR(__xludf.DUMMYFUNCTION("GOOGLETRANSLATE(A5259,""en"",""pt-br"")"),"escassez")</f>
        <v>escassez</v>
      </c>
      <c r="D5259" s="1" t="str">
        <f>IFERROR(__xludf.DUMMYFUNCTION("GOOGLETRANSLATE(B5259,""en"",""pt-br"")"),"negativo")</f>
        <v>negativo</v>
      </c>
    </row>
    <row r="5260" ht="15.75" customHeight="1">
      <c r="A5260" s="2" t="s">
        <v>5257</v>
      </c>
      <c r="B5260" s="2" t="s">
        <v>3</v>
      </c>
      <c r="C5260" s="1" t="str">
        <f>IFERROR(__xludf.DUMMYFUNCTION("GOOGLETRANSLATE(A5260,""en"",""pt-br"")"),"susto")</f>
        <v>susto</v>
      </c>
      <c r="D5260" s="1" t="str">
        <f>IFERROR(__xludf.DUMMYFUNCTION("GOOGLETRANSLATE(B5260,""en"",""pt-br"")"),"negativo")</f>
        <v>negativo</v>
      </c>
    </row>
    <row r="5261" ht="15.75" customHeight="1">
      <c r="A5261" s="2" t="s">
        <v>5258</v>
      </c>
      <c r="B5261" s="2" t="s">
        <v>3</v>
      </c>
      <c r="C5261" s="1" t="str">
        <f>IFERROR(__xludf.DUMMYFUNCTION("GOOGLETRANSLATE(A5261,""en"",""pt-br"")"),"assustado")</f>
        <v>assustado</v>
      </c>
      <c r="D5261" s="1" t="str">
        <f>IFERROR(__xludf.DUMMYFUNCTION("GOOGLETRANSLATE(B5261,""en"",""pt-br"")"),"negativo")</f>
        <v>negativo</v>
      </c>
    </row>
    <row r="5262" ht="15.75" customHeight="1">
      <c r="A5262" s="2" t="s">
        <v>5259</v>
      </c>
      <c r="B5262" s="2" t="s">
        <v>3</v>
      </c>
      <c r="C5262" s="1" t="str">
        <f>IFERROR(__xludf.DUMMYFUNCTION("GOOGLETRANSLATE(A5262,""en"",""pt-br"")"),"mais assustador")</f>
        <v>mais assustador</v>
      </c>
      <c r="D5262" s="1" t="str">
        <f>IFERROR(__xludf.DUMMYFUNCTION("GOOGLETRANSLATE(B5262,""en"",""pt-br"")"),"negativo")</f>
        <v>negativo</v>
      </c>
    </row>
    <row r="5263" ht="15.75" customHeight="1">
      <c r="A5263" s="2" t="s">
        <v>5260</v>
      </c>
      <c r="B5263" s="2" t="s">
        <v>3</v>
      </c>
      <c r="C5263" s="1" t="str">
        <f>IFERROR(__xludf.DUMMYFUNCTION("GOOGLETRANSLATE(A5263,""en"",""pt-br"")"),"mais assustadora")</f>
        <v>mais assustadora</v>
      </c>
      <c r="D5263" s="1" t="str">
        <f>IFERROR(__xludf.DUMMYFUNCTION("GOOGLETRANSLATE(B5263,""en"",""pt-br"")"),"negativo")</f>
        <v>negativo</v>
      </c>
    </row>
    <row r="5264" ht="15.75" customHeight="1">
      <c r="A5264" s="2" t="s">
        <v>5261</v>
      </c>
      <c r="B5264" s="2" t="s">
        <v>3</v>
      </c>
      <c r="C5264" s="1" t="str">
        <f>IFERROR(__xludf.DUMMYFUNCTION("GOOGLETRANSLATE(A5264,""en"",""pt-br"")"),"scarily")</f>
        <v>scarily</v>
      </c>
      <c r="D5264" s="1" t="str">
        <f>IFERROR(__xludf.DUMMYFUNCTION("GOOGLETRANSLATE(B5264,""en"",""pt-br"")"),"negativo")</f>
        <v>negativo</v>
      </c>
    </row>
    <row r="5265" ht="15.75" customHeight="1">
      <c r="A5265" s="2" t="s">
        <v>5262</v>
      </c>
      <c r="B5265" s="2" t="s">
        <v>3</v>
      </c>
      <c r="C5265" s="1" t="str">
        <f>IFERROR(__xludf.DUMMYFUNCTION("GOOGLETRANSLATE(A5265,""en"",""pt-br"")"),"cicatrizado")</f>
        <v>cicatrizado</v>
      </c>
      <c r="D5265" s="1" t="str">
        <f>IFERROR(__xludf.DUMMYFUNCTION("GOOGLETRANSLATE(B5265,""en"",""pt-br"")"),"negativo")</f>
        <v>negativo</v>
      </c>
    </row>
    <row r="5266" ht="15.75" customHeight="1">
      <c r="A5266" s="2" t="s">
        <v>5263</v>
      </c>
      <c r="B5266" s="2" t="s">
        <v>3</v>
      </c>
      <c r="C5266" s="1" t="str">
        <f>IFERROR(__xludf.DUMMYFUNCTION("GOOGLETRANSLATE(A5266,""en"",""pt-br"")"),"cicatrizes")</f>
        <v>cicatrizes</v>
      </c>
      <c r="D5266" s="1" t="str">
        <f>IFERROR(__xludf.DUMMYFUNCTION("GOOGLETRANSLATE(B5266,""en"",""pt-br"")"),"negativo")</f>
        <v>negativo</v>
      </c>
    </row>
    <row r="5267" ht="15.75" customHeight="1">
      <c r="A5267" s="2" t="s">
        <v>5264</v>
      </c>
      <c r="B5267" s="2" t="s">
        <v>3</v>
      </c>
      <c r="C5267" s="1" t="str">
        <f>IFERROR(__xludf.DUMMYFUNCTION("GOOGLETRANSLATE(A5267,""en"",""pt-br"")"),"assustador")</f>
        <v>assustador</v>
      </c>
      <c r="D5267" s="1" t="str">
        <f>IFERROR(__xludf.DUMMYFUNCTION("GOOGLETRANSLATE(B5267,""en"",""pt-br"")"),"negativo")</f>
        <v>negativo</v>
      </c>
    </row>
    <row r="5268" ht="15.75" customHeight="1">
      <c r="A5268" s="2" t="s">
        <v>5265</v>
      </c>
      <c r="B5268" s="2" t="s">
        <v>3</v>
      </c>
      <c r="C5268" s="1" t="str">
        <f>IFERROR(__xludf.DUMMYFUNCTION("GOOGLETRANSLATE(A5268,""en"",""pt-br"")"),"mordaz")</f>
        <v>mordaz</v>
      </c>
      <c r="D5268" s="1" t="str">
        <f>IFERROR(__xludf.DUMMYFUNCTION("GOOGLETRANSLATE(B5268,""en"",""pt-br"")"),"negativo")</f>
        <v>negativo</v>
      </c>
    </row>
    <row r="5269" ht="15.75" customHeight="1">
      <c r="A5269" s="2" t="s">
        <v>5266</v>
      </c>
      <c r="B5269" s="2" t="s">
        <v>3</v>
      </c>
      <c r="C5269" s="1" t="str">
        <f>IFERROR(__xludf.DUMMYFUNCTION("GOOGLETRANSLATE(A5269,""en"",""pt-br"")"),"scathingly")</f>
        <v>scathingly</v>
      </c>
      <c r="D5269" s="1" t="str">
        <f>IFERROR(__xludf.DUMMYFUNCTION("GOOGLETRANSLATE(B5269,""en"",""pt-br"")"),"negativo")</f>
        <v>negativo</v>
      </c>
    </row>
    <row r="5270" ht="15.75" customHeight="1">
      <c r="A5270" s="2" t="s">
        <v>5267</v>
      </c>
      <c r="B5270" s="2" t="s">
        <v>14</v>
      </c>
      <c r="C5270" s="1" t="str">
        <f>IFERROR(__xludf.DUMMYFUNCTION("GOOGLETRANSLATE(A5270,""en"",""pt-br"")"),"cênico")</f>
        <v>cênico</v>
      </c>
      <c r="D5270" s="1" t="str">
        <f>IFERROR(__xludf.DUMMYFUNCTION("GOOGLETRANSLATE(B5270,""en"",""pt-br"")"),"positivo")</f>
        <v>positivo</v>
      </c>
    </row>
    <row r="5271" ht="15.75" customHeight="1">
      <c r="A5271" s="2" t="s">
        <v>5268</v>
      </c>
      <c r="B5271" s="2" t="s">
        <v>3</v>
      </c>
      <c r="C5271" s="1" t="str">
        <f>IFERROR(__xludf.DUMMYFUNCTION("GOOGLETRANSLATE(A5271,""en"",""pt-br"")"),"cético")</f>
        <v>cético</v>
      </c>
      <c r="D5271" s="1" t="str">
        <f>IFERROR(__xludf.DUMMYFUNCTION("GOOGLETRANSLATE(B5271,""en"",""pt-br"")"),"negativo")</f>
        <v>negativo</v>
      </c>
    </row>
    <row r="5272" ht="15.75" customHeight="1">
      <c r="A5272" s="2" t="s">
        <v>5269</v>
      </c>
      <c r="B5272" s="2" t="s">
        <v>3</v>
      </c>
      <c r="C5272" s="1" t="str">
        <f>IFERROR(__xludf.DUMMYFUNCTION("GOOGLETRANSLATE(A5272,""en"",""pt-br"")"),"escárnio")</f>
        <v>escárnio</v>
      </c>
      <c r="D5272" s="1" t="str">
        <f>IFERROR(__xludf.DUMMYFUNCTION("GOOGLETRANSLATE(B5272,""en"",""pt-br"")"),"negativo")</f>
        <v>negativo</v>
      </c>
    </row>
    <row r="5273" ht="15.75" customHeight="1">
      <c r="A5273" s="2" t="s">
        <v>5270</v>
      </c>
      <c r="B5273" s="2" t="s">
        <v>3</v>
      </c>
      <c r="C5273" s="1" t="str">
        <f>IFERROR(__xludf.DUMMYFUNCTION("GOOGLETRANSLATE(A5273,""en"",""pt-br"")"),"zombeteiramente")</f>
        <v>zombeteiramente</v>
      </c>
      <c r="D5273" s="1" t="str">
        <f>IFERROR(__xludf.DUMMYFUNCTION("GOOGLETRANSLATE(B5273,""en"",""pt-br"")"),"negativo")</f>
        <v>negativo</v>
      </c>
    </row>
    <row r="5274" ht="15.75" customHeight="1">
      <c r="A5274" s="2" t="s">
        <v>5271</v>
      </c>
      <c r="B5274" s="2" t="s">
        <v>3</v>
      </c>
      <c r="C5274" s="1" t="str">
        <f>IFERROR(__xludf.DUMMYFUNCTION("GOOGLETRANSLATE(A5274,""en"",""pt-br"")"),"ralhar")</f>
        <v>ralhar</v>
      </c>
      <c r="D5274" s="1" t="str">
        <f>IFERROR(__xludf.DUMMYFUNCTION("GOOGLETRANSLATE(B5274,""en"",""pt-br"")"),"negativo")</f>
        <v>negativo</v>
      </c>
    </row>
    <row r="5275" ht="15.75" customHeight="1">
      <c r="A5275" s="2" t="s">
        <v>5272</v>
      </c>
      <c r="B5275" s="2" t="s">
        <v>3</v>
      </c>
      <c r="C5275" s="1" t="str">
        <f>IFERROR(__xludf.DUMMYFUNCTION("GOOGLETRANSLATE(A5275,""en"",""pt-br"")"),"ralhou")</f>
        <v>ralhou</v>
      </c>
      <c r="D5275" s="1" t="str">
        <f>IFERROR(__xludf.DUMMYFUNCTION("GOOGLETRANSLATE(B5275,""en"",""pt-br"")"),"negativo")</f>
        <v>negativo</v>
      </c>
    </row>
    <row r="5276" ht="15.75" customHeight="1">
      <c r="A5276" s="2" t="s">
        <v>5273</v>
      </c>
      <c r="B5276" s="2" t="s">
        <v>3</v>
      </c>
      <c r="C5276" s="1" t="str">
        <f>IFERROR(__xludf.DUMMYFUNCTION("GOOGLETRANSLATE(A5276,""en"",""pt-br"")"),"repreensão")</f>
        <v>repreensão</v>
      </c>
      <c r="D5276" s="1" t="str">
        <f>IFERROR(__xludf.DUMMYFUNCTION("GOOGLETRANSLATE(B5276,""en"",""pt-br"")"),"negativo")</f>
        <v>negativo</v>
      </c>
    </row>
    <row r="5277" ht="15.75" customHeight="1">
      <c r="A5277" s="2" t="s">
        <v>5274</v>
      </c>
      <c r="B5277" s="2" t="s">
        <v>3</v>
      </c>
      <c r="C5277" s="1" t="str">
        <f>IFERROR(__xludf.DUMMYFUNCTION("GOOGLETRANSLATE(A5277,""en"",""pt-br"")"),"ralhando")</f>
        <v>ralhando</v>
      </c>
      <c r="D5277" s="1" t="str">
        <f>IFERROR(__xludf.DUMMYFUNCTION("GOOGLETRANSLATE(B5277,""en"",""pt-br"")"),"negativo")</f>
        <v>negativo</v>
      </c>
    </row>
    <row r="5278" ht="15.75" customHeight="1">
      <c r="A5278" s="2" t="s">
        <v>5275</v>
      </c>
      <c r="B5278" s="2" t="s">
        <v>3</v>
      </c>
      <c r="C5278" s="1" t="str">
        <f>IFERROR(__xludf.DUMMYFUNCTION("GOOGLETRANSLATE(A5278,""en"",""pt-br"")"),"abrasador")</f>
        <v>abrasador</v>
      </c>
      <c r="D5278" s="1" t="str">
        <f>IFERROR(__xludf.DUMMYFUNCTION("GOOGLETRANSLATE(B5278,""en"",""pt-br"")"),"negativo")</f>
        <v>negativo</v>
      </c>
    </row>
    <row r="5279" ht="15.75" customHeight="1">
      <c r="A5279" s="2" t="s">
        <v>5276</v>
      </c>
      <c r="B5279" s="2" t="s">
        <v>3</v>
      </c>
      <c r="C5279" s="1" t="str">
        <f>IFERROR(__xludf.DUMMYFUNCTION("GOOGLETRANSLATE(A5279,""en"",""pt-br"")"),"scorchingly")</f>
        <v>scorchingly</v>
      </c>
      <c r="D5279" s="1" t="str">
        <f>IFERROR(__xludf.DUMMYFUNCTION("GOOGLETRANSLATE(B5279,""en"",""pt-br"")"),"negativo")</f>
        <v>negativo</v>
      </c>
    </row>
    <row r="5280" ht="15.75" customHeight="1">
      <c r="A5280" s="2" t="s">
        <v>5277</v>
      </c>
      <c r="B5280" s="2" t="s">
        <v>3</v>
      </c>
      <c r="C5280" s="1" t="str">
        <f>IFERROR(__xludf.DUMMYFUNCTION("GOOGLETRANSLATE(A5280,""en"",""pt-br"")"),"desprezo")</f>
        <v>desprezo</v>
      </c>
      <c r="D5280" s="1" t="str">
        <f>IFERROR(__xludf.DUMMYFUNCTION("GOOGLETRANSLATE(B5280,""en"",""pt-br"")"),"negativo")</f>
        <v>negativo</v>
      </c>
    </row>
    <row r="5281" ht="15.75" customHeight="1">
      <c r="A5281" s="2" t="s">
        <v>5278</v>
      </c>
      <c r="B5281" s="2" t="s">
        <v>3</v>
      </c>
      <c r="C5281" s="1" t="str">
        <f>IFERROR(__xludf.DUMMYFUNCTION("GOOGLETRANSLATE(A5281,""en"",""pt-br"")"),"desdenhoso")</f>
        <v>desdenhoso</v>
      </c>
      <c r="D5281" s="1" t="str">
        <f>IFERROR(__xludf.DUMMYFUNCTION("GOOGLETRANSLATE(B5281,""en"",""pt-br"")"),"negativo")</f>
        <v>negativo</v>
      </c>
    </row>
    <row r="5282" ht="15.75" customHeight="1">
      <c r="A5282" s="2" t="s">
        <v>5279</v>
      </c>
      <c r="B5282" s="2" t="s">
        <v>3</v>
      </c>
      <c r="C5282" s="1" t="str">
        <f>IFERROR(__xludf.DUMMYFUNCTION("GOOGLETRANSLATE(A5282,""en"",""pt-br"")"),"desdenhosamente")</f>
        <v>desdenhosamente</v>
      </c>
      <c r="D5282" s="1" t="str">
        <f>IFERROR(__xludf.DUMMYFUNCTION("GOOGLETRANSLATE(B5282,""en"",""pt-br"")"),"negativo")</f>
        <v>negativo</v>
      </c>
    </row>
    <row r="5283" ht="15.75" customHeight="1">
      <c r="A5283" s="2" t="s">
        <v>5280</v>
      </c>
      <c r="B5283" s="2" t="s">
        <v>3</v>
      </c>
      <c r="C5283" s="1" t="str">
        <f>IFERROR(__xludf.DUMMYFUNCTION("GOOGLETRANSLATE(A5283,""en"",""pt-br"")"),"canalha")</f>
        <v>canalha</v>
      </c>
      <c r="D5283" s="1" t="str">
        <f>IFERROR(__xludf.DUMMYFUNCTION("GOOGLETRANSLATE(B5283,""en"",""pt-br"")"),"negativo")</f>
        <v>negativo</v>
      </c>
    </row>
    <row r="5284" ht="15.75" customHeight="1">
      <c r="A5284" s="2" t="s">
        <v>5281</v>
      </c>
      <c r="B5284" s="2" t="s">
        <v>3</v>
      </c>
      <c r="C5284" s="1" t="str">
        <f>IFERROR(__xludf.DUMMYFUNCTION("GOOGLETRANSLATE(A5284,""en"",""pt-br"")"),"flagelo")</f>
        <v>flagelo</v>
      </c>
      <c r="D5284" s="1" t="str">
        <f>IFERROR(__xludf.DUMMYFUNCTION("GOOGLETRANSLATE(B5284,""en"",""pt-br"")"),"negativo")</f>
        <v>negativo</v>
      </c>
    </row>
    <row r="5285" ht="15.75" customHeight="1">
      <c r="A5285" s="2" t="s">
        <v>5282</v>
      </c>
      <c r="B5285" s="2" t="s">
        <v>3</v>
      </c>
      <c r="C5285" s="1" t="str">
        <f>IFERROR(__xludf.DUMMYFUNCTION("GOOGLETRANSLATE(A5285,""en"",""pt-br"")"),"carranca")</f>
        <v>carranca</v>
      </c>
      <c r="D5285" s="1" t="str">
        <f>IFERROR(__xludf.DUMMYFUNCTION("GOOGLETRANSLATE(B5285,""en"",""pt-br"")"),"negativo")</f>
        <v>negativo</v>
      </c>
    </row>
    <row r="5286" ht="15.75" customHeight="1">
      <c r="A5286" s="2" t="s">
        <v>5283</v>
      </c>
      <c r="B5286" s="2" t="s">
        <v>3</v>
      </c>
      <c r="C5286" s="1" t="str">
        <f>IFERROR(__xludf.DUMMYFUNCTION("GOOGLETRANSLATE(A5286,""en"",""pt-br"")"),"passeio")</f>
        <v>passeio</v>
      </c>
      <c r="D5286" s="1" t="str">
        <f>IFERROR(__xludf.DUMMYFUNCTION("GOOGLETRANSLATE(B5286,""en"",""pt-br"")"),"negativo")</f>
        <v>negativo</v>
      </c>
    </row>
    <row r="5287" ht="15.75" customHeight="1">
      <c r="A5287" s="2" t="s">
        <v>5284</v>
      </c>
      <c r="B5287" s="2" t="s">
        <v>3</v>
      </c>
      <c r="C5287" s="1" t="str">
        <f>IFERROR(__xludf.DUMMYFUNCTION("GOOGLETRANSLATE(A5287,""en"",""pt-br"")"),"mexidos")</f>
        <v>mexidos</v>
      </c>
      <c r="D5287" s="1" t="str">
        <f>IFERROR(__xludf.DUMMYFUNCTION("GOOGLETRANSLATE(B5287,""en"",""pt-br"")"),"negativo")</f>
        <v>negativo</v>
      </c>
    </row>
    <row r="5288" ht="15.75" customHeight="1">
      <c r="A5288" s="2" t="s">
        <v>5285</v>
      </c>
      <c r="B5288" s="2" t="s">
        <v>3</v>
      </c>
      <c r="C5288" s="1" t="str">
        <f>IFERROR(__xludf.DUMMYFUNCTION("GOOGLETRANSLATE(A5288,""en"",""pt-br"")"),"embaralha")</f>
        <v>embaralha</v>
      </c>
      <c r="D5288" s="1" t="str">
        <f>IFERROR(__xludf.DUMMYFUNCTION("GOOGLETRANSLATE(B5288,""en"",""pt-br"")"),"negativo")</f>
        <v>negativo</v>
      </c>
    </row>
    <row r="5289" ht="15.75" customHeight="1">
      <c r="A5289" s="2" t="s">
        <v>5286</v>
      </c>
      <c r="B5289" s="2" t="s">
        <v>3</v>
      </c>
      <c r="C5289" s="1" t="str">
        <f>IFERROR(__xludf.DUMMYFUNCTION("GOOGLETRANSLATE(A5289,""en"",""pt-br"")"),"embaralhamento")</f>
        <v>embaralhamento</v>
      </c>
      <c r="D5289" s="1" t="str">
        <f>IFERROR(__xludf.DUMMYFUNCTION("GOOGLETRANSLATE(B5289,""en"",""pt-br"")"),"negativo")</f>
        <v>negativo</v>
      </c>
    </row>
    <row r="5290" ht="15.75" customHeight="1">
      <c r="A5290" s="2" t="s">
        <v>5287</v>
      </c>
      <c r="B5290" s="2" t="s">
        <v>3</v>
      </c>
      <c r="C5290" s="1" t="str">
        <f>IFERROR(__xludf.DUMMYFUNCTION("GOOGLETRANSLATE(A5290,""en"",""pt-br"")"),"sucatear")</f>
        <v>sucatear</v>
      </c>
      <c r="D5290" s="1" t="str">
        <f>IFERROR(__xludf.DUMMYFUNCTION("GOOGLETRANSLATE(B5290,""en"",""pt-br"")"),"negativo")</f>
        <v>negativo</v>
      </c>
    </row>
    <row r="5291" ht="15.75" customHeight="1">
      <c r="A5291" s="2" t="s">
        <v>5288</v>
      </c>
      <c r="B5291" s="2" t="s">
        <v>3</v>
      </c>
      <c r="C5291" s="1" t="str">
        <f>IFERROR(__xludf.DUMMYFUNCTION("GOOGLETRANSLATE(A5291,""en"",""pt-br"")"),"coçar, arranhão")</f>
        <v>coçar, arranhão</v>
      </c>
      <c r="D5291" s="1" t="str">
        <f>IFERROR(__xludf.DUMMYFUNCTION("GOOGLETRANSLATE(B5291,""en"",""pt-br"")"),"negativo")</f>
        <v>negativo</v>
      </c>
    </row>
    <row r="5292" ht="15.75" customHeight="1">
      <c r="A5292" s="2" t="s">
        <v>5289</v>
      </c>
      <c r="B5292" s="2" t="s">
        <v>3</v>
      </c>
      <c r="C5292" s="1" t="str">
        <f>IFERROR(__xludf.DUMMYFUNCTION("GOOGLETRANSLATE(A5292,""en"",""pt-br"")"),"riscado")</f>
        <v>riscado</v>
      </c>
      <c r="D5292" s="1" t="str">
        <f>IFERROR(__xludf.DUMMYFUNCTION("GOOGLETRANSLATE(B5292,""en"",""pt-br"")"),"negativo")</f>
        <v>negativo</v>
      </c>
    </row>
    <row r="5293" ht="15.75" customHeight="1">
      <c r="A5293" s="2" t="s">
        <v>5290</v>
      </c>
      <c r="B5293" s="2" t="s">
        <v>3</v>
      </c>
      <c r="C5293" s="1" t="str">
        <f>IFERROR(__xludf.DUMMYFUNCTION("GOOGLETRANSLATE(A5293,""en"",""pt-br"")"),"arranhões")</f>
        <v>arranhões</v>
      </c>
      <c r="D5293" s="1" t="str">
        <f>IFERROR(__xludf.DUMMYFUNCTION("GOOGLETRANSLATE(B5293,""en"",""pt-br"")"),"negativo")</f>
        <v>negativo</v>
      </c>
    </row>
    <row r="5294" ht="15.75" customHeight="1">
      <c r="A5294" s="2" t="s">
        <v>5291</v>
      </c>
      <c r="B5294" s="2" t="s">
        <v>3</v>
      </c>
      <c r="C5294" s="1" t="str">
        <f>IFERROR(__xludf.DUMMYFUNCTION("GOOGLETRANSLATE(A5294,""en"",""pt-br"")"),"áspero")</f>
        <v>áspero</v>
      </c>
      <c r="D5294" s="1" t="str">
        <f>IFERROR(__xludf.DUMMYFUNCTION("GOOGLETRANSLATE(B5294,""en"",""pt-br"")"),"negativo")</f>
        <v>negativo</v>
      </c>
    </row>
    <row r="5295" ht="15.75" customHeight="1">
      <c r="A5295" s="2" t="s">
        <v>5292</v>
      </c>
      <c r="B5295" s="2" t="s">
        <v>3</v>
      </c>
      <c r="C5295" s="1" t="str">
        <f>IFERROR(__xludf.DUMMYFUNCTION("GOOGLETRANSLATE(A5295,""en"",""pt-br"")"),"grito")</f>
        <v>grito</v>
      </c>
      <c r="D5295" s="1" t="str">
        <f>IFERROR(__xludf.DUMMYFUNCTION("GOOGLETRANSLATE(B5295,""en"",""pt-br"")"),"negativo")</f>
        <v>negativo</v>
      </c>
    </row>
    <row r="5296" ht="15.75" customHeight="1">
      <c r="A5296" s="2" t="s">
        <v>5293</v>
      </c>
      <c r="B5296" s="2" t="s">
        <v>3</v>
      </c>
      <c r="C5296" s="1" t="str">
        <f>IFERROR(__xludf.DUMMYFUNCTION("GOOGLETRANSLATE(A5296,""en"",""pt-br"")"),"guincho")</f>
        <v>guincho</v>
      </c>
      <c r="D5296" s="1" t="str">
        <f>IFERROR(__xludf.DUMMYFUNCTION("GOOGLETRANSLATE(B5296,""en"",""pt-br"")"),"negativo")</f>
        <v>negativo</v>
      </c>
    </row>
    <row r="5297" ht="15.75" customHeight="1">
      <c r="A5297" s="2" t="s">
        <v>5294</v>
      </c>
      <c r="B5297" s="2" t="s">
        <v>3</v>
      </c>
      <c r="C5297" s="1" t="str">
        <f>IFERROR(__xludf.DUMMYFUNCTION("GOOGLETRANSLATE(A5297,""en"",""pt-br"")"),"estragar")</f>
        <v>estragar</v>
      </c>
      <c r="D5297" s="1" t="str">
        <f>IFERROR(__xludf.DUMMYFUNCTION("GOOGLETRANSLATE(B5297,""en"",""pt-br"")"),"negativo")</f>
        <v>negativo</v>
      </c>
    </row>
    <row r="5298" ht="15.75" customHeight="1">
      <c r="A5298" s="2" t="s">
        <v>5295</v>
      </c>
      <c r="B5298" s="2" t="s">
        <v>3</v>
      </c>
      <c r="C5298" s="1" t="str">
        <f>IFERROR(__xludf.DUMMYFUNCTION("GOOGLETRANSLATE(A5298,""en"",""pt-br"")"),"parafusado")</f>
        <v>parafusado</v>
      </c>
      <c r="D5298" s="1" t="str">
        <f>IFERROR(__xludf.DUMMYFUNCTION("GOOGLETRANSLATE(B5298,""en"",""pt-br"")"),"negativo")</f>
        <v>negativo</v>
      </c>
    </row>
    <row r="5299" ht="15.75" customHeight="1">
      <c r="A5299" s="2" t="s">
        <v>5296</v>
      </c>
      <c r="B5299" s="2" t="s">
        <v>3</v>
      </c>
      <c r="C5299" s="1" t="str">
        <f>IFERROR(__xludf.DUMMYFUNCTION("GOOGLETRANSLATE(A5299,""en"",""pt-br"")"),"estragado")</f>
        <v>estragado</v>
      </c>
      <c r="D5299" s="1" t="str">
        <f>IFERROR(__xludf.DUMMYFUNCTION("GOOGLETRANSLATE(B5299,""en"",""pt-br"")"),"negativo")</f>
        <v>negativo</v>
      </c>
    </row>
    <row r="5300" ht="15.75" customHeight="1">
      <c r="A5300" s="2" t="s">
        <v>5297</v>
      </c>
      <c r="B5300" s="2" t="s">
        <v>3</v>
      </c>
      <c r="C5300" s="1" t="str">
        <f>IFERROR(__xludf.DUMMYFUNCTION("GOOGLETRANSLATE(A5300,""en"",""pt-br"")"),"disparatado")</f>
        <v>disparatado</v>
      </c>
      <c r="D5300" s="1" t="str">
        <f>IFERROR(__xludf.DUMMYFUNCTION("GOOGLETRANSLATE(B5300,""en"",""pt-br"")"),"negativo")</f>
        <v>negativo</v>
      </c>
    </row>
    <row r="5301" ht="15.75" customHeight="1">
      <c r="A5301" s="2" t="s">
        <v>5298</v>
      </c>
      <c r="B5301" s="2" t="s">
        <v>3</v>
      </c>
      <c r="C5301" s="1" t="str">
        <f>IFERROR(__xludf.DUMMYFUNCTION("GOOGLETRANSLATE(A5301,""en"",""pt-br"")"),"raspar")</f>
        <v>raspar</v>
      </c>
      <c r="D5301" s="1" t="str">
        <f>IFERROR(__xludf.DUMMYFUNCTION("GOOGLETRANSLATE(B5301,""en"",""pt-br"")"),"negativo")</f>
        <v>negativo</v>
      </c>
    </row>
    <row r="5302" ht="15.75" customHeight="1">
      <c r="A5302" s="2" t="s">
        <v>5299</v>
      </c>
      <c r="B5302" s="2" t="s">
        <v>3</v>
      </c>
      <c r="C5302" s="1" t="str">
        <f>IFERROR(__xludf.DUMMYFUNCTION("GOOGLETRANSLATE(A5302,""en"",""pt-br"")"),"arranhões")</f>
        <v>arranhões</v>
      </c>
      <c r="D5302" s="1" t="str">
        <f>IFERROR(__xludf.DUMMYFUNCTION("GOOGLETRANSLATE(B5302,""en"",""pt-br"")"),"negativo")</f>
        <v>negativo</v>
      </c>
    </row>
    <row r="5303" ht="15.75" customHeight="1">
      <c r="A5303" s="2" t="s">
        <v>5300</v>
      </c>
      <c r="B5303" s="2" t="s">
        <v>3</v>
      </c>
      <c r="C5303" s="1" t="str">
        <f>IFERROR(__xludf.DUMMYFUNCTION("GOOGLETRANSLATE(A5303,""en"",""pt-br"")"),"escumalha")</f>
        <v>escumalha</v>
      </c>
      <c r="D5303" s="1" t="str">
        <f>IFERROR(__xludf.DUMMYFUNCTION("GOOGLETRANSLATE(B5303,""en"",""pt-br"")"),"negativo")</f>
        <v>negativo</v>
      </c>
    </row>
    <row r="5304" ht="15.75" customHeight="1">
      <c r="A5304" s="2" t="s">
        <v>5301</v>
      </c>
      <c r="B5304" s="2" t="s">
        <v>3</v>
      </c>
      <c r="C5304" s="1" t="str">
        <f>IFERROR(__xludf.DUMMYFUNCTION("GOOGLETRANSLATE(A5304,""en"",""pt-br"")"),"escumoso")</f>
        <v>escumoso</v>
      </c>
      <c r="D5304" s="1" t="str">
        <f>IFERROR(__xludf.DUMMYFUNCTION("GOOGLETRANSLATE(B5304,""en"",""pt-br"")"),"negativo")</f>
        <v>negativo</v>
      </c>
    </row>
    <row r="5305" ht="15.75" customHeight="1">
      <c r="A5305" s="2" t="s">
        <v>5302</v>
      </c>
      <c r="B5305" s="2" t="s">
        <v>14</v>
      </c>
      <c r="C5305" s="1" t="str">
        <f>IFERROR(__xludf.DUMMYFUNCTION("GOOGLETRANSLATE(A5305,""en"",""pt-br"")"),"desatado")</f>
        <v>desatado</v>
      </c>
      <c r="D5305" s="1" t="str">
        <f>IFERROR(__xludf.DUMMYFUNCTION("GOOGLETRANSLATE(B5305,""en"",""pt-br"")"),"positivo")</f>
        <v>positivo</v>
      </c>
    </row>
    <row r="5306" ht="15.75" customHeight="1">
      <c r="A5306" s="2" t="s">
        <v>5303</v>
      </c>
      <c r="B5306" s="2" t="s">
        <v>14</v>
      </c>
      <c r="C5306" s="1" t="str">
        <f>IFERROR(__xludf.DUMMYFUNCTION("GOOGLETRANSLATE(A5306,""en"",""pt-br"")"),"temperado")</f>
        <v>temperado</v>
      </c>
      <c r="D5306" s="1" t="str">
        <f>IFERROR(__xludf.DUMMYFUNCTION("GOOGLETRANSLATE(B5306,""en"",""pt-br"")"),"positivo")</f>
        <v>positivo</v>
      </c>
    </row>
    <row r="5307" ht="15.75" customHeight="1">
      <c r="A5307" s="2" t="s">
        <v>5304</v>
      </c>
      <c r="B5307" s="2" t="s">
        <v>3</v>
      </c>
      <c r="C5307" s="1" t="str">
        <f>IFERROR(__xludf.DUMMYFUNCTION("GOOGLETRANSLATE(A5307,""en"",""pt-br"")"),"segunda classe")</f>
        <v>segunda classe</v>
      </c>
      <c r="D5307" s="1" t="str">
        <f>IFERROR(__xludf.DUMMYFUNCTION("GOOGLETRANSLATE(B5307,""en"",""pt-br"")"),"negativo")</f>
        <v>negativo</v>
      </c>
    </row>
    <row r="5308" ht="15.75" customHeight="1">
      <c r="A5308" s="2" t="s">
        <v>5305</v>
      </c>
      <c r="B5308" s="2" t="s">
        <v>3</v>
      </c>
      <c r="C5308" s="1" t="str">
        <f>IFERROR(__xludf.DUMMYFUNCTION("GOOGLETRANSLATE(A5308,""en"",""pt-br"")"),"segundo nível")</f>
        <v>segundo nível</v>
      </c>
      <c r="D5308" s="1" t="str">
        <f>IFERROR(__xludf.DUMMYFUNCTION("GOOGLETRANSLATE(B5308,""en"",""pt-br"")"),"negativo")</f>
        <v>negativo</v>
      </c>
    </row>
    <row r="5309" ht="15.75" customHeight="1">
      <c r="A5309" s="2" t="s">
        <v>5306</v>
      </c>
      <c r="B5309" s="2" t="s">
        <v>3</v>
      </c>
      <c r="C5309" s="1" t="str">
        <f>IFERROR(__xludf.DUMMYFUNCTION("GOOGLETRANSLATE(A5309,""en"",""pt-br"")"),"secreto")</f>
        <v>secreto</v>
      </c>
      <c r="D5309" s="1" t="str">
        <f>IFERROR(__xludf.DUMMYFUNCTION("GOOGLETRANSLATE(B5309,""en"",""pt-br"")"),"negativo")</f>
        <v>negativo</v>
      </c>
    </row>
    <row r="5310" ht="15.75" customHeight="1">
      <c r="A5310" s="2" t="s">
        <v>5307</v>
      </c>
      <c r="B5310" s="2" t="s">
        <v>14</v>
      </c>
      <c r="C5310" s="1" t="str">
        <f>IFERROR(__xludf.DUMMYFUNCTION("GOOGLETRANSLATE(A5310,""en"",""pt-br"")"),"seguro")</f>
        <v>seguro</v>
      </c>
      <c r="D5310" s="1" t="str">
        <f>IFERROR(__xludf.DUMMYFUNCTION("GOOGLETRANSLATE(B5310,""en"",""pt-br"")"),"positivo")</f>
        <v>positivo</v>
      </c>
    </row>
    <row r="5311" ht="15.75" customHeight="1">
      <c r="A5311" s="2" t="s">
        <v>5308</v>
      </c>
      <c r="B5311" s="2" t="s">
        <v>14</v>
      </c>
      <c r="C5311" s="1" t="str">
        <f>IFERROR(__xludf.DUMMYFUNCTION("GOOGLETRANSLATE(A5311,""en"",""pt-br"")"),"firmemente")</f>
        <v>firmemente</v>
      </c>
      <c r="D5311" s="1" t="str">
        <f>IFERROR(__xludf.DUMMYFUNCTION("GOOGLETRANSLATE(B5311,""en"",""pt-br"")"),"positivo")</f>
        <v>positivo</v>
      </c>
    </row>
    <row r="5312" ht="15.75" customHeight="1">
      <c r="A5312" s="2" t="s">
        <v>5309</v>
      </c>
      <c r="B5312" s="2" t="s">
        <v>3</v>
      </c>
      <c r="C5312" s="1" t="str">
        <f>IFERROR(__xludf.DUMMYFUNCTION("GOOGLETRANSLATE(A5312,""en"",""pt-br"")"),"sedentário")</f>
        <v>sedentário</v>
      </c>
      <c r="D5312" s="1" t="str">
        <f>IFERROR(__xludf.DUMMYFUNCTION("GOOGLETRANSLATE(B5312,""en"",""pt-br"")"),"negativo")</f>
        <v>negativo</v>
      </c>
    </row>
    <row r="5313" ht="15.75" customHeight="1">
      <c r="A5313" s="2" t="s">
        <v>5310</v>
      </c>
      <c r="B5313" s="2" t="s">
        <v>3</v>
      </c>
      <c r="C5313" s="1" t="str">
        <f>IFERROR(__xludf.DUMMYFUNCTION("GOOGLETRANSLATE(A5313,""en"",""pt-br"")"),"puído")</f>
        <v>puído</v>
      </c>
      <c r="D5313" s="1" t="str">
        <f>IFERROR(__xludf.DUMMYFUNCTION("GOOGLETRANSLATE(B5313,""en"",""pt-br"")"),"negativo")</f>
        <v>negativo</v>
      </c>
    </row>
    <row r="5314" ht="15.75" customHeight="1">
      <c r="A5314" s="2" t="s">
        <v>5311</v>
      </c>
      <c r="B5314" s="2" t="s">
        <v>3</v>
      </c>
      <c r="C5314" s="1" t="str">
        <f>IFERROR(__xludf.DUMMYFUNCTION("GOOGLETRANSLATE(A5314,""en"",""pt-br"")"),"Veja o")</f>
        <v>Veja o</v>
      </c>
      <c r="D5314" s="1" t="str">
        <f>IFERROR(__xludf.DUMMYFUNCTION("GOOGLETRANSLATE(B5314,""en"",""pt-br"")"),"negativo")</f>
        <v>negativo</v>
      </c>
    </row>
    <row r="5315" ht="15.75" customHeight="1">
      <c r="A5315" s="2" t="s">
        <v>5312</v>
      </c>
      <c r="B5315" s="2" t="s">
        <v>3</v>
      </c>
      <c r="C5315" s="1" t="str">
        <f>IFERROR(__xludf.DUMMYFUNCTION("GOOGLETRANSLATE(A5315,""en"",""pt-br"")"),"fervendo")</f>
        <v>fervendo</v>
      </c>
      <c r="D5315" s="1" t="str">
        <f>IFERROR(__xludf.DUMMYFUNCTION("GOOGLETRANSLATE(B5315,""en"",""pt-br"")"),"negativo")</f>
        <v>negativo</v>
      </c>
    </row>
    <row r="5316" ht="15.75" customHeight="1">
      <c r="A5316" s="2" t="s">
        <v>5313</v>
      </c>
      <c r="B5316" s="2" t="s">
        <v>14</v>
      </c>
      <c r="C5316" s="1" t="str">
        <f>IFERROR(__xludf.DUMMYFUNCTION("GOOGLETRANSLATE(A5316,""en"",""pt-br"")"),"seletivo")</f>
        <v>seletivo</v>
      </c>
      <c r="D5316" s="1" t="str">
        <f>IFERROR(__xludf.DUMMYFUNCTION("GOOGLETRANSLATE(B5316,""en"",""pt-br"")"),"positivo")</f>
        <v>positivo</v>
      </c>
    </row>
    <row r="5317" ht="15.75" customHeight="1">
      <c r="A5317" s="2" t="s">
        <v>5314</v>
      </c>
      <c r="B5317" s="2" t="s">
        <v>3</v>
      </c>
      <c r="C5317" s="1" t="str">
        <f>IFERROR(__xludf.DUMMYFUNCTION("GOOGLETRANSLATE(A5317,""en"",""pt-br"")"),"autogolpe")</f>
        <v>autogolpe</v>
      </c>
      <c r="D5317" s="1" t="str">
        <f>IFERROR(__xludf.DUMMYFUNCTION("GOOGLETRANSLATE(B5317,""en"",""pt-br"")"),"negativo")</f>
        <v>negativo</v>
      </c>
    </row>
    <row r="5318" ht="15.75" customHeight="1">
      <c r="A5318" s="2" t="s">
        <v>5315</v>
      </c>
      <c r="B5318" s="2" t="s">
        <v>3</v>
      </c>
      <c r="C5318" s="1" t="str">
        <f>IFERROR(__xludf.DUMMYFUNCTION("GOOGLETRANSLATE(A5318,""en"",""pt-br"")"),"autocrítica")</f>
        <v>autocrítica</v>
      </c>
      <c r="D5318" s="1" t="str">
        <f>IFERROR(__xludf.DUMMYFUNCTION("GOOGLETRANSLATE(B5318,""en"",""pt-br"")"),"negativo")</f>
        <v>negativo</v>
      </c>
    </row>
    <row r="5319" ht="15.75" customHeight="1">
      <c r="A5319" s="2" t="s">
        <v>5316</v>
      </c>
      <c r="B5319" s="2" t="s">
        <v>3</v>
      </c>
      <c r="C5319" s="1" t="str">
        <f>IFERROR(__xludf.DUMMYFUNCTION("GOOGLETRANSLATE(A5319,""en"",""pt-br"")"),"autoderrotado")</f>
        <v>autoderrotado</v>
      </c>
      <c r="D5319" s="1" t="str">
        <f>IFERROR(__xludf.DUMMYFUNCTION("GOOGLETRANSLATE(B5319,""en"",""pt-br"")"),"negativo")</f>
        <v>negativo</v>
      </c>
    </row>
    <row r="5320" ht="15.75" customHeight="1">
      <c r="A5320" s="2" t="s">
        <v>5317</v>
      </c>
      <c r="B5320" s="2" t="s">
        <v>3</v>
      </c>
      <c r="C5320" s="1" t="str">
        <f>IFERROR(__xludf.DUMMYFUNCTION("GOOGLETRANSLATE(A5320,""en"",""pt-br"")"),"autodestrutivo")</f>
        <v>autodestrutivo</v>
      </c>
      <c r="D5320" s="1" t="str">
        <f>IFERROR(__xludf.DUMMYFUNCTION("GOOGLETRANSLATE(B5320,""en"",""pt-br"")"),"negativo")</f>
        <v>negativo</v>
      </c>
    </row>
    <row r="5321" ht="15.75" customHeight="1">
      <c r="A5321" s="2" t="s">
        <v>5318</v>
      </c>
      <c r="B5321" s="2" t="s">
        <v>14</v>
      </c>
      <c r="C5321" s="1" t="str">
        <f>IFERROR(__xludf.DUMMYFUNCTION("GOOGLETRANSLATE(A5321,""en"",""pt-br"")"),"autodeterminação")</f>
        <v>autodeterminação</v>
      </c>
      <c r="D5321" s="1" t="str">
        <f>IFERROR(__xludf.DUMMYFUNCTION("GOOGLETRANSLATE(B5321,""en"",""pt-br"")"),"positivo")</f>
        <v>positivo</v>
      </c>
    </row>
    <row r="5322" ht="15.75" customHeight="1">
      <c r="A5322" s="2" t="s">
        <v>5319</v>
      </c>
      <c r="B5322" s="2" t="s">
        <v>3</v>
      </c>
      <c r="C5322" s="1" t="str">
        <f>IFERROR(__xludf.DUMMYFUNCTION("GOOGLETRANSLATE(A5322,""en"",""pt-br"")"),"auto-humilhação")</f>
        <v>auto-humilhação</v>
      </c>
      <c r="D5322" s="1" t="str">
        <f>IFERROR(__xludf.DUMMYFUNCTION("GOOGLETRANSLATE(B5322,""en"",""pt-br"")"),"negativo")</f>
        <v>negativo</v>
      </c>
    </row>
    <row r="5323" ht="15.75" customHeight="1">
      <c r="A5323" s="2" t="s">
        <v>5320</v>
      </c>
      <c r="B5323" s="2" t="s">
        <v>3</v>
      </c>
      <c r="C5323" s="1" t="str">
        <f>IFERROR(__xludf.DUMMYFUNCTION("GOOGLETRANSLATE(A5323,""en"",""pt-br"")"),"interesse pessoal")</f>
        <v>interesse pessoal</v>
      </c>
      <c r="D5323" s="1" t="str">
        <f>IFERROR(__xludf.DUMMYFUNCTION("GOOGLETRANSLATE(B5323,""en"",""pt-br"")"),"negativo")</f>
        <v>negativo</v>
      </c>
    </row>
    <row r="5324" ht="15.75" customHeight="1">
      <c r="A5324" s="2" t="s">
        <v>5321</v>
      </c>
      <c r="B5324" s="2" t="s">
        <v>3</v>
      </c>
      <c r="C5324" s="1" t="str">
        <f>IFERROR(__xludf.DUMMYFUNCTION("GOOGLETRANSLATE(A5324,""en"",""pt-br"")"),"interesseira")</f>
        <v>interesseira</v>
      </c>
      <c r="D5324" s="1" t="str">
        <f>IFERROR(__xludf.DUMMYFUNCTION("GOOGLETRANSLATE(B5324,""en"",""pt-br"")"),"negativo")</f>
        <v>negativo</v>
      </c>
    </row>
    <row r="5325" ht="15.75" customHeight="1">
      <c r="A5325" s="2" t="s">
        <v>5322</v>
      </c>
      <c r="B5325" s="2" t="s">
        <v>14</v>
      </c>
      <c r="C5325" s="1" t="str">
        <f>IFERROR(__xludf.DUMMYFUNCTION("GOOGLETRANSLATE(A5325,""en"",""pt-br"")"),"respeito próprio")</f>
        <v>respeito próprio</v>
      </c>
      <c r="D5325" s="1" t="str">
        <f>IFERROR(__xludf.DUMMYFUNCTION("GOOGLETRANSLATE(B5325,""en"",""pt-br"")"),"positivo")</f>
        <v>positivo</v>
      </c>
    </row>
    <row r="5326" ht="15.75" customHeight="1">
      <c r="A5326" s="2" t="s">
        <v>5323</v>
      </c>
      <c r="B5326" s="2" t="s">
        <v>14</v>
      </c>
      <c r="C5326" s="1" t="str">
        <f>IFERROR(__xludf.DUMMYFUNCTION("GOOGLETRANSLATE(A5326,""en"",""pt-br"")"),"auto-satisfação")</f>
        <v>auto-satisfação</v>
      </c>
      <c r="D5326" s="1" t="str">
        <f>IFERROR(__xludf.DUMMYFUNCTION("GOOGLETRANSLATE(B5326,""en"",""pt-br"")"),"positivo")</f>
        <v>positivo</v>
      </c>
    </row>
    <row r="5327" ht="15.75" customHeight="1">
      <c r="A5327" s="2" t="s">
        <v>5324</v>
      </c>
      <c r="B5327" s="2" t="s">
        <v>3</v>
      </c>
      <c r="C5327" s="1" t="str">
        <f>IFERROR(__xludf.DUMMYFUNCTION("GOOGLETRANSLATE(A5327,""en"",""pt-br"")"),"auto-serviço")</f>
        <v>auto-serviço</v>
      </c>
      <c r="D5327" s="1" t="str">
        <f>IFERROR(__xludf.DUMMYFUNCTION("GOOGLETRANSLATE(B5327,""en"",""pt-br"")"),"negativo")</f>
        <v>negativo</v>
      </c>
    </row>
    <row r="5328" ht="15.75" customHeight="1">
      <c r="A5328" s="2" t="s">
        <v>5325</v>
      </c>
      <c r="B5328" s="2" t="s">
        <v>14</v>
      </c>
      <c r="C5328" s="1" t="str">
        <f>IFERROR(__xludf.DUMMYFUNCTION("GOOGLETRANSLATE(A5328,""en"",""pt-br"")"),"auto-suficiência")</f>
        <v>auto-suficiência</v>
      </c>
      <c r="D5328" s="1" t="str">
        <f>IFERROR(__xludf.DUMMYFUNCTION("GOOGLETRANSLATE(B5328,""en"",""pt-br"")"),"positivo")</f>
        <v>positivo</v>
      </c>
    </row>
    <row r="5329" ht="15.75" customHeight="1">
      <c r="A5329" s="2" t="s">
        <v>5326</v>
      </c>
      <c r="B5329" s="2" t="s">
        <v>14</v>
      </c>
      <c r="C5329" s="1" t="str">
        <f>IFERROR(__xludf.DUMMYFUNCTION("GOOGLETRANSLATE(A5329,""en"",""pt-br"")"),"auto-suficiente")</f>
        <v>auto-suficiente</v>
      </c>
      <c r="D5329" s="1" t="str">
        <f>IFERROR(__xludf.DUMMYFUNCTION("GOOGLETRANSLATE(B5329,""en"",""pt-br"")"),"positivo")</f>
        <v>positivo</v>
      </c>
    </row>
    <row r="5330" ht="15.75" customHeight="1">
      <c r="A5330" s="2" t="s">
        <v>5327</v>
      </c>
      <c r="B5330" s="2" t="s">
        <v>3</v>
      </c>
      <c r="C5330" s="1" t="str">
        <f>IFERROR(__xludf.DUMMYFUNCTION("GOOGLETRANSLATE(A5330,""en"",""pt-br"")"),"selfinterested")</f>
        <v>selfinterested</v>
      </c>
      <c r="D5330" s="1" t="str">
        <f>IFERROR(__xludf.DUMMYFUNCTION("GOOGLETRANSLATE(B5330,""en"",""pt-br"")"),"negativo")</f>
        <v>negativo</v>
      </c>
    </row>
    <row r="5331" ht="15.75" customHeight="1">
      <c r="A5331" s="2" t="s">
        <v>5328</v>
      </c>
      <c r="B5331" s="2" t="s">
        <v>3</v>
      </c>
      <c r="C5331" s="1" t="str">
        <f>IFERROR(__xludf.DUMMYFUNCTION("GOOGLETRANSLATE(A5331,""en"",""pt-br"")"),"egoísta")</f>
        <v>egoísta</v>
      </c>
      <c r="D5331" s="1" t="str">
        <f>IFERROR(__xludf.DUMMYFUNCTION("GOOGLETRANSLATE(B5331,""en"",""pt-br"")"),"negativo")</f>
        <v>negativo</v>
      </c>
    </row>
    <row r="5332" ht="15.75" customHeight="1">
      <c r="A5332" s="2" t="s">
        <v>5329</v>
      </c>
      <c r="B5332" s="2" t="s">
        <v>3</v>
      </c>
      <c r="C5332" s="1" t="str">
        <f>IFERROR(__xludf.DUMMYFUNCTION("GOOGLETRANSLATE(A5332,""en"",""pt-br"")"),"egoisticamente")</f>
        <v>egoisticamente</v>
      </c>
      <c r="D5332" s="1" t="str">
        <f>IFERROR(__xludf.DUMMYFUNCTION("GOOGLETRANSLATE(B5332,""en"",""pt-br"")"),"negativo")</f>
        <v>negativo</v>
      </c>
    </row>
    <row r="5333" ht="15.75" customHeight="1">
      <c r="A5333" s="2" t="s">
        <v>5330</v>
      </c>
      <c r="B5333" s="2" t="s">
        <v>3</v>
      </c>
      <c r="C5333" s="1" t="str">
        <f>IFERROR(__xludf.DUMMYFUNCTION("GOOGLETRANSLATE(A5333,""en"",""pt-br"")"),"egoísmo")</f>
        <v>egoísmo</v>
      </c>
      <c r="D5333" s="1" t="str">
        <f>IFERROR(__xludf.DUMMYFUNCTION("GOOGLETRANSLATE(B5333,""en"",""pt-br"")"),"negativo")</f>
        <v>negativo</v>
      </c>
    </row>
    <row r="5334" ht="15.75" customHeight="1">
      <c r="A5334" s="2" t="s">
        <v>5331</v>
      </c>
      <c r="B5334" s="2" t="s">
        <v>3</v>
      </c>
      <c r="C5334" s="1" t="str">
        <f>IFERROR(__xludf.DUMMYFUNCTION("GOOGLETRANSLATE(A5334,""en"",""pt-br"")"),"semi-retardado")</f>
        <v>semi-retardado</v>
      </c>
      <c r="D5334" s="1" t="str">
        <f>IFERROR(__xludf.DUMMYFUNCTION("GOOGLETRANSLATE(B5334,""en"",""pt-br"")"),"negativo")</f>
        <v>negativo</v>
      </c>
    </row>
    <row r="5335" ht="15.75" customHeight="1">
      <c r="A5335" s="2" t="s">
        <v>5332</v>
      </c>
      <c r="B5335" s="2" t="s">
        <v>3</v>
      </c>
      <c r="C5335" s="1" t="str">
        <f>IFERROR(__xludf.DUMMYFUNCTION("GOOGLETRANSLATE(A5335,""en"",""pt-br"")"),"senil")</f>
        <v>senil</v>
      </c>
      <c r="D5335" s="1" t="str">
        <f>IFERROR(__xludf.DUMMYFUNCTION("GOOGLETRANSLATE(B5335,""en"",""pt-br"")"),"negativo")</f>
        <v>negativo</v>
      </c>
    </row>
    <row r="5336" ht="15.75" customHeight="1">
      <c r="A5336" s="2" t="s">
        <v>5333</v>
      </c>
      <c r="B5336" s="2" t="s">
        <v>14</v>
      </c>
      <c r="C5336" s="1" t="str">
        <f>IFERROR(__xludf.DUMMYFUNCTION("GOOGLETRANSLATE(A5336,""en"",""pt-br"")"),"sensação")</f>
        <v>sensação</v>
      </c>
      <c r="D5336" s="1" t="str">
        <f>IFERROR(__xludf.DUMMYFUNCTION("GOOGLETRANSLATE(B5336,""en"",""pt-br"")"),"positivo")</f>
        <v>positivo</v>
      </c>
    </row>
    <row r="5337" ht="15.75" customHeight="1">
      <c r="A5337" s="2" t="s">
        <v>5334</v>
      </c>
      <c r="B5337" s="2" t="s">
        <v>14</v>
      </c>
      <c r="C5337" s="1" t="str">
        <f>IFERROR(__xludf.DUMMYFUNCTION("GOOGLETRANSLATE(A5337,""en"",""pt-br"")"),"sensacional")</f>
        <v>sensacional</v>
      </c>
      <c r="D5337" s="1" t="str">
        <f>IFERROR(__xludf.DUMMYFUNCTION("GOOGLETRANSLATE(B5337,""en"",""pt-br"")"),"positivo")</f>
        <v>positivo</v>
      </c>
    </row>
    <row r="5338" ht="15.75" customHeight="1">
      <c r="A5338" s="2" t="s">
        <v>5335</v>
      </c>
      <c r="B5338" s="2" t="s">
        <v>3</v>
      </c>
      <c r="C5338" s="1" t="str">
        <f>IFERROR(__xludf.DUMMYFUNCTION("GOOGLETRANSLATE(A5338,""en"",""pt-br"")"),"sensationalize")</f>
        <v>sensationalize</v>
      </c>
      <c r="D5338" s="1" t="str">
        <f>IFERROR(__xludf.DUMMYFUNCTION("GOOGLETRANSLATE(B5338,""en"",""pt-br"")"),"negativo")</f>
        <v>negativo</v>
      </c>
    </row>
    <row r="5339" ht="15.75" customHeight="1">
      <c r="A5339" s="2" t="s">
        <v>5336</v>
      </c>
      <c r="B5339" s="2" t="s">
        <v>14</v>
      </c>
      <c r="C5339" s="1" t="str">
        <f>IFERROR(__xludf.DUMMYFUNCTION("GOOGLETRANSLATE(A5339,""en"",""pt-br"")"),"sensacionalmente")</f>
        <v>sensacionalmente</v>
      </c>
      <c r="D5339" s="1" t="str">
        <f>IFERROR(__xludf.DUMMYFUNCTION("GOOGLETRANSLATE(B5339,""en"",""pt-br"")"),"positivo")</f>
        <v>positivo</v>
      </c>
    </row>
    <row r="5340" ht="15.75" customHeight="1">
      <c r="A5340" s="2" t="s">
        <v>5337</v>
      </c>
      <c r="B5340" s="2" t="s">
        <v>14</v>
      </c>
      <c r="C5340" s="1" t="str">
        <f>IFERROR(__xludf.DUMMYFUNCTION("GOOGLETRANSLATE(A5340,""en"",""pt-br"")"),"sensações")</f>
        <v>sensações</v>
      </c>
      <c r="D5340" s="1" t="str">
        <f>IFERROR(__xludf.DUMMYFUNCTION("GOOGLETRANSLATE(B5340,""en"",""pt-br"")"),"positivo")</f>
        <v>positivo</v>
      </c>
    </row>
    <row r="5341" ht="15.75" customHeight="1">
      <c r="A5341" s="2" t="s">
        <v>5338</v>
      </c>
      <c r="B5341" s="2" t="s">
        <v>3</v>
      </c>
      <c r="C5341" s="1" t="str">
        <f>IFERROR(__xludf.DUMMYFUNCTION("GOOGLETRANSLATE(A5341,""en"",""pt-br"")"),"sem sentido")</f>
        <v>sem sentido</v>
      </c>
      <c r="D5341" s="1" t="str">
        <f>IFERROR(__xludf.DUMMYFUNCTION("GOOGLETRANSLATE(B5341,""en"",""pt-br"")"),"negativo")</f>
        <v>negativo</v>
      </c>
    </row>
    <row r="5342" ht="15.75" customHeight="1">
      <c r="A5342" s="2" t="s">
        <v>5339</v>
      </c>
      <c r="B5342" s="2" t="s">
        <v>3</v>
      </c>
      <c r="C5342" s="1" t="str">
        <f>IFERROR(__xludf.DUMMYFUNCTION("GOOGLETRANSLATE(A5342,""en"",""pt-br"")"),"senselessly")</f>
        <v>senselessly</v>
      </c>
      <c r="D5342" s="1" t="str">
        <f>IFERROR(__xludf.DUMMYFUNCTION("GOOGLETRANSLATE(B5342,""en"",""pt-br"")"),"negativo")</f>
        <v>negativo</v>
      </c>
    </row>
    <row r="5343" ht="15.75" customHeight="1">
      <c r="A5343" s="2" t="s">
        <v>5340</v>
      </c>
      <c r="B5343" s="2" t="s">
        <v>14</v>
      </c>
      <c r="C5343" s="1" t="str">
        <f>IFERROR(__xludf.DUMMYFUNCTION("GOOGLETRANSLATE(A5343,""en"",""pt-br"")"),"sensato")</f>
        <v>sensato</v>
      </c>
      <c r="D5343" s="1" t="str">
        <f>IFERROR(__xludf.DUMMYFUNCTION("GOOGLETRANSLATE(B5343,""en"",""pt-br"")"),"positivo")</f>
        <v>positivo</v>
      </c>
    </row>
    <row r="5344" ht="15.75" customHeight="1">
      <c r="A5344" s="2" t="s">
        <v>5341</v>
      </c>
      <c r="B5344" s="2" t="s">
        <v>14</v>
      </c>
      <c r="C5344" s="1" t="str">
        <f>IFERROR(__xludf.DUMMYFUNCTION("GOOGLETRANSLATE(A5344,""en"",""pt-br"")"),"sensivel")</f>
        <v>sensivel</v>
      </c>
      <c r="D5344" s="1" t="str">
        <f>IFERROR(__xludf.DUMMYFUNCTION("GOOGLETRANSLATE(B5344,""en"",""pt-br"")"),"positivo")</f>
        <v>positivo</v>
      </c>
    </row>
    <row r="5345" ht="15.75" customHeight="1">
      <c r="A5345" s="2" t="s">
        <v>5342</v>
      </c>
      <c r="B5345" s="2" t="s">
        <v>14</v>
      </c>
      <c r="C5345" s="1" t="str">
        <f>IFERROR(__xludf.DUMMYFUNCTION("GOOGLETRANSLATE(A5345,""en"",""pt-br"")"),"sensível")</f>
        <v>sensível</v>
      </c>
      <c r="D5345" s="1" t="str">
        <f>IFERROR(__xludf.DUMMYFUNCTION("GOOGLETRANSLATE(B5345,""en"",""pt-br"")"),"positivo")</f>
        <v>positivo</v>
      </c>
    </row>
    <row r="5346" ht="15.75" customHeight="1">
      <c r="A5346" s="2" t="s">
        <v>5343</v>
      </c>
      <c r="B5346" s="2" t="s">
        <v>14</v>
      </c>
      <c r="C5346" s="1" t="str">
        <f>IFERROR(__xludf.DUMMYFUNCTION("GOOGLETRANSLATE(A5346,""en"",""pt-br"")"),"sereno")</f>
        <v>sereno</v>
      </c>
      <c r="D5346" s="1" t="str">
        <f>IFERROR(__xludf.DUMMYFUNCTION("GOOGLETRANSLATE(B5346,""en"",""pt-br"")"),"positivo")</f>
        <v>positivo</v>
      </c>
    </row>
    <row r="5347" ht="15.75" customHeight="1">
      <c r="A5347" s="2" t="s">
        <v>5344</v>
      </c>
      <c r="B5347" s="2" t="s">
        <v>14</v>
      </c>
      <c r="C5347" s="1" t="str">
        <f>IFERROR(__xludf.DUMMYFUNCTION("GOOGLETRANSLATE(A5347,""en"",""pt-br"")"),"serenidade")</f>
        <v>serenidade</v>
      </c>
      <c r="D5347" s="1" t="str">
        <f>IFERROR(__xludf.DUMMYFUNCTION("GOOGLETRANSLATE(B5347,""en"",""pt-br"")"),"positivo")</f>
        <v>positivo</v>
      </c>
    </row>
    <row r="5348" ht="15.75" customHeight="1">
      <c r="A5348" s="2" t="s">
        <v>5345</v>
      </c>
      <c r="B5348" s="2" t="s">
        <v>3</v>
      </c>
      <c r="C5348" s="1" t="str">
        <f>IFERROR(__xludf.DUMMYFUNCTION("GOOGLETRANSLATE(A5348,""en"",""pt-br"")"),"gravidade")</f>
        <v>gravidade</v>
      </c>
      <c r="D5348" s="1" t="str">
        <f>IFERROR(__xludf.DUMMYFUNCTION("GOOGLETRANSLATE(B5348,""en"",""pt-br"")"),"negativo")</f>
        <v>negativo</v>
      </c>
    </row>
    <row r="5349" ht="15.75" customHeight="1">
      <c r="A5349" s="2" t="s">
        <v>5346</v>
      </c>
      <c r="B5349" s="2" t="s">
        <v>3</v>
      </c>
      <c r="C5349" s="1" t="str">
        <f>IFERROR(__xludf.DUMMYFUNCTION("GOOGLETRANSLATE(A5349,""en"",""pt-br"")"),"sermonize")</f>
        <v>sermonize</v>
      </c>
      <c r="D5349" s="1" t="str">
        <f>IFERROR(__xludf.DUMMYFUNCTION("GOOGLETRANSLATE(B5349,""en"",""pt-br"")"),"negativo")</f>
        <v>negativo</v>
      </c>
    </row>
    <row r="5350" ht="15.75" customHeight="1">
      <c r="A5350" s="2" t="s">
        <v>5347</v>
      </c>
      <c r="B5350" s="2" t="s">
        <v>3</v>
      </c>
      <c r="C5350" s="1" t="str">
        <f>IFERROR(__xludf.DUMMYFUNCTION("GOOGLETRANSLATE(A5350,""en"",""pt-br"")"),"servidão")</f>
        <v>servidão</v>
      </c>
      <c r="D5350" s="1" t="str">
        <f>IFERROR(__xludf.DUMMYFUNCTION("GOOGLETRANSLATE(B5350,""en"",""pt-br"")"),"negativo")</f>
        <v>negativo</v>
      </c>
    </row>
    <row r="5351" ht="15.75" customHeight="1">
      <c r="A5351" s="2" t="s">
        <v>5348</v>
      </c>
      <c r="B5351" s="2" t="s">
        <v>3</v>
      </c>
      <c r="C5351" s="1" t="str">
        <f>IFERROR(__xludf.DUMMYFUNCTION("GOOGLETRANSLATE(A5351,""en"",""pt-br"")"),"configuração")</f>
        <v>configuração</v>
      </c>
      <c r="D5351" s="1" t="str">
        <f>IFERROR(__xludf.DUMMYFUNCTION("GOOGLETRANSLATE(B5351,""en"",""pt-br"")"),"negativo")</f>
        <v>negativo</v>
      </c>
    </row>
    <row r="5352" ht="15.75" customHeight="1">
      <c r="A5352" s="2" t="s">
        <v>5349</v>
      </c>
      <c r="B5352" s="2" t="s">
        <v>3</v>
      </c>
      <c r="C5352" s="1" t="str">
        <f>IFERROR(__xludf.DUMMYFUNCTION("GOOGLETRANSLATE(A5352,""en"",""pt-br"")"),"revés")</f>
        <v>revés</v>
      </c>
      <c r="D5352" s="1" t="str">
        <f>IFERROR(__xludf.DUMMYFUNCTION("GOOGLETRANSLATE(B5352,""en"",""pt-br"")"),"negativo")</f>
        <v>negativo</v>
      </c>
    </row>
    <row r="5353" ht="15.75" customHeight="1">
      <c r="A5353" s="2" t="s">
        <v>5350</v>
      </c>
      <c r="B5353" s="2" t="s">
        <v>3</v>
      </c>
      <c r="C5353" s="1" t="str">
        <f>IFERROR(__xludf.DUMMYFUNCTION("GOOGLETRANSLATE(A5353,""en"",""pt-br"")"),"contratempos")</f>
        <v>contratempos</v>
      </c>
      <c r="D5353" s="1" t="str">
        <f>IFERROR(__xludf.DUMMYFUNCTION("GOOGLETRANSLATE(B5353,""en"",""pt-br"")"),"negativo")</f>
        <v>negativo</v>
      </c>
    </row>
    <row r="5354" ht="15.75" customHeight="1">
      <c r="A5354" s="2" t="s">
        <v>5351</v>
      </c>
      <c r="B5354" s="2" t="s">
        <v>3</v>
      </c>
      <c r="C5354" s="1" t="str">
        <f>IFERROR(__xludf.DUMMYFUNCTION("GOOGLETRANSLATE(A5354,""en"",""pt-br"")"),"Sever")</f>
        <v>Sever</v>
      </c>
      <c r="D5354" s="1" t="str">
        <f>IFERROR(__xludf.DUMMYFUNCTION("GOOGLETRANSLATE(B5354,""en"",""pt-br"")"),"negativo")</f>
        <v>negativo</v>
      </c>
    </row>
    <row r="5355" ht="15.75" customHeight="1">
      <c r="A5355" s="2" t="s">
        <v>5352</v>
      </c>
      <c r="B5355" s="2" t="s">
        <v>3</v>
      </c>
      <c r="C5355" s="1" t="str">
        <f>IFERROR(__xludf.DUMMYFUNCTION("GOOGLETRANSLATE(A5355,""en"",""pt-br"")"),"forte")</f>
        <v>forte</v>
      </c>
      <c r="D5355" s="1" t="str">
        <f>IFERROR(__xludf.DUMMYFUNCTION("GOOGLETRANSLATE(B5355,""en"",""pt-br"")"),"negativo")</f>
        <v>negativo</v>
      </c>
    </row>
    <row r="5356" ht="15.75" customHeight="1">
      <c r="A5356" s="2" t="s">
        <v>5353</v>
      </c>
      <c r="B5356" s="2" t="s">
        <v>3</v>
      </c>
      <c r="C5356" s="1" t="str">
        <f>IFERROR(__xludf.DUMMYFUNCTION("GOOGLETRANSLATE(A5356,""en"",""pt-br"")"),"gravidade")</f>
        <v>gravidade</v>
      </c>
      <c r="D5356" s="1" t="str">
        <f>IFERROR(__xludf.DUMMYFUNCTION("GOOGLETRANSLATE(B5356,""en"",""pt-br"")"),"negativo")</f>
        <v>negativo</v>
      </c>
    </row>
    <row r="5357" ht="15.75" customHeight="1">
      <c r="A5357" s="2" t="s">
        <v>5354</v>
      </c>
      <c r="B5357" s="2" t="s">
        <v>14</v>
      </c>
      <c r="C5357" s="1" t="str">
        <f>IFERROR(__xludf.DUMMYFUNCTION("GOOGLETRANSLATE(A5357,""en"",""pt-br"")"),"sensual")</f>
        <v>sensual</v>
      </c>
      <c r="D5357" s="1" t="str">
        <f>IFERROR(__xludf.DUMMYFUNCTION("GOOGLETRANSLATE(B5357,""en"",""pt-br"")"),"positivo")</f>
        <v>positivo</v>
      </c>
    </row>
    <row r="5358" ht="15.75" customHeight="1">
      <c r="A5358" s="2" t="s">
        <v>5355</v>
      </c>
      <c r="B5358" s="2" t="s">
        <v>3</v>
      </c>
      <c r="C5358" s="1" t="str">
        <f>IFERROR(__xludf.DUMMYFUNCTION("GOOGLETRANSLATE(A5358,""en"",""pt-br"")"),"sh * t")</f>
        <v>sh * t</v>
      </c>
      <c r="D5358" s="1" t="str">
        <f>IFERROR(__xludf.DUMMYFUNCTION("GOOGLETRANSLATE(B5358,""en"",""pt-br"")"),"negativo")</f>
        <v>negativo</v>
      </c>
    </row>
    <row r="5359" ht="15.75" customHeight="1">
      <c r="A5359" s="2" t="s">
        <v>5356</v>
      </c>
      <c r="B5359" s="2" t="s">
        <v>3</v>
      </c>
      <c r="C5359" s="1" t="str">
        <f>IFERROR(__xludf.DUMMYFUNCTION("GOOGLETRANSLATE(A5359,""en"",""pt-br"")"),"gasto")</f>
        <v>gasto</v>
      </c>
      <c r="D5359" s="1" t="str">
        <f>IFERROR(__xludf.DUMMYFUNCTION("GOOGLETRANSLATE(B5359,""en"",""pt-br"")"),"negativo")</f>
        <v>negativo</v>
      </c>
    </row>
    <row r="5360" ht="15.75" customHeight="1">
      <c r="A5360" s="2" t="s">
        <v>5357</v>
      </c>
      <c r="B5360" s="2" t="s">
        <v>3</v>
      </c>
      <c r="C5360" s="1" t="str">
        <f>IFERROR(__xludf.DUMMYFUNCTION("GOOGLETRANSLATE(A5360,""en"",""pt-br"")"),"sombrio")</f>
        <v>sombrio</v>
      </c>
      <c r="D5360" s="1" t="str">
        <f>IFERROR(__xludf.DUMMYFUNCTION("GOOGLETRANSLATE(B5360,""en"",""pt-br"")"),"negativo")</f>
        <v>negativo</v>
      </c>
    </row>
    <row r="5361" ht="15.75" customHeight="1">
      <c r="A5361" s="2" t="s">
        <v>5358</v>
      </c>
      <c r="B5361" s="2" t="s">
        <v>3</v>
      </c>
      <c r="C5361" s="1" t="str">
        <f>IFERROR(__xludf.DUMMYFUNCTION("GOOGLETRANSLATE(A5361,""en"",""pt-br"")"),"com sombra")</f>
        <v>com sombra</v>
      </c>
      <c r="D5361" s="1" t="str">
        <f>IFERROR(__xludf.DUMMYFUNCTION("GOOGLETRANSLATE(B5361,""en"",""pt-br"")"),"negativo")</f>
        <v>negativo</v>
      </c>
    </row>
    <row r="5362" ht="15.75" customHeight="1">
      <c r="A5362" s="2" t="s">
        <v>5359</v>
      </c>
      <c r="B5362" s="2" t="s">
        <v>3</v>
      </c>
      <c r="C5362" s="1" t="str">
        <f>IFERROR(__xludf.DUMMYFUNCTION("GOOGLETRANSLATE(A5362,""en"",""pt-br"")"),"mexe")</f>
        <v>mexe</v>
      </c>
      <c r="D5362" s="1" t="str">
        <f>IFERROR(__xludf.DUMMYFUNCTION("GOOGLETRANSLATE(B5362,""en"",""pt-br"")"),"negativo")</f>
        <v>negativo</v>
      </c>
    </row>
    <row r="5363" ht="15.75" customHeight="1">
      <c r="A5363" s="2" t="s">
        <v>5360</v>
      </c>
      <c r="B5363" s="2" t="s">
        <v>3</v>
      </c>
      <c r="C5363" s="1" t="str">
        <f>IFERROR(__xludf.DUMMYFUNCTION("GOOGLETRANSLATE(A5363,""en"",""pt-br"")"),"trêmulo")</f>
        <v>trêmulo</v>
      </c>
      <c r="D5363" s="1" t="str">
        <f>IFERROR(__xludf.DUMMYFUNCTION("GOOGLETRANSLATE(B5363,""en"",""pt-br"")"),"negativo")</f>
        <v>negativo</v>
      </c>
    </row>
    <row r="5364" ht="15.75" customHeight="1">
      <c r="A5364" s="2" t="s">
        <v>5361</v>
      </c>
      <c r="B5364" s="2" t="s">
        <v>3</v>
      </c>
      <c r="C5364" s="1" t="str">
        <f>IFERROR(__xludf.DUMMYFUNCTION("GOOGLETRANSLATE(A5364,""en"",""pt-br"")"),"raso")</f>
        <v>raso</v>
      </c>
      <c r="D5364" s="1" t="str">
        <f>IFERROR(__xludf.DUMMYFUNCTION("GOOGLETRANSLATE(B5364,""en"",""pt-br"")"),"negativo")</f>
        <v>negativo</v>
      </c>
    </row>
    <row r="5365" ht="15.75" customHeight="1">
      <c r="A5365" s="2" t="s">
        <v>5362</v>
      </c>
      <c r="B5365" s="2" t="s">
        <v>3</v>
      </c>
      <c r="C5365" s="1" t="str">
        <f>IFERROR(__xludf.DUMMYFUNCTION("GOOGLETRANSLATE(A5365,""en"",""pt-br"")"),"farsa, falso")</f>
        <v>farsa, falso</v>
      </c>
      <c r="D5365" s="1" t="str">
        <f>IFERROR(__xludf.DUMMYFUNCTION("GOOGLETRANSLATE(B5365,""en"",""pt-br"")"),"negativo")</f>
        <v>negativo</v>
      </c>
    </row>
    <row r="5366" ht="15.75" customHeight="1">
      <c r="A5366" s="2" t="s">
        <v>5363</v>
      </c>
      <c r="B5366" s="2" t="s">
        <v>3</v>
      </c>
      <c r="C5366" s="1" t="str">
        <f>IFERROR(__xludf.DUMMYFUNCTION("GOOGLETRANSLATE(A5366,""en"",""pt-br"")"),"matadouro")</f>
        <v>matadouro</v>
      </c>
      <c r="D5366" s="1" t="str">
        <f>IFERROR(__xludf.DUMMYFUNCTION("GOOGLETRANSLATE(B5366,""en"",""pt-br"")"),"negativo")</f>
        <v>negativo</v>
      </c>
    </row>
    <row r="5367" ht="15.75" customHeight="1">
      <c r="A5367" s="2" t="s">
        <v>5364</v>
      </c>
      <c r="B5367" s="2" t="s">
        <v>3</v>
      </c>
      <c r="C5367" s="1" t="str">
        <f>IFERROR(__xludf.DUMMYFUNCTION("GOOGLETRANSLATE(A5367,""en"",""pt-br"")"),"vergonha")</f>
        <v>vergonha</v>
      </c>
      <c r="D5367" s="1" t="str">
        <f>IFERROR(__xludf.DUMMYFUNCTION("GOOGLETRANSLATE(B5367,""en"",""pt-br"")"),"negativo")</f>
        <v>negativo</v>
      </c>
    </row>
    <row r="5368" ht="15.75" customHeight="1">
      <c r="A5368" s="2" t="s">
        <v>5365</v>
      </c>
      <c r="B5368" s="2" t="s">
        <v>3</v>
      </c>
      <c r="C5368" s="1" t="str">
        <f>IFERROR(__xludf.DUMMYFUNCTION("GOOGLETRANSLATE(A5368,""en"",""pt-br"")"),"vergonhoso")</f>
        <v>vergonhoso</v>
      </c>
      <c r="D5368" s="1" t="str">
        <f>IFERROR(__xludf.DUMMYFUNCTION("GOOGLETRANSLATE(B5368,""en"",""pt-br"")"),"negativo")</f>
        <v>negativo</v>
      </c>
    </row>
    <row r="5369" ht="15.75" customHeight="1">
      <c r="A5369" s="2" t="s">
        <v>5366</v>
      </c>
      <c r="B5369" s="2" t="s">
        <v>3</v>
      </c>
      <c r="C5369" s="1" t="str">
        <f>IFERROR(__xludf.DUMMYFUNCTION("GOOGLETRANSLATE(A5369,""en"",""pt-br"")"),"vergonhosamente")</f>
        <v>vergonhosamente</v>
      </c>
      <c r="D5369" s="1" t="str">
        <f>IFERROR(__xludf.DUMMYFUNCTION("GOOGLETRANSLATE(B5369,""en"",""pt-br"")"),"negativo")</f>
        <v>negativo</v>
      </c>
    </row>
    <row r="5370" ht="15.75" customHeight="1">
      <c r="A5370" s="2" t="s">
        <v>5367</v>
      </c>
      <c r="B5370" s="2" t="s">
        <v>3</v>
      </c>
      <c r="C5370" s="1" t="str">
        <f>IFERROR(__xludf.DUMMYFUNCTION("GOOGLETRANSLATE(A5370,""en"",""pt-br"")"),"vergonha")</f>
        <v>vergonha</v>
      </c>
      <c r="D5370" s="1" t="str">
        <f>IFERROR(__xludf.DUMMYFUNCTION("GOOGLETRANSLATE(B5370,""en"",""pt-br"")"),"negativo")</f>
        <v>negativo</v>
      </c>
    </row>
    <row r="5371" ht="15.75" customHeight="1">
      <c r="A5371" s="2" t="s">
        <v>5368</v>
      </c>
      <c r="B5371" s="2" t="s">
        <v>3</v>
      </c>
      <c r="C5371" s="1" t="str">
        <f>IFERROR(__xludf.DUMMYFUNCTION("GOOGLETRANSLATE(A5371,""en"",""pt-br"")"),"sem vergonha")</f>
        <v>sem vergonha</v>
      </c>
      <c r="D5371" s="1" t="str">
        <f>IFERROR(__xludf.DUMMYFUNCTION("GOOGLETRANSLATE(B5371,""en"",""pt-br"")"),"negativo")</f>
        <v>negativo</v>
      </c>
    </row>
    <row r="5372" ht="15.75" customHeight="1">
      <c r="A5372" s="2" t="s">
        <v>5369</v>
      </c>
      <c r="B5372" s="2" t="s">
        <v>3</v>
      </c>
      <c r="C5372" s="1" t="str">
        <f>IFERROR(__xludf.DUMMYFUNCTION("GOOGLETRANSLATE(A5372,""en"",""pt-br"")"),"descaradamente")</f>
        <v>descaradamente</v>
      </c>
      <c r="D5372" s="1" t="str">
        <f>IFERROR(__xludf.DUMMYFUNCTION("GOOGLETRANSLATE(B5372,""en"",""pt-br"")"),"negativo")</f>
        <v>negativo</v>
      </c>
    </row>
    <row r="5373" ht="15.75" customHeight="1">
      <c r="A5373" s="2" t="s">
        <v>5370</v>
      </c>
      <c r="B5373" s="2" t="s">
        <v>3</v>
      </c>
      <c r="C5373" s="1" t="str">
        <f>IFERROR(__xludf.DUMMYFUNCTION("GOOGLETRANSLATE(A5373,""en"",""pt-br"")"),"shamelessness")</f>
        <v>shamelessness</v>
      </c>
      <c r="D5373" s="1" t="str">
        <f>IFERROR(__xludf.DUMMYFUNCTION("GOOGLETRANSLATE(B5373,""en"",""pt-br"")"),"negativo")</f>
        <v>negativo</v>
      </c>
    </row>
    <row r="5374" ht="15.75" customHeight="1">
      <c r="A5374" s="2" t="s">
        <v>5371</v>
      </c>
      <c r="B5374" s="2" t="s">
        <v>3</v>
      </c>
      <c r="C5374" s="1" t="str">
        <f>IFERROR(__xludf.DUMMYFUNCTION("GOOGLETRANSLATE(A5374,""en"",""pt-br"")"),"Tubarão")</f>
        <v>Tubarão</v>
      </c>
      <c r="D5374" s="1" t="str">
        <f>IFERROR(__xludf.DUMMYFUNCTION("GOOGLETRANSLATE(B5374,""en"",""pt-br"")"),"negativo")</f>
        <v>negativo</v>
      </c>
    </row>
    <row r="5375" ht="15.75" customHeight="1">
      <c r="A5375" s="2" t="s">
        <v>5372</v>
      </c>
      <c r="B5375" s="2" t="s">
        <v>14</v>
      </c>
      <c r="C5375" s="1" t="str">
        <f>IFERROR(__xludf.DUMMYFUNCTION("GOOGLETRANSLATE(A5375,""en"",""pt-br"")"),"afiado")</f>
        <v>afiado</v>
      </c>
      <c r="D5375" s="1" t="str">
        <f>IFERROR(__xludf.DUMMYFUNCTION("GOOGLETRANSLATE(B5375,""en"",""pt-br"")"),"positivo")</f>
        <v>positivo</v>
      </c>
    </row>
    <row r="5376" ht="15.75" customHeight="1">
      <c r="A5376" s="2" t="s">
        <v>5373</v>
      </c>
      <c r="B5376" s="2" t="s">
        <v>14</v>
      </c>
      <c r="C5376" s="1" t="str">
        <f>IFERROR(__xludf.DUMMYFUNCTION("GOOGLETRANSLATE(A5376,""en"",""pt-br"")"),"vigarista")</f>
        <v>vigarista</v>
      </c>
      <c r="D5376" s="1" t="str">
        <f>IFERROR(__xludf.DUMMYFUNCTION("GOOGLETRANSLATE(B5376,""en"",""pt-br"")"),"positivo")</f>
        <v>positivo</v>
      </c>
    </row>
    <row r="5377" ht="15.75" customHeight="1">
      <c r="A5377" s="2" t="s">
        <v>5374</v>
      </c>
      <c r="B5377" s="2" t="s">
        <v>14</v>
      </c>
      <c r="C5377" s="1" t="str">
        <f>IFERROR(__xludf.DUMMYFUNCTION("GOOGLETRANSLATE(A5377,""en"",""pt-br"")"),"sharpest")</f>
        <v>sharpest</v>
      </c>
      <c r="D5377" s="1" t="str">
        <f>IFERROR(__xludf.DUMMYFUNCTION("GOOGLETRANSLATE(B5377,""en"",""pt-br"")"),"positivo")</f>
        <v>positivo</v>
      </c>
    </row>
    <row r="5378" ht="15.75" customHeight="1">
      <c r="A5378" s="2" t="s">
        <v>5375</v>
      </c>
      <c r="B5378" s="2" t="s">
        <v>3</v>
      </c>
      <c r="C5378" s="1" t="str">
        <f>IFERROR(__xludf.DUMMYFUNCTION("GOOGLETRANSLATE(A5378,""en"",""pt-br"")"),"bruscamente")</f>
        <v>bruscamente</v>
      </c>
      <c r="D5378" s="1" t="str">
        <f>IFERROR(__xludf.DUMMYFUNCTION("GOOGLETRANSLATE(B5378,""en"",""pt-br"")"),"negativo")</f>
        <v>negativo</v>
      </c>
    </row>
    <row r="5379" ht="15.75" customHeight="1">
      <c r="A5379" s="2" t="s">
        <v>5376</v>
      </c>
      <c r="B5379" s="2" t="s">
        <v>3</v>
      </c>
      <c r="C5379" s="1" t="str">
        <f>IFERROR(__xludf.DUMMYFUNCTION("GOOGLETRANSLATE(A5379,""en"",""pt-br"")"),"Shatter")</f>
        <v>Shatter</v>
      </c>
      <c r="D5379" s="1" t="str">
        <f>IFERROR(__xludf.DUMMYFUNCTION("GOOGLETRANSLATE(B5379,""en"",""pt-br"")"),"negativo")</f>
        <v>negativo</v>
      </c>
    </row>
    <row r="5380" ht="15.75" customHeight="1">
      <c r="A5380" s="2" t="s">
        <v>5377</v>
      </c>
      <c r="B5380" s="2" t="s">
        <v>3</v>
      </c>
      <c r="C5380" s="1" t="str">
        <f>IFERROR(__xludf.DUMMYFUNCTION("GOOGLETRANSLATE(A5380,""en"",""pt-br"")"),"transsexual")</f>
        <v>transsexual</v>
      </c>
      <c r="D5380" s="1" t="str">
        <f>IFERROR(__xludf.DUMMYFUNCTION("GOOGLETRANSLATE(B5380,""en"",""pt-br"")"),"negativo")</f>
        <v>negativo</v>
      </c>
    </row>
    <row r="5381" ht="15.75" customHeight="1">
      <c r="A5381" s="2" t="s">
        <v>5378</v>
      </c>
      <c r="B5381" s="2" t="s">
        <v>3</v>
      </c>
      <c r="C5381" s="1" t="str">
        <f>IFERROR(__xludf.DUMMYFUNCTION("GOOGLETRANSLATE(A5381,""en"",""pt-br"")"),"luz difusa")</f>
        <v>luz difusa</v>
      </c>
      <c r="D5381" s="1" t="str">
        <f>IFERROR(__xludf.DUMMYFUNCTION("GOOGLETRANSLATE(B5381,""en"",""pt-br"")"),"negativo")</f>
        <v>negativo</v>
      </c>
    </row>
    <row r="5382" ht="15.75" customHeight="1">
      <c r="A5382" s="2" t="s">
        <v>5379</v>
      </c>
      <c r="B5382" s="2" t="s">
        <v>14</v>
      </c>
      <c r="C5382" s="1" t="str">
        <f>IFERROR(__xludf.DUMMYFUNCTION("GOOGLETRANSLATE(A5382,""en"",""pt-br"")"),"cintilante")</f>
        <v>cintilante</v>
      </c>
      <c r="D5382" s="1" t="str">
        <f>IFERROR(__xludf.DUMMYFUNCTION("GOOGLETRANSLATE(B5382,""en"",""pt-br"")"),"positivo")</f>
        <v>positivo</v>
      </c>
    </row>
    <row r="5383" ht="15.75" customHeight="1">
      <c r="A5383" s="2" t="s">
        <v>5380</v>
      </c>
      <c r="B5383" s="2" t="s">
        <v>14</v>
      </c>
      <c r="C5383" s="1" t="str">
        <f>IFERROR(__xludf.DUMMYFUNCTION("GOOGLETRANSLATE(A5383,""en"",""pt-br"")"),"shimmeringly")</f>
        <v>shimmeringly</v>
      </c>
      <c r="D5383" s="1" t="str">
        <f>IFERROR(__xludf.DUMMYFUNCTION("GOOGLETRANSLATE(B5383,""en"",""pt-br"")"),"positivo")</f>
        <v>positivo</v>
      </c>
    </row>
    <row r="5384" ht="15.75" customHeight="1">
      <c r="A5384" s="2" t="s">
        <v>5381</v>
      </c>
      <c r="B5384" s="2" t="s">
        <v>3</v>
      </c>
      <c r="C5384" s="1" t="str">
        <f>IFERROR(__xludf.DUMMYFUNCTION("GOOGLETRANSLATE(A5384,""en"",""pt-br"")"),"trepidar")</f>
        <v>trepidar</v>
      </c>
      <c r="D5384" s="1" t="str">
        <f>IFERROR(__xludf.DUMMYFUNCTION("GOOGLETRANSLATE(B5384,""en"",""pt-br"")"),"negativo")</f>
        <v>negativo</v>
      </c>
    </row>
    <row r="5385" ht="15.75" customHeight="1">
      <c r="A5385" s="2" t="s">
        <v>5382</v>
      </c>
      <c r="B5385" s="2" t="s">
        <v>14</v>
      </c>
      <c r="C5385" s="1" t="str">
        <f>IFERROR(__xludf.DUMMYFUNCTION("GOOGLETRANSLATE(A5385,""en"",""pt-br"")"),"brilho")</f>
        <v>brilho</v>
      </c>
      <c r="D5385" s="1" t="str">
        <f>IFERROR(__xludf.DUMMYFUNCTION("GOOGLETRANSLATE(B5385,""en"",""pt-br"")"),"positivo")</f>
        <v>positivo</v>
      </c>
    </row>
    <row r="5386" ht="15.75" customHeight="1">
      <c r="A5386" s="2" t="s">
        <v>5383</v>
      </c>
      <c r="B5386" s="2" t="s">
        <v>14</v>
      </c>
      <c r="C5386" s="1" t="str">
        <f>IFERROR(__xludf.DUMMYFUNCTION("GOOGLETRANSLATE(A5386,""en"",""pt-br"")"),"brilhante")</f>
        <v>brilhante</v>
      </c>
      <c r="D5386" s="1" t="str">
        <f>IFERROR(__xludf.DUMMYFUNCTION("GOOGLETRANSLATE(B5386,""en"",""pt-br"")"),"positivo")</f>
        <v>positivo</v>
      </c>
    </row>
    <row r="5387" ht="15.75" customHeight="1">
      <c r="A5387" s="2" t="s">
        <v>5384</v>
      </c>
      <c r="B5387" s="2" t="s">
        <v>3</v>
      </c>
      <c r="C5387" s="1" t="str">
        <f>IFERROR(__xludf.DUMMYFUNCTION("GOOGLETRANSLATE(A5387,""en"",""pt-br"")"),"naufrágio")</f>
        <v>naufrágio</v>
      </c>
      <c r="D5387" s="1" t="str">
        <f>IFERROR(__xludf.DUMMYFUNCTION("GOOGLETRANSLATE(B5387,""en"",""pt-br"")"),"negativo")</f>
        <v>negativo</v>
      </c>
    </row>
    <row r="5388" ht="15.75" customHeight="1">
      <c r="A5388" s="2" t="s">
        <v>5385</v>
      </c>
      <c r="B5388" s="2" t="s">
        <v>3</v>
      </c>
      <c r="C5388" s="1" t="str">
        <f>IFERROR(__xludf.DUMMYFUNCTION("GOOGLETRANSLATE(A5388,""en"",""pt-br"")"),"esquivar-se a")</f>
        <v>esquivar-se a</v>
      </c>
      <c r="D5388" s="1" t="str">
        <f>IFERROR(__xludf.DUMMYFUNCTION("GOOGLETRANSLATE(B5388,""en"",""pt-br"")"),"negativo")</f>
        <v>negativo</v>
      </c>
    </row>
    <row r="5389" ht="15.75" customHeight="1">
      <c r="A5389" s="2" t="s">
        <v>5386</v>
      </c>
      <c r="B5389" s="2" t="s">
        <v>3</v>
      </c>
      <c r="C5389" s="1" t="str">
        <f>IFERROR(__xludf.DUMMYFUNCTION("GOOGLETRANSLATE(A5389,""en"",""pt-br"")"),"mandrião")</f>
        <v>mandrião</v>
      </c>
      <c r="D5389" s="1" t="str">
        <f>IFERROR(__xludf.DUMMYFUNCTION("GOOGLETRANSLATE(B5389,""en"",""pt-br"")"),"negativo")</f>
        <v>negativo</v>
      </c>
    </row>
    <row r="5390" ht="15.75" customHeight="1">
      <c r="A5390" s="2" t="s">
        <v>5387</v>
      </c>
      <c r="B5390" s="2" t="s">
        <v>3</v>
      </c>
      <c r="C5390" s="1" t="str">
        <f>IFERROR(__xludf.DUMMYFUNCTION("GOOGLETRANSLATE(A5390,""en"",""pt-br"")"),"merda")</f>
        <v>merda</v>
      </c>
      <c r="D5390" s="1" t="str">
        <f>IFERROR(__xludf.DUMMYFUNCTION("GOOGLETRANSLATE(B5390,""en"",""pt-br"")"),"negativo")</f>
        <v>negativo</v>
      </c>
    </row>
    <row r="5391" ht="15.75" customHeight="1">
      <c r="A5391" s="2" t="s">
        <v>5388</v>
      </c>
      <c r="B5391" s="2" t="s">
        <v>3</v>
      </c>
      <c r="C5391" s="1" t="str">
        <f>IFERROR(__xludf.DUMMYFUNCTION("GOOGLETRANSLATE(A5391,""en"",""pt-br"")"),"arrepio")</f>
        <v>arrepio</v>
      </c>
      <c r="D5391" s="1" t="str">
        <f>IFERROR(__xludf.DUMMYFUNCTION("GOOGLETRANSLATE(B5391,""en"",""pt-br"")"),"negativo")</f>
        <v>negativo</v>
      </c>
    </row>
    <row r="5392" ht="15.75" customHeight="1">
      <c r="A5392" s="2" t="s">
        <v>5389</v>
      </c>
      <c r="B5392" s="2" t="s">
        <v>3</v>
      </c>
      <c r="C5392" s="1" t="str">
        <f>IFERROR(__xludf.DUMMYFUNCTION("GOOGLETRANSLATE(A5392,""en"",""pt-br"")"),"choque")</f>
        <v>choque</v>
      </c>
      <c r="D5392" s="1" t="str">
        <f>IFERROR(__xludf.DUMMYFUNCTION("GOOGLETRANSLATE(B5392,""en"",""pt-br"")"),"negativo")</f>
        <v>negativo</v>
      </c>
    </row>
    <row r="5393" ht="15.75" customHeight="1">
      <c r="A5393" s="2" t="s">
        <v>5390</v>
      </c>
      <c r="B5393" s="2" t="s">
        <v>3</v>
      </c>
      <c r="C5393" s="1" t="str">
        <f>IFERROR(__xludf.DUMMYFUNCTION("GOOGLETRANSLATE(A5393,""en"",""pt-br"")"),"chocado")</f>
        <v>chocado</v>
      </c>
      <c r="D5393" s="1" t="str">
        <f>IFERROR(__xludf.DUMMYFUNCTION("GOOGLETRANSLATE(B5393,""en"",""pt-br"")"),"negativo")</f>
        <v>negativo</v>
      </c>
    </row>
    <row r="5394" ht="15.75" customHeight="1">
      <c r="A5394" s="2" t="s">
        <v>5391</v>
      </c>
      <c r="B5394" s="2" t="s">
        <v>3</v>
      </c>
      <c r="C5394" s="1" t="str">
        <f>IFERROR(__xludf.DUMMYFUNCTION("GOOGLETRANSLATE(A5394,""en"",""pt-br"")"),"chocante")</f>
        <v>chocante</v>
      </c>
      <c r="D5394" s="1" t="str">
        <f>IFERROR(__xludf.DUMMYFUNCTION("GOOGLETRANSLATE(B5394,""en"",""pt-br"")"),"negativo")</f>
        <v>negativo</v>
      </c>
    </row>
    <row r="5395" ht="15.75" customHeight="1">
      <c r="A5395" s="2" t="s">
        <v>5392</v>
      </c>
      <c r="B5395" s="2" t="s">
        <v>3</v>
      </c>
      <c r="C5395" s="1" t="str">
        <f>IFERROR(__xludf.DUMMYFUNCTION("GOOGLETRANSLATE(A5395,""en"",""pt-br"")"),"chocantemente")</f>
        <v>chocantemente</v>
      </c>
      <c r="D5395" s="1" t="str">
        <f>IFERROR(__xludf.DUMMYFUNCTION("GOOGLETRANSLATE(B5395,""en"",""pt-br"")"),"negativo")</f>
        <v>negativo</v>
      </c>
    </row>
    <row r="5396" ht="15.75" customHeight="1">
      <c r="A5396" s="2" t="s">
        <v>5393</v>
      </c>
      <c r="B5396" s="2" t="s">
        <v>3</v>
      </c>
      <c r="C5396" s="1" t="str">
        <f>IFERROR(__xludf.DUMMYFUNCTION("GOOGLETRANSLATE(A5396,""en"",""pt-br"")"),"má qualidade")</f>
        <v>má qualidade</v>
      </c>
      <c r="D5396" s="1" t="str">
        <f>IFERROR(__xludf.DUMMYFUNCTION("GOOGLETRANSLATE(B5396,""en"",""pt-br"")"),"negativo")</f>
        <v>negativo</v>
      </c>
    </row>
    <row r="5397" ht="15.75" customHeight="1">
      <c r="A5397" s="2" t="s">
        <v>5394</v>
      </c>
      <c r="B5397" s="2" t="s">
        <v>3</v>
      </c>
      <c r="C5397" s="1" t="str">
        <f>IFERROR(__xludf.DUMMYFUNCTION("GOOGLETRANSLATE(A5397,""en"",""pt-br"")"),"-Vida curta")</f>
        <v>-Vida curta</v>
      </c>
      <c r="D5397" s="1" t="str">
        <f>IFERROR(__xludf.DUMMYFUNCTION("GOOGLETRANSLATE(B5397,""en"",""pt-br"")"),"negativo")</f>
        <v>negativo</v>
      </c>
    </row>
    <row r="5398" ht="15.75" customHeight="1">
      <c r="A5398" s="2" t="s">
        <v>5395</v>
      </c>
      <c r="B5398" s="2" t="s">
        <v>3</v>
      </c>
      <c r="C5398" s="1" t="str">
        <f>IFERROR(__xludf.DUMMYFUNCTION("GOOGLETRANSLATE(A5398,""en"",""pt-br"")"),"escassez")</f>
        <v>escassez</v>
      </c>
      <c r="D5398" s="1" t="str">
        <f>IFERROR(__xludf.DUMMYFUNCTION("GOOGLETRANSLATE(B5398,""en"",""pt-br"")"),"negativo")</f>
        <v>negativo</v>
      </c>
    </row>
    <row r="5399" ht="15.75" customHeight="1">
      <c r="A5399" s="2" t="s">
        <v>5396</v>
      </c>
      <c r="B5399" s="2" t="s">
        <v>3</v>
      </c>
      <c r="C5399" s="1" t="str">
        <f>IFERROR(__xludf.DUMMYFUNCTION("GOOGLETRANSLATE(A5399,""en"",""pt-br"")"),"shortchange")</f>
        <v>shortchange</v>
      </c>
      <c r="D5399" s="1" t="str">
        <f>IFERROR(__xludf.DUMMYFUNCTION("GOOGLETRANSLATE(B5399,""en"",""pt-br"")"),"negativo")</f>
        <v>negativo</v>
      </c>
    </row>
    <row r="5400" ht="15.75" customHeight="1">
      <c r="A5400" s="2" t="s">
        <v>5397</v>
      </c>
      <c r="B5400" s="2" t="s">
        <v>3</v>
      </c>
      <c r="C5400" s="1" t="str">
        <f>IFERROR(__xludf.DUMMYFUNCTION("GOOGLETRANSLATE(A5400,""en"",""pt-br"")"),"deficiência")</f>
        <v>deficiência</v>
      </c>
      <c r="D5400" s="1" t="str">
        <f>IFERROR(__xludf.DUMMYFUNCTION("GOOGLETRANSLATE(B5400,""en"",""pt-br"")"),"negativo")</f>
        <v>negativo</v>
      </c>
    </row>
    <row r="5401" ht="15.75" customHeight="1">
      <c r="A5401" s="2" t="s">
        <v>5398</v>
      </c>
      <c r="B5401" s="2" t="s">
        <v>3</v>
      </c>
      <c r="C5401" s="1" t="str">
        <f>IFERROR(__xludf.DUMMYFUNCTION("GOOGLETRANSLATE(A5401,""en"",""pt-br"")"),"deficiências")</f>
        <v>deficiências</v>
      </c>
      <c r="D5401" s="1" t="str">
        <f>IFERROR(__xludf.DUMMYFUNCTION("GOOGLETRANSLATE(B5401,""en"",""pt-br"")"),"negativo")</f>
        <v>negativo</v>
      </c>
    </row>
    <row r="5402" ht="15.75" customHeight="1">
      <c r="A5402" s="2" t="s">
        <v>5399</v>
      </c>
      <c r="B5402" s="2" t="s">
        <v>3</v>
      </c>
      <c r="C5402" s="1" t="str">
        <f>IFERROR(__xludf.DUMMYFUNCTION("GOOGLETRANSLATE(A5402,""en"",""pt-br"")"),"falta")</f>
        <v>falta</v>
      </c>
      <c r="D5402" s="1" t="str">
        <f>IFERROR(__xludf.DUMMYFUNCTION("GOOGLETRANSLATE(B5402,""en"",""pt-br"")"),"negativo")</f>
        <v>negativo</v>
      </c>
    </row>
    <row r="5403" ht="15.75" customHeight="1">
      <c r="A5403" s="2" t="s">
        <v>5400</v>
      </c>
      <c r="B5403" s="2" t="s">
        <v>3</v>
      </c>
      <c r="C5403" s="1" t="str">
        <f>IFERROR(__xludf.DUMMYFUNCTION("GOOGLETRANSLATE(A5403,""en"",""pt-br"")"),"míope")</f>
        <v>míope</v>
      </c>
      <c r="D5403" s="1" t="str">
        <f>IFERROR(__xludf.DUMMYFUNCTION("GOOGLETRANSLATE(B5403,""en"",""pt-br"")"),"negativo")</f>
        <v>negativo</v>
      </c>
    </row>
    <row r="5404" ht="15.75" customHeight="1">
      <c r="A5404" s="2" t="s">
        <v>5401</v>
      </c>
      <c r="B5404" s="2" t="s">
        <v>3</v>
      </c>
      <c r="C5404" s="1" t="str">
        <f>IFERROR(__xludf.DUMMYFUNCTION("GOOGLETRANSLATE(A5404,""en"",""pt-br"")"),"miopia")</f>
        <v>miopia</v>
      </c>
      <c r="D5404" s="1" t="str">
        <f>IFERROR(__xludf.DUMMYFUNCTION("GOOGLETRANSLATE(B5404,""en"",""pt-br"")"),"negativo")</f>
        <v>negativo</v>
      </c>
    </row>
    <row r="5405" ht="15.75" customHeight="1">
      <c r="A5405" s="2" t="s">
        <v>5402</v>
      </c>
      <c r="B5405" s="2" t="s">
        <v>3</v>
      </c>
      <c r="C5405" s="1" t="str">
        <f>IFERROR(__xludf.DUMMYFUNCTION("GOOGLETRANSLATE(A5405,""en"",""pt-br"")"),"Confronto")</f>
        <v>Confronto</v>
      </c>
      <c r="D5405" s="1" t="str">
        <f>IFERROR(__xludf.DUMMYFUNCTION("GOOGLETRANSLATE(B5405,""en"",""pt-br"")"),"negativo")</f>
        <v>negativo</v>
      </c>
    </row>
    <row r="5406" ht="15.75" customHeight="1">
      <c r="A5406" s="2" t="s">
        <v>5403</v>
      </c>
      <c r="B5406" s="2" t="s">
        <v>3</v>
      </c>
      <c r="C5406" s="1" t="str">
        <f>IFERROR(__xludf.DUMMYFUNCTION("GOOGLETRANSLATE(A5406,""en"",""pt-br"")"),"musaranho")</f>
        <v>musaranho</v>
      </c>
      <c r="D5406" s="1" t="str">
        <f>IFERROR(__xludf.DUMMYFUNCTION("GOOGLETRANSLATE(B5406,""en"",""pt-br"")"),"negativo")</f>
        <v>negativo</v>
      </c>
    </row>
    <row r="5407" ht="15.75" customHeight="1">
      <c r="A5407" s="2" t="s">
        <v>5404</v>
      </c>
      <c r="B5407" s="2" t="s">
        <v>3</v>
      </c>
      <c r="C5407" s="1" t="str">
        <f>IFERROR(__xludf.DUMMYFUNCTION("GOOGLETRANSLATE(A5407,""en"",""pt-br"")"),"guincho")</f>
        <v>guincho</v>
      </c>
      <c r="D5407" s="1" t="str">
        <f>IFERROR(__xludf.DUMMYFUNCTION("GOOGLETRANSLATE(B5407,""en"",""pt-br"")"),"negativo")</f>
        <v>negativo</v>
      </c>
    </row>
    <row r="5408" ht="15.75" customHeight="1">
      <c r="A5408" s="2" t="s">
        <v>5405</v>
      </c>
      <c r="B5408" s="2" t="s">
        <v>3</v>
      </c>
      <c r="C5408" s="1" t="str">
        <f>IFERROR(__xludf.DUMMYFUNCTION("GOOGLETRANSLATE(A5408,""en"",""pt-br"")"),"estridente")</f>
        <v>estridente</v>
      </c>
      <c r="D5408" s="1" t="str">
        <f>IFERROR(__xludf.DUMMYFUNCTION("GOOGLETRANSLATE(B5408,""en"",""pt-br"")"),"negativo")</f>
        <v>negativo</v>
      </c>
    </row>
    <row r="5409" ht="15.75" customHeight="1">
      <c r="A5409" s="2" t="s">
        <v>5406</v>
      </c>
      <c r="B5409" s="2" t="s">
        <v>3</v>
      </c>
      <c r="C5409" s="1" t="str">
        <f>IFERROR(__xludf.DUMMYFUNCTION("GOOGLETRANSLATE(A5409,""en"",""pt-br"")"),"estridentemente")</f>
        <v>estridentemente</v>
      </c>
      <c r="D5409" s="1" t="str">
        <f>IFERROR(__xludf.DUMMYFUNCTION("GOOGLETRANSLATE(B5409,""en"",""pt-br"")"),"negativo")</f>
        <v>negativo</v>
      </c>
    </row>
    <row r="5410" ht="15.75" customHeight="1">
      <c r="A5410" s="2" t="s">
        <v>5407</v>
      </c>
      <c r="B5410" s="2" t="s">
        <v>3</v>
      </c>
      <c r="C5410" s="1" t="str">
        <f>IFERROR(__xludf.DUMMYFUNCTION("GOOGLETRANSLATE(A5410,""en"",""pt-br"")"),"murchar")</f>
        <v>murchar</v>
      </c>
      <c r="D5410" s="1" t="str">
        <f>IFERROR(__xludf.DUMMYFUNCTION("GOOGLETRANSLATE(B5410,""en"",""pt-br"")"),"negativo")</f>
        <v>negativo</v>
      </c>
    </row>
    <row r="5411" ht="15.75" customHeight="1">
      <c r="A5411" s="2" t="s">
        <v>5408</v>
      </c>
      <c r="B5411" s="2" t="s">
        <v>3</v>
      </c>
      <c r="C5411" s="1" t="str">
        <f>IFERROR(__xludf.DUMMYFUNCTION("GOOGLETRANSLATE(A5411,""en"",""pt-br"")"),"mortalha")</f>
        <v>mortalha</v>
      </c>
      <c r="D5411" s="1" t="str">
        <f>IFERROR(__xludf.DUMMYFUNCTION("GOOGLETRANSLATE(B5411,""en"",""pt-br"")"),"negativo")</f>
        <v>negativo</v>
      </c>
    </row>
    <row r="5412" ht="15.75" customHeight="1">
      <c r="A5412" s="2" t="s">
        <v>5409</v>
      </c>
      <c r="B5412" s="2" t="s">
        <v>3</v>
      </c>
      <c r="C5412" s="1" t="str">
        <f>IFERROR(__xludf.DUMMYFUNCTION("GOOGLETRANSLATE(A5412,""en"",""pt-br"")"),"envolta")</f>
        <v>envolta</v>
      </c>
      <c r="D5412" s="1" t="str">
        <f>IFERROR(__xludf.DUMMYFUNCTION("GOOGLETRANSLATE(B5412,""en"",""pt-br"")"),"negativo")</f>
        <v>negativo</v>
      </c>
    </row>
    <row r="5413" ht="15.75" customHeight="1">
      <c r="A5413" s="2" t="s">
        <v>5410</v>
      </c>
      <c r="B5413" s="2" t="s">
        <v>3</v>
      </c>
      <c r="C5413" s="1" t="str">
        <f>IFERROR(__xludf.DUMMYFUNCTION("GOOGLETRANSLATE(A5413,""en"",""pt-br"")"),"dar de ombros")</f>
        <v>dar de ombros</v>
      </c>
      <c r="D5413" s="1" t="str">
        <f>IFERROR(__xludf.DUMMYFUNCTION("GOOGLETRANSLATE(B5413,""en"",""pt-br"")"),"negativo")</f>
        <v>negativo</v>
      </c>
    </row>
    <row r="5414" ht="15.75" customHeight="1">
      <c r="A5414" s="2" t="s">
        <v>5411</v>
      </c>
      <c r="B5414" s="2" t="s">
        <v>3</v>
      </c>
      <c r="C5414" s="1" t="str">
        <f>IFERROR(__xludf.DUMMYFUNCTION("GOOGLETRANSLATE(A5414,""en"",""pt-br"")"),"evitar")</f>
        <v>evitar</v>
      </c>
      <c r="D5414" s="1" t="str">
        <f>IFERROR(__xludf.DUMMYFUNCTION("GOOGLETRANSLATE(B5414,""en"",""pt-br"")"),"negativo")</f>
        <v>negativo</v>
      </c>
    </row>
    <row r="5415" ht="15.75" customHeight="1">
      <c r="A5415" s="2" t="s">
        <v>5412</v>
      </c>
      <c r="B5415" s="2" t="s">
        <v>3</v>
      </c>
      <c r="C5415" s="1" t="str">
        <f>IFERROR(__xludf.DUMMYFUNCTION("GOOGLETRANSLATE(A5415,""en"",""pt-br"")"),"Shunned")</f>
        <v>Shunned</v>
      </c>
      <c r="D5415" s="1" t="str">
        <f>IFERROR(__xludf.DUMMYFUNCTION("GOOGLETRANSLATE(B5415,""en"",""pt-br"")"),"negativo")</f>
        <v>negativo</v>
      </c>
    </row>
    <row r="5416" ht="15.75" customHeight="1">
      <c r="A5416" s="2" t="s">
        <v>5413</v>
      </c>
      <c r="B5416" s="2" t="s">
        <v>3</v>
      </c>
      <c r="C5416" s="1" t="str">
        <f>IFERROR(__xludf.DUMMYFUNCTION("GOOGLETRANSLATE(A5416,""en"",""pt-br"")"),"doente")</f>
        <v>doente</v>
      </c>
      <c r="D5416" s="1" t="str">
        <f>IFERROR(__xludf.DUMMYFUNCTION("GOOGLETRANSLATE(B5416,""en"",""pt-br"")"),"negativo")</f>
        <v>negativo</v>
      </c>
    </row>
    <row r="5417" ht="15.75" customHeight="1">
      <c r="A5417" s="2" t="s">
        <v>5414</v>
      </c>
      <c r="B5417" s="2" t="s">
        <v>3</v>
      </c>
      <c r="C5417" s="1" t="str">
        <f>IFERROR(__xludf.DUMMYFUNCTION("GOOGLETRANSLATE(A5417,""en"",""pt-br"")"),"adoecer")</f>
        <v>adoecer</v>
      </c>
      <c r="D5417" s="1" t="str">
        <f>IFERROR(__xludf.DUMMYFUNCTION("GOOGLETRANSLATE(B5417,""en"",""pt-br"")"),"negativo")</f>
        <v>negativo</v>
      </c>
    </row>
    <row r="5418" ht="15.75" customHeight="1">
      <c r="A5418" s="2" t="s">
        <v>5415</v>
      </c>
      <c r="B5418" s="2" t="s">
        <v>3</v>
      </c>
      <c r="C5418" s="1" t="str">
        <f>IFERROR(__xludf.DUMMYFUNCTION("GOOGLETRANSLATE(A5418,""en"",""pt-br"")"),"repugnante")</f>
        <v>repugnante</v>
      </c>
      <c r="D5418" s="1" t="str">
        <f>IFERROR(__xludf.DUMMYFUNCTION("GOOGLETRANSLATE(B5418,""en"",""pt-br"")"),"negativo")</f>
        <v>negativo</v>
      </c>
    </row>
    <row r="5419" ht="15.75" customHeight="1">
      <c r="A5419" s="2" t="s">
        <v>5416</v>
      </c>
      <c r="B5419" s="2" t="s">
        <v>3</v>
      </c>
      <c r="C5419" s="1" t="str">
        <f>IFERROR(__xludf.DUMMYFUNCTION("GOOGLETRANSLATE(A5419,""en"",""pt-br"")"),"sickeningly")</f>
        <v>sickeningly</v>
      </c>
      <c r="D5419" s="1" t="str">
        <f>IFERROR(__xludf.DUMMYFUNCTION("GOOGLETRANSLATE(B5419,""en"",""pt-br"")"),"negativo")</f>
        <v>negativo</v>
      </c>
    </row>
    <row r="5420" ht="15.75" customHeight="1">
      <c r="A5420" s="2" t="s">
        <v>5417</v>
      </c>
      <c r="B5420" s="2" t="s">
        <v>3</v>
      </c>
      <c r="C5420" s="1" t="str">
        <f>IFERROR(__xludf.DUMMYFUNCTION("GOOGLETRANSLATE(A5420,""en"",""pt-br"")"),"doentio")</f>
        <v>doentio</v>
      </c>
      <c r="D5420" s="1" t="str">
        <f>IFERROR(__xludf.DUMMYFUNCTION("GOOGLETRANSLATE(B5420,""en"",""pt-br"")"),"negativo")</f>
        <v>negativo</v>
      </c>
    </row>
    <row r="5421" ht="15.75" customHeight="1">
      <c r="A5421" s="2" t="s">
        <v>5418</v>
      </c>
      <c r="B5421" s="2" t="s">
        <v>3</v>
      </c>
      <c r="C5421" s="1" t="str">
        <f>IFERROR(__xludf.DUMMYFUNCTION("GOOGLETRANSLATE(A5421,""en"",""pt-br"")"),"doença")</f>
        <v>doença</v>
      </c>
      <c r="D5421" s="1" t="str">
        <f>IFERROR(__xludf.DUMMYFUNCTION("GOOGLETRANSLATE(B5421,""en"",""pt-br"")"),"negativo")</f>
        <v>negativo</v>
      </c>
    </row>
    <row r="5422" ht="15.75" customHeight="1">
      <c r="A5422" s="2" t="s">
        <v>5419</v>
      </c>
      <c r="B5422" s="2" t="s">
        <v>3</v>
      </c>
      <c r="C5422" s="1" t="str">
        <f>IFERROR(__xludf.DUMMYFUNCTION("GOOGLETRANSLATE(A5422,""en"",""pt-br"")"),"desvio")</f>
        <v>desvio</v>
      </c>
      <c r="D5422" s="1" t="str">
        <f>IFERROR(__xludf.DUMMYFUNCTION("GOOGLETRANSLATE(B5422,""en"",""pt-br"")"),"negativo")</f>
        <v>negativo</v>
      </c>
    </row>
    <row r="5423" ht="15.75" customHeight="1">
      <c r="A5423" s="2" t="s">
        <v>5420</v>
      </c>
      <c r="B5423" s="2" t="s">
        <v>3</v>
      </c>
      <c r="C5423" s="1" t="str">
        <f>IFERROR(__xludf.DUMMYFUNCTION("GOOGLETRANSLATE(A5423,""en"",""pt-br"")"),"sidetracked")</f>
        <v>sidetracked</v>
      </c>
      <c r="D5423" s="1" t="str">
        <f>IFERROR(__xludf.DUMMYFUNCTION("GOOGLETRANSLATE(B5423,""en"",""pt-br"")"),"negativo")</f>
        <v>negativo</v>
      </c>
    </row>
    <row r="5424" ht="15.75" customHeight="1">
      <c r="A5424" s="2" t="s">
        <v>5421</v>
      </c>
      <c r="B5424" s="2" t="s">
        <v>3</v>
      </c>
      <c r="C5424" s="1" t="str">
        <f>IFERROR(__xludf.DUMMYFUNCTION("GOOGLETRANSLATE(A5424,""en"",""pt-br"")"),"cerco")</f>
        <v>cerco</v>
      </c>
      <c r="D5424" s="1" t="str">
        <f>IFERROR(__xludf.DUMMYFUNCTION("GOOGLETRANSLATE(B5424,""en"",""pt-br"")"),"negativo")</f>
        <v>negativo</v>
      </c>
    </row>
    <row r="5425" ht="15.75" customHeight="1">
      <c r="A5425" s="2" t="s">
        <v>5422</v>
      </c>
      <c r="B5425" s="2" t="s">
        <v>14</v>
      </c>
      <c r="C5425" s="1" t="str">
        <f>IFERROR(__xludf.DUMMYFUNCTION("GOOGLETRANSLATE(A5425,""en"",""pt-br"")"),"significativo")</f>
        <v>significativo</v>
      </c>
      <c r="D5425" s="1" t="str">
        <f>IFERROR(__xludf.DUMMYFUNCTION("GOOGLETRANSLATE(B5425,""en"",""pt-br"")"),"positivo")</f>
        <v>positivo</v>
      </c>
    </row>
    <row r="5426" ht="15.75" customHeight="1">
      <c r="A5426" s="2" t="s">
        <v>5423</v>
      </c>
      <c r="B5426" s="2" t="s">
        <v>14</v>
      </c>
      <c r="C5426" s="1" t="str">
        <f>IFERROR(__xludf.DUMMYFUNCTION("GOOGLETRANSLATE(A5426,""en"",""pt-br"")"),"silencioso")</f>
        <v>silencioso</v>
      </c>
      <c r="D5426" s="1" t="str">
        <f>IFERROR(__xludf.DUMMYFUNCTION("GOOGLETRANSLATE(B5426,""en"",""pt-br"")"),"positivo")</f>
        <v>positivo</v>
      </c>
    </row>
    <row r="5427" ht="15.75" customHeight="1">
      <c r="A5427" s="2" t="s">
        <v>5424</v>
      </c>
      <c r="B5427" s="2" t="s">
        <v>3</v>
      </c>
      <c r="C5427" s="1" t="str">
        <f>IFERROR(__xludf.DUMMYFUNCTION("GOOGLETRANSLATE(A5427,""en"",""pt-br"")"),"sillily")</f>
        <v>sillily</v>
      </c>
      <c r="D5427" s="1" t="str">
        <f>IFERROR(__xludf.DUMMYFUNCTION("GOOGLETRANSLATE(B5427,""en"",""pt-br"")"),"negativo")</f>
        <v>negativo</v>
      </c>
    </row>
    <row r="5428" ht="15.75" customHeight="1">
      <c r="A5428" s="2" t="s">
        <v>5425</v>
      </c>
      <c r="B5428" s="2" t="s">
        <v>3</v>
      </c>
      <c r="C5428" s="1" t="str">
        <f>IFERROR(__xludf.DUMMYFUNCTION("GOOGLETRANSLATE(A5428,""en"",""pt-br"")"),"boba")</f>
        <v>boba</v>
      </c>
      <c r="D5428" s="1" t="str">
        <f>IFERROR(__xludf.DUMMYFUNCTION("GOOGLETRANSLATE(B5428,""en"",""pt-br"")"),"negativo")</f>
        <v>negativo</v>
      </c>
    </row>
    <row r="5429" ht="15.75" customHeight="1">
      <c r="A5429" s="2" t="s">
        <v>5426</v>
      </c>
      <c r="B5429" s="2" t="s">
        <v>14</v>
      </c>
      <c r="C5429" s="1" t="str">
        <f>IFERROR(__xludf.DUMMYFUNCTION("GOOGLETRANSLATE(A5429,""en"",""pt-br"")"),"mais simples")</f>
        <v>mais simples</v>
      </c>
      <c r="D5429" s="1" t="str">
        <f>IFERROR(__xludf.DUMMYFUNCTION("GOOGLETRANSLATE(B5429,""en"",""pt-br"")"),"positivo")</f>
        <v>positivo</v>
      </c>
    </row>
    <row r="5430" ht="15.75" customHeight="1">
      <c r="A5430" s="2" t="s">
        <v>5427</v>
      </c>
      <c r="B5430" s="2" t="s">
        <v>14</v>
      </c>
      <c r="C5430" s="1" t="str">
        <f>IFERROR(__xludf.DUMMYFUNCTION("GOOGLETRANSLATE(A5430,""en"",""pt-br"")"),"mais simples")</f>
        <v>mais simples</v>
      </c>
      <c r="D5430" s="1" t="str">
        <f>IFERROR(__xludf.DUMMYFUNCTION("GOOGLETRANSLATE(B5430,""en"",""pt-br"")"),"positivo")</f>
        <v>positivo</v>
      </c>
    </row>
    <row r="5431" ht="15.75" customHeight="1">
      <c r="A5431" s="2" t="s">
        <v>5428</v>
      </c>
      <c r="B5431" s="2" t="s">
        <v>14</v>
      </c>
      <c r="C5431" s="1" t="str">
        <f>IFERROR(__xludf.DUMMYFUNCTION("GOOGLETRANSLATE(A5431,""en"",""pt-br"")"),"simplificada")</f>
        <v>simplificada</v>
      </c>
      <c r="D5431" s="1" t="str">
        <f>IFERROR(__xludf.DUMMYFUNCTION("GOOGLETRANSLATE(B5431,""en"",""pt-br"")"),"positivo")</f>
        <v>positivo</v>
      </c>
    </row>
    <row r="5432" ht="15.75" customHeight="1">
      <c r="A5432" s="2" t="s">
        <v>5429</v>
      </c>
      <c r="B5432" s="2" t="s">
        <v>14</v>
      </c>
      <c r="C5432" s="1" t="str">
        <f>IFERROR(__xludf.DUMMYFUNCTION("GOOGLETRANSLATE(A5432,""en"",""pt-br"")"),"simplifica")</f>
        <v>simplifica</v>
      </c>
      <c r="D5432" s="1" t="str">
        <f>IFERROR(__xludf.DUMMYFUNCTION("GOOGLETRANSLATE(B5432,""en"",""pt-br"")"),"positivo")</f>
        <v>positivo</v>
      </c>
    </row>
    <row r="5433" ht="15.75" customHeight="1">
      <c r="A5433" s="2" t="s">
        <v>5430</v>
      </c>
      <c r="B5433" s="2" t="s">
        <v>14</v>
      </c>
      <c r="C5433" s="1" t="str">
        <f>IFERROR(__xludf.DUMMYFUNCTION("GOOGLETRANSLATE(A5433,""en"",""pt-br"")"),"simplificar")</f>
        <v>simplificar</v>
      </c>
      <c r="D5433" s="1" t="str">
        <f>IFERROR(__xludf.DUMMYFUNCTION("GOOGLETRANSLATE(B5433,""en"",""pt-br"")"),"positivo")</f>
        <v>positivo</v>
      </c>
    </row>
    <row r="5434" ht="15.75" customHeight="1">
      <c r="A5434" s="2" t="s">
        <v>5431</v>
      </c>
      <c r="B5434" s="2" t="s">
        <v>14</v>
      </c>
      <c r="C5434" s="1" t="str">
        <f>IFERROR(__xludf.DUMMYFUNCTION("GOOGLETRANSLATE(A5434,""en"",""pt-br"")"),"simplificando")</f>
        <v>simplificando</v>
      </c>
      <c r="D5434" s="1" t="str">
        <f>IFERROR(__xludf.DUMMYFUNCTION("GOOGLETRANSLATE(B5434,""en"",""pt-br"")"),"positivo")</f>
        <v>positivo</v>
      </c>
    </row>
    <row r="5435" ht="15.75" customHeight="1">
      <c r="A5435" s="2" t="s">
        <v>5432</v>
      </c>
      <c r="B5435" s="2" t="s">
        <v>3</v>
      </c>
      <c r="C5435" s="1" t="str">
        <f>IFERROR(__xludf.DUMMYFUNCTION("GOOGLETRANSLATE(A5435,""en"",""pt-br"")"),"simplista")</f>
        <v>simplista</v>
      </c>
      <c r="D5435" s="1" t="str">
        <f>IFERROR(__xludf.DUMMYFUNCTION("GOOGLETRANSLATE(B5435,""en"",""pt-br"")"),"negativo")</f>
        <v>negativo</v>
      </c>
    </row>
    <row r="5436" ht="15.75" customHeight="1">
      <c r="A5436" s="2" t="s">
        <v>5433</v>
      </c>
      <c r="B5436" s="2" t="s">
        <v>3</v>
      </c>
      <c r="C5436" s="1" t="str">
        <f>IFERROR(__xludf.DUMMYFUNCTION("GOOGLETRANSLATE(A5436,""en"",""pt-br"")"),"simplista")</f>
        <v>simplista</v>
      </c>
      <c r="D5436" s="1" t="str">
        <f>IFERROR(__xludf.DUMMYFUNCTION("GOOGLETRANSLATE(B5436,""en"",""pt-br"")"),"negativo")</f>
        <v>negativo</v>
      </c>
    </row>
    <row r="5437" ht="15.75" customHeight="1">
      <c r="A5437" s="2" t="s">
        <v>5434</v>
      </c>
      <c r="B5437" s="2" t="s">
        <v>3</v>
      </c>
      <c r="C5437" s="1" t="str">
        <f>IFERROR(__xludf.DUMMYFUNCTION("GOOGLETRANSLATE(A5437,""en"",""pt-br"")"),"pecado")</f>
        <v>pecado</v>
      </c>
      <c r="D5437" s="1" t="str">
        <f>IFERROR(__xludf.DUMMYFUNCTION("GOOGLETRANSLATE(B5437,""en"",""pt-br"")"),"negativo")</f>
        <v>negativo</v>
      </c>
    </row>
    <row r="5438" ht="15.75" customHeight="1">
      <c r="A5438" s="2" t="s">
        <v>5435</v>
      </c>
      <c r="B5438" s="2" t="s">
        <v>14</v>
      </c>
      <c r="C5438" s="1" t="str">
        <f>IFERROR(__xludf.DUMMYFUNCTION("GOOGLETRANSLATE(A5438,""en"",""pt-br"")"),"sincero")</f>
        <v>sincero</v>
      </c>
      <c r="D5438" s="1" t="str">
        <f>IFERROR(__xludf.DUMMYFUNCTION("GOOGLETRANSLATE(B5438,""en"",""pt-br"")"),"positivo")</f>
        <v>positivo</v>
      </c>
    </row>
    <row r="5439" ht="15.75" customHeight="1">
      <c r="A5439" s="2" t="s">
        <v>5436</v>
      </c>
      <c r="B5439" s="2" t="s">
        <v>14</v>
      </c>
      <c r="C5439" s="1" t="str">
        <f>IFERROR(__xludf.DUMMYFUNCTION("GOOGLETRANSLATE(A5439,""en"",""pt-br"")"),"Atenciosamente")</f>
        <v>Atenciosamente</v>
      </c>
      <c r="D5439" s="1" t="str">
        <f>IFERROR(__xludf.DUMMYFUNCTION("GOOGLETRANSLATE(B5439,""en"",""pt-br"")"),"positivo")</f>
        <v>positivo</v>
      </c>
    </row>
    <row r="5440" ht="15.75" customHeight="1">
      <c r="A5440" s="2" t="s">
        <v>5437</v>
      </c>
      <c r="B5440" s="2" t="s">
        <v>14</v>
      </c>
      <c r="C5440" s="1" t="str">
        <f>IFERROR(__xludf.DUMMYFUNCTION("GOOGLETRANSLATE(A5440,""en"",""pt-br"")"),"sinceridade")</f>
        <v>sinceridade</v>
      </c>
      <c r="D5440" s="1" t="str">
        <f>IFERROR(__xludf.DUMMYFUNCTION("GOOGLETRANSLATE(B5440,""en"",""pt-br"")"),"positivo")</f>
        <v>positivo</v>
      </c>
    </row>
    <row r="5441" ht="15.75" customHeight="1">
      <c r="A5441" s="2" t="s">
        <v>5438</v>
      </c>
      <c r="B5441" s="2" t="s">
        <v>3</v>
      </c>
      <c r="C5441" s="1" t="str">
        <f>IFERROR(__xludf.DUMMYFUNCTION("GOOGLETRANSLATE(A5441,""en"",""pt-br"")"),"pecaminoso")</f>
        <v>pecaminoso</v>
      </c>
      <c r="D5441" s="1" t="str">
        <f>IFERROR(__xludf.DUMMYFUNCTION("GOOGLETRANSLATE(B5441,""en"",""pt-br"")"),"negativo")</f>
        <v>negativo</v>
      </c>
    </row>
    <row r="5442" ht="15.75" customHeight="1">
      <c r="A5442" s="2" t="s">
        <v>5439</v>
      </c>
      <c r="B5442" s="2" t="s">
        <v>3</v>
      </c>
      <c r="C5442" s="1" t="str">
        <f>IFERROR(__xludf.DUMMYFUNCTION("GOOGLETRANSLATE(A5442,""en"",""pt-br"")"),"pecaminosamente")</f>
        <v>pecaminosamente</v>
      </c>
      <c r="D5442" s="1" t="str">
        <f>IFERROR(__xludf.DUMMYFUNCTION("GOOGLETRANSLATE(B5442,""en"",""pt-br"")"),"negativo")</f>
        <v>negativo</v>
      </c>
    </row>
    <row r="5443" ht="15.75" customHeight="1">
      <c r="A5443" s="2" t="s">
        <v>5440</v>
      </c>
      <c r="B5443" s="2" t="s">
        <v>3</v>
      </c>
      <c r="C5443" s="1" t="str">
        <f>IFERROR(__xludf.DUMMYFUNCTION("GOOGLETRANSLATE(A5443,""en"",""pt-br"")"),"sinistro")</f>
        <v>sinistro</v>
      </c>
      <c r="D5443" s="1" t="str">
        <f>IFERROR(__xludf.DUMMYFUNCTION("GOOGLETRANSLATE(B5443,""en"",""pt-br"")"),"negativo")</f>
        <v>negativo</v>
      </c>
    </row>
    <row r="5444" ht="15.75" customHeight="1">
      <c r="A5444" s="2" t="s">
        <v>5441</v>
      </c>
      <c r="B5444" s="2" t="s">
        <v>3</v>
      </c>
      <c r="C5444" s="1" t="str">
        <f>IFERROR(__xludf.DUMMYFUNCTION("GOOGLETRANSLATE(A5444,""en"",""pt-br"")"),"sinistramente")</f>
        <v>sinistramente</v>
      </c>
      <c r="D5444" s="1" t="str">
        <f>IFERROR(__xludf.DUMMYFUNCTION("GOOGLETRANSLATE(B5444,""en"",""pt-br"")"),"negativo")</f>
        <v>negativo</v>
      </c>
    </row>
    <row r="5445" ht="15.75" customHeight="1">
      <c r="A5445" s="2" t="s">
        <v>5442</v>
      </c>
      <c r="B5445" s="2" t="s">
        <v>3</v>
      </c>
      <c r="C5445" s="1" t="str">
        <f>IFERROR(__xludf.DUMMYFUNCTION("GOOGLETRANSLATE(A5445,""en"",""pt-br"")"),"Pia")</f>
        <v>Pia</v>
      </c>
      <c r="D5445" s="1" t="str">
        <f>IFERROR(__xludf.DUMMYFUNCTION("GOOGLETRANSLATE(B5445,""en"",""pt-br"")"),"negativo")</f>
        <v>negativo</v>
      </c>
    </row>
    <row r="5446" ht="15.75" customHeight="1">
      <c r="A5446" s="2" t="s">
        <v>5443</v>
      </c>
      <c r="B5446" s="2" t="s">
        <v>3</v>
      </c>
      <c r="C5446" s="1" t="str">
        <f>IFERROR(__xludf.DUMMYFUNCTION("GOOGLETRANSLATE(A5446,""en"",""pt-br"")"),"afundamento")</f>
        <v>afundamento</v>
      </c>
      <c r="D5446" s="1" t="str">
        <f>IFERROR(__xludf.DUMMYFUNCTION("GOOGLETRANSLATE(B5446,""en"",""pt-br"")"),"negativo")</f>
        <v>negativo</v>
      </c>
    </row>
    <row r="5447" ht="15.75" customHeight="1">
      <c r="A5447" s="2" t="s">
        <v>5444</v>
      </c>
      <c r="B5447" s="2" t="s">
        <v>3</v>
      </c>
      <c r="C5447" s="1" t="str">
        <f>IFERROR(__xludf.DUMMYFUNCTION("GOOGLETRANSLATE(A5447,""en"",""pt-br"")"),"esqueletos")</f>
        <v>esqueletos</v>
      </c>
      <c r="D5447" s="1" t="str">
        <f>IFERROR(__xludf.DUMMYFUNCTION("GOOGLETRANSLATE(B5447,""en"",""pt-br"")"),"negativo")</f>
        <v>negativo</v>
      </c>
    </row>
    <row r="5448" ht="15.75" customHeight="1">
      <c r="A5448" s="2" t="s">
        <v>5445</v>
      </c>
      <c r="B5448" s="2" t="s">
        <v>3</v>
      </c>
      <c r="C5448" s="1" t="str">
        <f>IFERROR(__xludf.DUMMYFUNCTION("GOOGLETRANSLATE(A5448,""en"",""pt-br"")"),"cético")</f>
        <v>cético</v>
      </c>
      <c r="D5448" s="1" t="str">
        <f>IFERROR(__xludf.DUMMYFUNCTION("GOOGLETRANSLATE(B5448,""en"",""pt-br"")"),"negativo")</f>
        <v>negativo</v>
      </c>
    </row>
    <row r="5449" ht="15.75" customHeight="1">
      <c r="A5449" s="2" t="s">
        <v>5446</v>
      </c>
      <c r="B5449" s="2" t="s">
        <v>3</v>
      </c>
      <c r="C5449" s="1" t="str">
        <f>IFERROR(__xludf.DUMMYFUNCTION("GOOGLETRANSLATE(A5449,""en"",""pt-br"")"),"cético")</f>
        <v>cético</v>
      </c>
      <c r="D5449" s="1" t="str">
        <f>IFERROR(__xludf.DUMMYFUNCTION("GOOGLETRANSLATE(B5449,""en"",""pt-br"")"),"negativo")</f>
        <v>negativo</v>
      </c>
    </row>
    <row r="5450" ht="15.75" customHeight="1">
      <c r="A5450" s="2" t="s">
        <v>5447</v>
      </c>
      <c r="B5450" s="2" t="s">
        <v>3</v>
      </c>
      <c r="C5450" s="1" t="str">
        <f>IFERROR(__xludf.DUMMYFUNCTION("GOOGLETRANSLATE(A5450,""en"",""pt-br"")"),"ceticamente")</f>
        <v>ceticamente</v>
      </c>
      <c r="D5450" s="1" t="str">
        <f>IFERROR(__xludf.DUMMYFUNCTION("GOOGLETRANSLATE(B5450,""en"",""pt-br"")"),"negativo")</f>
        <v>negativo</v>
      </c>
    </row>
    <row r="5451" ht="15.75" customHeight="1">
      <c r="A5451" s="2" t="s">
        <v>5448</v>
      </c>
      <c r="B5451" s="2" t="s">
        <v>3</v>
      </c>
      <c r="C5451" s="1" t="str">
        <f>IFERROR(__xludf.DUMMYFUNCTION("GOOGLETRANSLATE(A5451,""en"",""pt-br"")"),"ceticismo")</f>
        <v>ceticismo</v>
      </c>
      <c r="D5451" s="1" t="str">
        <f>IFERROR(__xludf.DUMMYFUNCTION("GOOGLETRANSLATE(B5451,""en"",""pt-br"")"),"negativo")</f>
        <v>negativo</v>
      </c>
    </row>
    <row r="5452" ht="15.75" customHeight="1">
      <c r="A5452" s="2" t="s">
        <v>5449</v>
      </c>
      <c r="B5452" s="2" t="s">
        <v>3</v>
      </c>
      <c r="C5452" s="1" t="str">
        <f>IFERROR(__xludf.DUMMYFUNCTION("GOOGLETRANSLATE(A5452,""en"",""pt-br"")"),"esboçado")</f>
        <v>esboçado</v>
      </c>
      <c r="D5452" s="1" t="str">
        <f>IFERROR(__xludf.DUMMYFUNCTION("GOOGLETRANSLATE(B5452,""en"",""pt-br"")"),"negativo")</f>
        <v>negativo</v>
      </c>
    </row>
    <row r="5453" ht="15.75" customHeight="1">
      <c r="A5453" s="2" t="s">
        <v>5450</v>
      </c>
      <c r="B5453" s="2" t="s">
        <v>14</v>
      </c>
      <c r="C5453" s="1" t="str">
        <f>IFERROR(__xludf.DUMMYFUNCTION("GOOGLETRANSLATE(A5453,""en"",""pt-br"")"),"habilidade")</f>
        <v>habilidade</v>
      </c>
      <c r="D5453" s="1" t="str">
        <f>IFERROR(__xludf.DUMMYFUNCTION("GOOGLETRANSLATE(B5453,""en"",""pt-br"")"),"positivo")</f>
        <v>positivo</v>
      </c>
    </row>
    <row r="5454" ht="15.75" customHeight="1">
      <c r="A5454" s="2" t="s">
        <v>5451</v>
      </c>
      <c r="B5454" s="2" t="s">
        <v>14</v>
      </c>
      <c r="C5454" s="1" t="str">
        <f>IFERROR(__xludf.DUMMYFUNCTION("GOOGLETRANSLATE(A5454,""en"",""pt-br"")"),"especializado")</f>
        <v>especializado</v>
      </c>
      <c r="D5454" s="1" t="str">
        <f>IFERROR(__xludf.DUMMYFUNCTION("GOOGLETRANSLATE(B5454,""en"",""pt-br"")"),"positivo")</f>
        <v>positivo</v>
      </c>
    </row>
    <row r="5455" ht="15.75" customHeight="1">
      <c r="A5455" s="2" t="s">
        <v>5452</v>
      </c>
      <c r="B5455" s="2" t="s">
        <v>14</v>
      </c>
      <c r="C5455" s="1" t="str">
        <f>IFERROR(__xludf.DUMMYFUNCTION("GOOGLETRANSLATE(A5455,""en"",""pt-br"")"),"hábil")</f>
        <v>hábil</v>
      </c>
      <c r="D5455" s="1" t="str">
        <f>IFERROR(__xludf.DUMMYFUNCTION("GOOGLETRANSLATE(B5455,""en"",""pt-br"")"),"positivo")</f>
        <v>positivo</v>
      </c>
    </row>
    <row r="5456" ht="15.75" customHeight="1">
      <c r="A5456" s="2" t="s">
        <v>5453</v>
      </c>
      <c r="B5456" s="2" t="s">
        <v>14</v>
      </c>
      <c r="C5456" s="1" t="str">
        <f>IFERROR(__xludf.DUMMYFUNCTION("GOOGLETRANSLATE(A5456,""en"",""pt-br"")"),"habilmente")</f>
        <v>habilmente</v>
      </c>
      <c r="D5456" s="1" t="str">
        <f>IFERROR(__xludf.DUMMYFUNCTION("GOOGLETRANSLATE(B5456,""en"",""pt-br"")"),"positivo")</f>
        <v>positivo</v>
      </c>
    </row>
    <row r="5457" ht="15.75" customHeight="1">
      <c r="A5457" s="2" t="s">
        <v>5454</v>
      </c>
      <c r="B5457" s="2" t="s">
        <v>3</v>
      </c>
      <c r="C5457" s="1" t="str">
        <f>IFERROR(__xludf.DUMMYFUNCTION("GOOGLETRANSLATE(A5457,""en"",""pt-br"")"),"acanhado")</f>
        <v>acanhado</v>
      </c>
      <c r="D5457" s="1" t="str">
        <f>IFERROR(__xludf.DUMMYFUNCTION("GOOGLETRANSLATE(B5457,""en"",""pt-br"")"),"negativo")</f>
        <v>negativo</v>
      </c>
    </row>
    <row r="5458" ht="15.75" customHeight="1">
      <c r="A5458" s="2" t="s">
        <v>5455</v>
      </c>
      <c r="B5458" s="2" t="s">
        <v>3</v>
      </c>
      <c r="C5458" s="1" t="str">
        <f>IFERROR(__xludf.DUMMYFUNCTION("GOOGLETRANSLATE(A5458,""en"",""pt-br"")"),"magro")</f>
        <v>magro</v>
      </c>
      <c r="D5458" s="1" t="str">
        <f>IFERROR(__xludf.DUMMYFUNCTION("GOOGLETRANSLATE(B5458,""en"",""pt-br"")"),"negativo")</f>
        <v>negativo</v>
      </c>
    </row>
    <row r="5459" ht="15.75" customHeight="1">
      <c r="A5459" s="2" t="s">
        <v>5456</v>
      </c>
      <c r="B5459" s="2" t="s">
        <v>3</v>
      </c>
      <c r="C5459" s="1" t="str">
        <f>IFERROR(__xludf.DUMMYFUNCTION("GOOGLETRANSLATE(A5459,""en"",""pt-br"")"),"assustadiço")</f>
        <v>assustadiço</v>
      </c>
      <c r="D5459" s="1" t="str">
        <f>IFERROR(__xludf.DUMMYFUNCTION("GOOGLETRANSLATE(B5459,""en"",""pt-br"")"),"negativo")</f>
        <v>negativo</v>
      </c>
    </row>
    <row r="5460" ht="15.75" customHeight="1">
      <c r="A5460" s="2" t="s">
        <v>5457</v>
      </c>
      <c r="B5460" s="2" t="s">
        <v>3</v>
      </c>
      <c r="C5460" s="1" t="str">
        <f>IFERROR(__xludf.DUMMYFUNCTION("GOOGLETRANSLATE(A5460,""en"",""pt-br"")"),"enérgicas")</f>
        <v>enérgicas</v>
      </c>
      <c r="D5460" s="1" t="str">
        <f>IFERROR(__xludf.DUMMYFUNCTION("GOOGLETRANSLATE(B5460,""en"",""pt-br"")"),"negativo")</f>
        <v>negativo</v>
      </c>
    </row>
    <row r="5461" ht="15.75" customHeight="1">
      <c r="A5461" s="2" t="s">
        <v>5458</v>
      </c>
      <c r="B5461" s="2" t="s">
        <v>3</v>
      </c>
      <c r="C5461" s="1" t="str">
        <f>IFERROR(__xludf.DUMMYFUNCTION("GOOGLETRANSLATE(A5461,""en"",""pt-br"")"),"esconder-se")</f>
        <v>esconder-se</v>
      </c>
      <c r="D5461" s="1" t="str">
        <f>IFERROR(__xludf.DUMMYFUNCTION("GOOGLETRANSLATE(B5461,""en"",""pt-br"")"),"negativo")</f>
        <v>negativo</v>
      </c>
    </row>
    <row r="5462" ht="15.75" customHeight="1">
      <c r="A5462" s="2" t="s">
        <v>5459</v>
      </c>
      <c r="B5462" s="2" t="s">
        <v>3</v>
      </c>
      <c r="C5462" s="1" t="str">
        <f>IFERROR(__xludf.DUMMYFUNCTION("GOOGLETRANSLATE(A5462,""en"",""pt-br"")"),"retarda")</f>
        <v>retarda</v>
      </c>
      <c r="D5462" s="1" t="str">
        <f>IFERROR(__xludf.DUMMYFUNCTION("GOOGLETRANSLATE(B5462,""en"",""pt-br"")"),"negativo")</f>
        <v>negativo</v>
      </c>
    </row>
    <row r="5463" ht="15.75" customHeight="1">
      <c r="A5463" s="2" t="s">
        <v>5460</v>
      </c>
      <c r="B5463" s="2" t="s">
        <v>14</v>
      </c>
      <c r="C5463" s="1" t="str">
        <f>IFERROR(__xludf.DUMMYFUNCTION("GOOGLETRANSLATE(A5463,""en"",""pt-br"")"),"slammin")</f>
        <v>slammin</v>
      </c>
      <c r="D5463" s="1" t="str">
        <f>IFERROR(__xludf.DUMMYFUNCTION("GOOGLETRANSLATE(B5463,""en"",""pt-br"")"),"positivo")</f>
        <v>positivo</v>
      </c>
    </row>
    <row r="5464" ht="15.75" customHeight="1">
      <c r="A5464" s="2" t="s">
        <v>5461</v>
      </c>
      <c r="B5464" s="2" t="s">
        <v>3</v>
      </c>
      <c r="C5464" s="1" t="str">
        <f>IFERROR(__xludf.DUMMYFUNCTION("GOOGLETRANSLATE(A5464,""en"",""pt-br"")"),"calúnia")</f>
        <v>calúnia</v>
      </c>
      <c r="D5464" s="1" t="str">
        <f>IFERROR(__xludf.DUMMYFUNCTION("GOOGLETRANSLATE(B5464,""en"",""pt-br"")"),"negativo")</f>
        <v>negativo</v>
      </c>
    </row>
    <row r="5465" ht="15.75" customHeight="1">
      <c r="A5465" s="2" t="s">
        <v>5462</v>
      </c>
      <c r="B5465" s="2" t="s">
        <v>3</v>
      </c>
      <c r="C5465" s="1" t="str">
        <f>IFERROR(__xludf.DUMMYFUNCTION("GOOGLETRANSLATE(A5465,""en"",""pt-br"")"),"caluniador")</f>
        <v>caluniador</v>
      </c>
      <c r="D5465" s="1" t="str">
        <f>IFERROR(__xludf.DUMMYFUNCTION("GOOGLETRANSLATE(B5465,""en"",""pt-br"")"),"negativo")</f>
        <v>negativo</v>
      </c>
    </row>
    <row r="5466" ht="15.75" customHeight="1">
      <c r="A5466" s="2" t="s">
        <v>5463</v>
      </c>
      <c r="B5466" s="2" t="s">
        <v>3</v>
      </c>
      <c r="C5466" s="1" t="str">
        <f>IFERROR(__xludf.DUMMYFUNCTION("GOOGLETRANSLATE(A5466,""en"",""pt-br"")"),"calunioso")</f>
        <v>calunioso</v>
      </c>
      <c r="D5466" s="1" t="str">
        <f>IFERROR(__xludf.DUMMYFUNCTION("GOOGLETRANSLATE(B5466,""en"",""pt-br"")"),"negativo")</f>
        <v>negativo</v>
      </c>
    </row>
    <row r="5467" ht="15.75" customHeight="1">
      <c r="A5467" s="2" t="s">
        <v>5464</v>
      </c>
      <c r="B5467" s="2" t="s">
        <v>3</v>
      </c>
      <c r="C5467" s="1" t="str">
        <f>IFERROR(__xludf.DUMMYFUNCTION("GOOGLETRANSLATE(A5467,""en"",""pt-br"")"),"caluniosamente")</f>
        <v>caluniosamente</v>
      </c>
      <c r="D5467" s="1" t="str">
        <f>IFERROR(__xludf.DUMMYFUNCTION("GOOGLETRANSLATE(B5467,""en"",""pt-br"")"),"negativo")</f>
        <v>negativo</v>
      </c>
    </row>
    <row r="5468" ht="15.75" customHeight="1">
      <c r="A5468" s="2" t="s">
        <v>5465</v>
      </c>
      <c r="B5468" s="2" t="s">
        <v>3</v>
      </c>
      <c r="C5468" s="1" t="str">
        <f>IFERROR(__xludf.DUMMYFUNCTION("GOOGLETRANSLATE(A5468,""en"",""pt-br"")"),"calúnias")</f>
        <v>calúnias</v>
      </c>
      <c r="D5468" s="1" t="str">
        <f>IFERROR(__xludf.DUMMYFUNCTION("GOOGLETRANSLATE(B5468,""en"",""pt-br"")"),"negativo")</f>
        <v>negativo</v>
      </c>
    </row>
    <row r="5469" ht="15.75" customHeight="1">
      <c r="A5469" s="2" t="s">
        <v>5466</v>
      </c>
      <c r="B5469" s="2" t="s">
        <v>3</v>
      </c>
      <c r="C5469" s="1" t="str">
        <f>IFERROR(__xludf.DUMMYFUNCTION("GOOGLETRANSLATE(A5469,""en"",""pt-br"")"),"tapa")</f>
        <v>tapa</v>
      </c>
      <c r="D5469" s="1" t="str">
        <f>IFERROR(__xludf.DUMMYFUNCTION("GOOGLETRANSLATE(B5469,""en"",""pt-br"")"),"negativo")</f>
        <v>negativo</v>
      </c>
    </row>
    <row r="5470" ht="15.75" customHeight="1">
      <c r="A5470" s="2" t="s">
        <v>5467</v>
      </c>
      <c r="B5470" s="2" t="s">
        <v>3</v>
      </c>
      <c r="C5470" s="1" t="str">
        <f>IFERROR(__xludf.DUMMYFUNCTION("GOOGLETRANSLATE(A5470,""en"",""pt-br"")"),"cortante")</f>
        <v>cortante</v>
      </c>
      <c r="D5470" s="1" t="str">
        <f>IFERROR(__xludf.DUMMYFUNCTION("GOOGLETRANSLATE(B5470,""en"",""pt-br"")"),"negativo")</f>
        <v>negativo</v>
      </c>
    </row>
    <row r="5471" ht="15.75" customHeight="1">
      <c r="A5471" s="2" t="s">
        <v>5468</v>
      </c>
      <c r="B5471" s="2" t="s">
        <v>3</v>
      </c>
      <c r="C5471" s="1" t="str">
        <f>IFERROR(__xludf.DUMMYFUNCTION("GOOGLETRANSLATE(A5471,""en"",""pt-br"")"),"chacina")</f>
        <v>chacina</v>
      </c>
      <c r="D5471" s="1" t="str">
        <f>IFERROR(__xludf.DUMMYFUNCTION("GOOGLETRANSLATE(B5471,""en"",""pt-br"")"),"negativo")</f>
        <v>negativo</v>
      </c>
    </row>
    <row r="5472" ht="15.75" customHeight="1">
      <c r="A5472" s="2" t="s">
        <v>5469</v>
      </c>
      <c r="B5472" s="2" t="s">
        <v>3</v>
      </c>
      <c r="C5472" s="1" t="str">
        <f>IFERROR(__xludf.DUMMYFUNCTION("GOOGLETRANSLATE(A5472,""en"",""pt-br"")"),"Slaughtered")</f>
        <v>Slaughtered</v>
      </c>
      <c r="D5472" s="1" t="str">
        <f>IFERROR(__xludf.DUMMYFUNCTION("GOOGLETRANSLATE(B5472,""en"",""pt-br"")"),"negativo")</f>
        <v>negativo</v>
      </c>
    </row>
    <row r="5473" ht="15.75" customHeight="1">
      <c r="A5473" s="2" t="s">
        <v>5470</v>
      </c>
      <c r="B5473" s="2" t="s">
        <v>3</v>
      </c>
      <c r="C5473" s="1" t="str">
        <f>IFERROR(__xludf.DUMMYFUNCTION("GOOGLETRANSLATE(A5473,""en"",""pt-br"")"),"escravo")</f>
        <v>escravo</v>
      </c>
      <c r="D5473" s="1" t="str">
        <f>IFERROR(__xludf.DUMMYFUNCTION("GOOGLETRANSLATE(B5473,""en"",""pt-br"")"),"negativo")</f>
        <v>negativo</v>
      </c>
    </row>
    <row r="5474" ht="15.75" customHeight="1">
      <c r="A5474" s="2" t="s">
        <v>5471</v>
      </c>
      <c r="B5474" s="2" t="s">
        <v>3</v>
      </c>
      <c r="C5474" s="1" t="str">
        <f>IFERROR(__xludf.DUMMYFUNCTION("GOOGLETRANSLATE(A5474,""en"",""pt-br"")"),"escravos")</f>
        <v>escravos</v>
      </c>
      <c r="D5474" s="1" t="str">
        <f>IFERROR(__xludf.DUMMYFUNCTION("GOOGLETRANSLATE(B5474,""en"",""pt-br"")"),"negativo")</f>
        <v>negativo</v>
      </c>
    </row>
    <row r="5475" ht="15.75" customHeight="1">
      <c r="A5475" s="2" t="s">
        <v>5472</v>
      </c>
      <c r="B5475" s="2" t="s">
        <v>3</v>
      </c>
      <c r="C5475" s="1" t="str">
        <f>IFERROR(__xludf.DUMMYFUNCTION("GOOGLETRANSLATE(A5475,""en"",""pt-br"")"),"frágil")</f>
        <v>frágil</v>
      </c>
      <c r="D5475" s="1" t="str">
        <f>IFERROR(__xludf.DUMMYFUNCTION("GOOGLETRANSLATE(B5475,""en"",""pt-br"")"),"negativo")</f>
        <v>negativo</v>
      </c>
    </row>
    <row r="5476" ht="15.75" customHeight="1">
      <c r="A5476" s="2" t="s">
        <v>5473</v>
      </c>
      <c r="B5476" s="2" t="s">
        <v>14</v>
      </c>
      <c r="C5476" s="1" t="str">
        <f>IFERROR(__xludf.DUMMYFUNCTION("GOOGLETRANSLATE(A5476,""en"",""pt-br"")"),"lustroso")</f>
        <v>lustroso</v>
      </c>
      <c r="D5476" s="1" t="str">
        <f>IFERROR(__xludf.DUMMYFUNCTION("GOOGLETRANSLATE(B5476,""en"",""pt-br"")"),"positivo")</f>
        <v>positivo</v>
      </c>
    </row>
    <row r="5477" ht="15.75" customHeight="1">
      <c r="A5477" s="2" t="s">
        <v>5474</v>
      </c>
      <c r="B5477" s="2" t="s">
        <v>14</v>
      </c>
      <c r="C5477" s="1" t="str">
        <f>IFERROR(__xludf.DUMMYFUNCTION("GOOGLETRANSLATE(A5477,""en"",""pt-br"")"),"liso")</f>
        <v>liso</v>
      </c>
      <c r="D5477" s="1" t="str">
        <f>IFERROR(__xludf.DUMMYFUNCTION("GOOGLETRANSLATE(B5477,""en"",""pt-br"")"),"positivo")</f>
        <v>positivo</v>
      </c>
    </row>
    <row r="5478" ht="15.75" customHeight="1">
      <c r="A5478" s="2" t="s">
        <v>5475</v>
      </c>
      <c r="B5478" s="2" t="s">
        <v>3</v>
      </c>
      <c r="C5478" s="1" t="str">
        <f>IFERROR(__xludf.DUMMYFUNCTION("GOOGLETRANSLATE(A5478,""en"",""pt-br"")"),"lodo")</f>
        <v>lodo</v>
      </c>
      <c r="D5478" s="1" t="str">
        <f>IFERROR(__xludf.DUMMYFUNCTION("GOOGLETRANSLATE(B5478,""en"",""pt-br"")"),"negativo")</f>
        <v>negativo</v>
      </c>
    </row>
    <row r="5479" ht="15.75" customHeight="1">
      <c r="A5479" s="2" t="s">
        <v>5476</v>
      </c>
      <c r="B5479" s="2" t="s">
        <v>3</v>
      </c>
      <c r="C5479" s="1" t="str">
        <f>IFERROR(__xludf.DUMMYFUNCTION("GOOGLETRANSLATE(A5479,""en"",""pt-br"")"),"estafa")</f>
        <v>estafa</v>
      </c>
      <c r="D5479" s="1" t="str">
        <f>IFERROR(__xludf.DUMMYFUNCTION("GOOGLETRANSLATE(B5479,""en"",""pt-br"")"),"negativo")</f>
        <v>negativo</v>
      </c>
    </row>
    <row r="5480" ht="15.75" customHeight="1">
      <c r="A5480" s="2" t="s">
        <v>5477</v>
      </c>
      <c r="B5480" s="2" t="s">
        <v>3</v>
      </c>
      <c r="C5480" s="1" t="str">
        <f>IFERROR(__xludf.DUMMYFUNCTION("GOOGLETRANSLATE(A5480,""en"",""pt-br"")"),"slogged")</f>
        <v>slogged</v>
      </c>
      <c r="D5480" s="1" t="str">
        <f>IFERROR(__xludf.DUMMYFUNCTION("GOOGLETRANSLATE(B5480,""en"",""pt-br"")"),"negativo")</f>
        <v>negativo</v>
      </c>
    </row>
    <row r="5481" ht="15.75" customHeight="1">
      <c r="A5481" s="2" t="s">
        <v>5478</v>
      </c>
      <c r="B5481" s="2" t="s">
        <v>3</v>
      </c>
      <c r="C5481" s="1" t="str">
        <f>IFERROR(__xludf.DUMMYFUNCTION("GOOGLETRANSLATE(A5481,""en"",""pt-br"")"),"slogging")</f>
        <v>slogging</v>
      </c>
      <c r="D5481" s="1" t="str">
        <f>IFERROR(__xludf.DUMMYFUNCTION("GOOGLETRANSLATE(B5481,""en"",""pt-br"")"),"negativo")</f>
        <v>negativo</v>
      </c>
    </row>
    <row r="5482" ht="15.75" customHeight="1">
      <c r="A5482" s="2" t="s">
        <v>5479</v>
      </c>
      <c r="B5482" s="2" t="s">
        <v>3</v>
      </c>
      <c r="C5482" s="1" t="str">
        <f>IFERROR(__xludf.DUMMYFUNCTION("GOOGLETRANSLATE(A5482,""en"",""pt-br"")"),"slogs")</f>
        <v>slogs</v>
      </c>
      <c r="D5482" s="1" t="str">
        <f>IFERROR(__xludf.DUMMYFUNCTION("GOOGLETRANSLATE(B5482,""en"",""pt-br"")"),"negativo")</f>
        <v>negativo</v>
      </c>
    </row>
    <row r="5483" ht="15.75" customHeight="1">
      <c r="A5483" s="2" t="s">
        <v>5480</v>
      </c>
      <c r="B5483" s="2" t="s">
        <v>3</v>
      </c>
      <c r="C5483" s="1" t="str">
        <f>IFERROR(__xludf.DUMMYFUNCTION("GOOGLETRANSLATE(A5483,""en"",""pt-br"")"),"sloooooooooooooow")</f>
        <v>sloooooooooooooow</v>
      </c>
      <c r="D5483" s="1" t="str">
        <f>IFERROR(__xludf.DUMMYFUNCTION("GOOGLETRANSLATE(B5483,""en"",""pt-br"")"),"negativo")</f>
        <v>negativo</v>
      </c>
    </row>
    <row r="5484" ht="15.75" customHeight="1">
      <c r="A5484" s="2" t="s">
        <v>5481</v>
      </c>
      <c r="B5484" s="2" t="s">
        <v>3</v>
      </c>
      <c r="C5484" s="1" t="str">
        <f>IFERROR(__xludf.DUMMYFUNCTION("GOOGLETRANSLATE(A5484,""en"",""pt-br"")"),"sloooow")</f>
        <v>sloooow</v>
      </c>
      <c r="D5484" s="1" t="str">
        <f>IFERROR(__xludf.DUMMYFUNCTION("GOOGLETRANSLATE(B5484,""en"",""pt-br"")"),"negativo")</f>
        <v>negativo</v>
      </c>
    </row>
    <row r="5485" ht="15.75" customHeight="1">
      <c r="A5485" s="2" t="s">
        <v>5482</v>
      </c>
      <c r="B5485" s="2" t="s">
        <v>3</v>
      </c>
      <c r="C5485" s="1" t="str">
        <f>IFERROR(__xludf.DUMMYFUNCTION("GOOGLETRANSLATE(A5485,""en"",""pt-br"")"),"slooow")</f>
        <v>slooow</v>
      </c>
      <c r="D5485" s="1" t="str">
        <f>IFERROR(__xludf.DUMMYFUNCTION("GOOGLETRANSLATE(B5485,""en"",""pt-br"")"),"negativo")</f>
        <v>negativo</v>
      </c>
    </row>
    <row r="5486" ht="15.75" customHeight="1">
      <c r="A5486" s="2" t="s">
        <v>5483</v>
      </c>
      <c r="B5486" s="2" t="s">
        <v>3</v>
      </c>
      <c r="C5486" s="1" t="str">
        <f>IFERROR(__xludf.DUMMYFUNCTION("GOOGLETRANSLATE(A5486,""en"",""pt-br"")"),"sloow")</f>
        <v>sloow</v>
      </c>
      <c r="D5486" s="1" t="str">
        <f>IFERROR(__xludf.DUMMYFUNCTION("GOOGLETRANSLATE(B5486,""en"",""pt-br"")"),"negativo")</f>
        <v>negativo</v>
      </c>
    </row>
    <row r="5487" ht="15.75" customHeight="1">
      <c r="A5487" s="2" t="s">
        <v>5484</v>
      </c>
      <c r="B5487" s="2" t="s">
        <v>3</v>
      </c>
      <c r="C5487" s="1" t="str">
        <f>IFERROR(__xludf.DUMMYFUNCTION("GOOGLETRANSLATE(A5487,""en"",""pt-br"")"),"sloppily")</f>
        <v>sloppily</v>
      </c>
      <c r="D5487" s="1" t="str">
        <f>IFERROR(__xludf.DUMMYFUNCTION("GOOGLETRANSLATE(B5487,""en"",""pt-br"")"),"negativo")</f>
        <v>negativo</v>
      </c>
    </row>
    <row r="5488" ht="15.75" customHeight="1">
      <c r="A5488" s="2" t="s">
        <v>5485</v>
      </c>
      <c r="B5488" s="2" t="s">
        <v>3</v>
      </c>
      <c r="C5488" s="1" t="str">
        <f>IFERROR(__xludf.DUMMYFUNCTION("GOOGLETRANSLATE(A5488,""en"",""pt-br"")"),"desleixado")</f>
        <v>desleixado</v>
      </c>
      <c r="D5488" s="1" t="str">
        <f>IFERROR(__xludf.DUMMYFUNCTION("GOOGLETRANSLATE(B5488,""en"",""pt-br"")"),"negativo")</f>
        <v>negativo</v>
      </c>
    </row>
    <row r="5489" ht="15.75" customHeight="1">
      <c r="A5489" s="2" t="s">
        <v>5486</v>
      </c>
      <c r="B5489" s="2" t="s">
        <v>3</v>
      </c>
      <c r="C5489" s="1" t="str">
        <f>IFERROR(__xludf.DUMMYFUNCTION("GOOGLETRANSLATE(A5489,""en"",""pt-br"")"),"bicho-preguiça")</f>
        <v>bicho-preguiça</v>
      </c>
      <c r="D5489" s="1" t="str">
        <f>IFERROR(__xludf.DUMMYFUNCTION("GOOGLETRANSLATE(B5489,""en"",""pt-br"")"),"negativo")</f>
        <v>negativo</v>
      </c>
    </row>
    <row r="5490" ht="15.75" customHeight="1">
      <c r="A5490" s="2" t="s">
        <v>5487</v>
      </c>
      <c r="B5490" s="2" t="s">
        <v>3</v>
      </c>
      <c r="C5490" s="1" t="str">
        <f>IFERROR(__xludf.DUMMYFUNCTION("GOOGLETRANSLATE(A5490,""en"",""pt-br"")"),"preguiçoso")</f>
        <v>preguiçoso</v>
      </c>
      <c r="D5490" s="1" t="str">
        <f>IFERROR(__xludf.DUMMYFUNCTION("GOOGLETRANSLATE(B5490,""en"",""pt-br"")"),"negativo")</f>
        <v>negativo</v>
      </c>
    </row>
    <row r="5491" ht="15.75" customHeight="1">
      <c r="A5491" s="2" t="s">
        <v>5488</v>
      </c>
      <c r="B5491" s="2" t="s">
        <v>3</v>
      </c>
      <c r="C5491" s="1" t="str">
        <f>IFERROR(__xludf.DUMMYFUNCTION("GOOGLETRANSLATE(A5491,""en"",""pt-br"")"),"lento")</f>
        <v>lento</v>
      </c>
      <c r="D5491" s="1" t="str">
        <f>IFERROR(__xludf.DUMMYFUNCTION("GOOGLETRANSLATE(B5491,""en"",""pt-br"")"),"negativo")</f>
        <v>negativo</v>
      </c>
    </row>
    <row r="5492" ht="15.75" customHeight="1">
      <c r="A5492" s="2" t="s">
        <v>5489</v>
      </c>
      <c r="B5492" s="2" t="s">
        <v>3</v>
      </c>
      <c r="C5492" s="1" t="str">
        <f>IFERROR(__xludf.DUMMYFUNCTION("GOOGLETRANSLATE(A5492,""en"",""pt-br"")"),"Movendo devagar")</f>
        <v>Movendo devagar</v>
      </c>
      <c r="D5492" s="1" t="str">
        <f>IFERROR(__xludf.DUMMYFUNCTION("GOOGLETRANSLATE(B5492,""en"",""pt-br"")"),"negativo")</f>
        <v>negativo</v>
      </c>
    </row>
    <row r="5493" ht="15.75" customHeight="1">
      <c r="A5493" s="2" t="s">
        <v>5490</v>
      </c>
      <c r="B5493" s="2" t="s">
        <v>3</v>
      </c>
      <c r="C5493" s="1" t="str">
        <f>IFERROR(__xludf.DUMMYFUNCTION("GOOGLETRANSLATE(A5493,""en"",""pt-br"")"),"retardou")</f>
        <v>retardou</v>
      </c>
      <c r="D5493" s="1" t="str">
        <f>IFERROR(__xludf.DUMMYFUNCTION("GOOGLETRANSLATE(B5493,""en"",""pt-br"")"),"negativo")</f>
        <v>negativo</v>
      </c>
    </row>
    <row r="5494" ht="15.75" customHeight="1">
      <c r="A5494" s="2" t="s">
        <v>5491</v>
      </c>
      <c r="B5494" s="2" t="s">
        <v>3</v>
      </c>
      <c r="C5494" s="1" t="str">
        <f>IFERROR(__xludf.DUMMYFUNCTION("GOOGLETRANSLATE(A5494,""en"",""pt-br"")"),"Mais devagar")</f>
        <v>Mais devagar</v>
      </c>
      <c r="D5494" s="1" t="str">
        <f>IFERROR(__xludf.DUMMYFUNCTION("GOOGLETRANSLATE(B5494,""en"",""pt-br"")"),"negativo")</f>
        <v>negativo</v>
      </c>
    </row>
    <row r="5495" ht="15.75" customHeight="1">
      <c r="A5495" s="2" t="s">
        <v>5492</v>
      </c>
      <c r="B5495" s="2" t="s">
        <v>3</v>
      </c>
      <c r="C5495" s="1" t="str">
        <f>IFERROR(__xludf.DUMMYFUNCTION("GOOGLETRANSLATE(A5495,""en"",""pt-br"")"),"o mais lento")</f>
        <v>o mais lento</v>
      </c>
      <c r="D5495" s="1" t="str">
        <f>IFERROR(__xludf.DUMMYFUNCTION("GOOGLETRANSLATE(B5495,""en"",""pt-br"")"),"negativo")</f>
        <v>negativo</v>
      </c>
    </row>
    <row r="5496" ht="15.75" customHeight="1">
      <c r="A5496" s="2" t="s">
        <v>5493</v>
      </c>
      <c r="B5496" s="2" t="s">
        <v>3</v>
      </c>
      <c r="C5496" s="1" t="str">
        <f>IFERROR(__xludf.DUMMYFUNCTION("GOOGLETRANSLATE(A5496,""en"",""pt-br"")"),"lentamente")</f>
        <v>lentamente</v>
      </c>
      <c r="D5496" s="1" t="str">
        <f>IFERROR(__xludf.DUMMYFUNCTION("GOOGLETRANSLATE(B5496,""en"",""pt-br"")"),"negativo")</f>
        <v>negativo</v>
      </c>
    </row>
    <row r="5497" ht="15.75" customHeight="1">
      <c r="A5497" s="2" t="s">
        <v>5494</v>
      </c>
      <c r="B5497" s="2" t="s">
        <v>3</v>
      </c>
      <c r="C5497" s="1" t="str">
        <f>IFERROR(__xludf.DUMMYFUNCTION("GOOGLETRANSLATE(A5497,""en"",""pt-br"")"),"sloww")</f>
        <v>sloww</v>
      </c>
      <c r="D5497" s="1" t="str">
        <f>IFERROR(__xludf.DUMMYFUNCTION("GOOGLETRANSLATE(B5497,""en"",""pt-br"")"),"negativo")</f>
        <v>negativo</v>
      </c>
    </row>
    <row r="5498" ht="15.75" customHeight="1">
      <c r="A5498" s="2" t="s">
        <v>5495</v>
      </c>
      <c r="B5498" s="2" t="s">
        <v>3</v>
      </c>
      <c r="C5498" s="1" t="str">
        <f>IFERROR(__xludf.DUMMYFUNCTION("GOOGLETRANSLATE(A5498,""en"",""pt-br"")"),"slowww")</f>
        <v>slowww</v>
      </c>
      <c r="D5498" s="1" t="str">
        <f>IFERROR(__xludf.DUMMYFUNCTION("GOOGLETRANSLATE(B5498,""en"",""pt-br"")"),"negativo")</f>
        <v>negativo</v>
      </c>
    </row>
    <row r="5499" ht="15.75" customHeight="1">
      <c r="A5499" s="2" t="s">
        <v>5496</v>
      </c>
      <c r="B5499" s="2" t="s">
        <v>3</v>
      </c>
      <c r="C5499" s="1" t="str">
        <f>IFERROR(__xludf.DUMMYFUNCTION("GOOGLETRANSLATE(A5499,""en"",""pt-br"")"),"slowwww")</f>
        <v>slowwww</v>
      </c>
      <c r="D5499" s="1" t="str">
        <f>IFERROR(__xludf.DUMMYFUNCTION("GOOGLETRANSLATE(B5499,""en"",""pt-br"")"),"negativo")</f>
        <v>negativo</v>
      </c>
    </row>
    <row r="5500" ht="15.75" customHeight="1">
      <c r="A5500" s="2" t="s">
        <v>5497</v>
      </c>
      <c r="B5500" s="2" t="s">
        <v>3</v>
      </c>
      <c r="C5500" s="1" t="str">
        <f>IFERROR(__xludf.DUMMYFUNCTION("GOOGLETRANSLATE(A5500,""en"",""pt-br"")"),"lesma")</f>
        <v>lesma</v>
      </c>
      <c r="D5500" s="1" t="str">
        <f>IFERROR(__xludf.DUMMYFUNCTION("GOOGLETRANSLATE(B5500,""en"",""pt-br"")"),"negativo")</f>
        <v>negativo</v>
      </c>
    </row>
    <row r="5501" ht="15.75" customHeight="1">
      <c r="A5501" s="2" t="s">
        <v>5498</v>
      </c>
      <c r="B5501" s="2" t="s">
        <v>3</v>
      </c>
      <c r="C5501" s="1" t="str">
        <f>IFERROR(__xludf.DUMMYFUNCTION("GOOGLETRANSLATE(A5501,""en"",""pt-br"")"),"lerdo")</f>
        <v>lerdo</v>
      </c>
      <c r="D5501" s="1" t="str">
        <f>IFERROR(__xludf.DUMMYFUNCTION("GOOGLETRANSLATE(B5501,""en"",""pt-br"")"),"negativo")</f>
        <v>negativo</v>
      </c>
    </row>
    <row r="5502" ht="15.75" customHeight="1">
      <c r="A5502" s="2" t="s">
        <v>5499</v>
      </c>
      <c r="B5502" s="2" t="s">
        <v>3</v>
      </c>
      <c r="C5502" s="1" t="str">
        <f>IFERROR(__xludf.DUMMYFUNCTION("GOOGLETRANSLATE(A5502,""en"",""pt-br"")"),"crise")</f>
        <v>crise</v>
      </c>
      <c r="D5502" s="1" t="str">
        <f>IFERROR(__xludf.DUMMYFUNCTION("GOOGLETRANSLATE(B5502,""en"",""pt-br"")"),"negativo")</f>
        <v>negativo</v>
      </c>
    </row>
    <row r="5503" ht="15.75" customHeight="1">
      <c r="A5503" s="2" t="s">
        <v>5500</v>
      </c>
      <c r="B5503" s="2" t="s">
        <v>3</v>
      </c>
      <c r="C5503" s="1" t="str">
        <f>IFERROR(__xludf.DUMMYFUNCTION("GOOGLETRANSLATE(A5503,""en"",""pt-br"")"),"queda")</f>
        <v>queda</v>
      </c>
      <c r="D5503" s="1" t="str">
        <f>IFERROR(__xludf.DUMMYFUNCTION("GOOGLETRANSLATE(B5503,""en"",""pt-br"")"),"negativo")</f>
        <v>negativo</v>
      </c>
    </row>
    <row r="5504" ht="15.75" customHeight="1">
      <c r="A5504" s="2" t="s">
        <v>5501</v>
      </c>
      <c r="B5504" s="2" t="s">
        <v>3</v>
      </c>
      <c r="C5504" s="1" t="str">
        <f>IFERROR(__xludf.DUMMYFUNCTION("GOOGLETRANSLATE(A5504,""en"",""pt-br"")"),"slumpping")</f>
        <v>slumpping</v>
      </c>
      <c r="D5504" s="1" t="str">
        <f>IFERROR(__xludf.DUMMYFUNCTION("GOOGLETRANSLATE(B5504,""en"",""pt-br"")"),"negativo")</f>
        <v>negativo</v>
      </c>
    </row>
    <row r="5505" ht="15.75" customHeight="1">
      <c r="A5505" s="2" t="s">
        <v>5502</v>
      </c>
      <c r="B5505" s="2" t="s">
        <v>3</v>
      </c>
      <c r="C5505" s="1" t="str">
        <f>IFERROR(__xludf.DUMMYFUNCTION("GOOGLETRANSLATE(A5505,""en"",""pt-br"")"),"estigma")</f>
        <v>estigma</v>
      </c>
      <c r="D5505" s="1" t="str">
        <f>IFERROR(__xludf.DUMMYFUNCTION("GOOGLETRANSLATE(B5505,""en"",""pt-br"")"),"negativo")</f>
        <v>negativo</v>
      </c>
    </row>
    <row r="5506" ht="15.75" customHeight="1">
      <c r="A5506" s="2" t="s">
        <v>5503</v>
      </c>
      <c r="B5506" s="2" t="s">
        <v>3</v>
      </c>
      <c r="C5506" s="1" t="str">
        <f>IFERROR(__xludf.DUMMYFUNCTION("GOOGLETRANSLATE(A5506,""en"",""pt-br"")"),"cadela")</f>
        <v>cadela</v>
      </c>
      <c r="D5506" s="1" t="str">
        <f>IFERROR(__xludf.DUMMYFUNCTION("GOOGLETRANSLATE(B5506,""en"",""pt-br"")"),"negativo")</f>
        <v>negativo</v>
      </c>
    </row>
    <row r="5507" ht="15.75" customHeight="1">
      <c r="A5507" s="2" t="s">
        <v>5504</v>
      </c>
      <c r="B5507" s="2" t="s">
        <v>3</v>
      </c>
      <c r="C5507" s="1" t="str">
        <f>IFERROR(__xludf.DUMMYFUNCTION("GOOGLETRANSLATE(A5507,""en"",""pt-br"")"),"vagabundas")</f>
        <v>vagabundas</v>
      </c>
      <c r="D5507" s="1" t="str">
        <f>IFERROR(__xludf.DUMMYFUNCTION("GOOGLETRANSLATE(B5507,""en"",""pt-br"")"),"negativo")</f>
        <v>negativo</v>
      </c>
    </row>
    <row r="5508" ht="15.75" customHeight="1">
      <c r="A5508" s="2" t="s">
        <v>5505</v>
      </c>
      <c r="B5508" s="2" t="s">
        <v>3</v>
      </c>
      <c r="C5508" s="1" t="str">
        <f>IFERROR(__xludf.DUMMYFUNCTION("GOOGLETRANSLATE(A5508,""en"",""pt-br"")"),"manhoso")</f>
        <v>manhoso</v>
      </c>
      <c r="D5508" s="1" t="str">
        <f>IFERROR(__xludf.DUMMYFUNCTION("GOOGLETRANSLATE(B5508,""en"",""pt-br"")"),"negativo")</f>
        <v>negativo</v>
      </c>
    </row>
    <row r="5509" ht="15.75" customHeight="1">
      <c r="A5509" s="2" t="s">
        <v>5506</v>
      </c>
      <c r="B5509" s="2" t="s">
        <v>3</v>
      </c>
      <c r="C5509" s="1" t="str">
        <f>IFERROR(__xludf.DUMMYFUNCTION("GOOGLETRANSLATE(A5509,""en"",""pt-br"")"),"beijoca")</f>
        <v>beijoca</v>
      </c>
      <c r="D5509" s="1" t="str">
        <f>IFERROR(__xludf.DUMMYFUNCTION("GOOGLETRANSLATE(B5509,""en"",""pt-br"")"),"negativo")</f>
        <v>negativo</v>
      </c>
    </row>
    <row r="5510" ht="15.75" customHeight="1">
      <c r="A5510" s="2" t="s">
        <v>5507</v>
      </c>
      <c r="B5510" s="2" t="s">
        <v>3</v>
      </c>
      <c r="C5510" s="1" t="str">
        <f>IFERROR(__xludf.DUMMYFUNCTION("GOOGLETRANSLATE(A5510,""en"",""pt-br"")"),"smallish")</f>
        <v>smallish</v>
      </c>
      <c r="D5510" s="1" t="str">
        <f>IFERROR(__xludf.DUMMYFUNCTION("GOOGLETRANSLATE(B5510,""en"",""pt-br"")"),"negativo")</f>
        <v>negativo</v>
      </c>
    </row>
    <row r="5511" ht="15.75" customHeight="1">
      <c r="A5511" s="2" t="s">
        <v>5508</v>
      </c>
      <c r="B5511" s="2" t="s">
        <v>14</v>
      </c>
      <c r="C5511" s="1" t="str">
        <f>IFERROR(__xludf.DUMMYFUNCTION("GOOGLETRANSLATE(A5511,""en"",""pt-br"")"),"inteligente")</f>
        <v>inteligente</v>
      </c>
      <c r="D5511" s="1" t="str">
        <f>IFERROR(__xludf.DUMMYFUNCTION("GOOGLETRANSLATE(B5511,""en"",""pt-br"")"),"positivo")</f>
        <v>positivo</v>
      </c>
    </row>
    <row r="5512" ht="15.75" customHeight="1">
      <c r="A5512" s="2" t="s">
        <v>5509</v>
      </c>
      <c r="B5512" s="2" t="s">
        <v>14</v>
      </c>
      <c r="C5512" s="1" t="str">
        <f>IFERROR(__xludf.DUMMYFUNCTION("GOOGLETRANSLATE(A5512,""en"",""pt-br"")"),"mais esperto")</f>
        <v>mais esperto</v>
      </c>
      <c r="D5512" s="1" t="str">
        <f>IFERROR(__xludf.DUMMYFUNCTION("GOOGLETRANSLATE(B5512,""en"",""pt-br"")"),"positivo")</f>
        <v>positivo</v>
      </c>
    </row>
    <row r="5513" ht="15.75" customHeight="1">
      <c r="A5513" s="2" t="s">
        <v>5510</v>
      </c>
      <c r="B5513" s="2" t="s">
        <v>14</v>
      </c>
      <c r="C5513" s="1" t="str">
        <f>IFERROR(__xludf.DUMMYFUNCTION("GOOGLETRANSLATE(A5513,""en"",""pt-br"")"),"mais inteligente")</f>
        <v>mais inteligente</v>
      </c>
      <c r="D5513" s="1" t="str">
        <f>IFERROR(__xludf.DUMMYFUNCTION("GOOGLETRANSLATE(B5513,""en"",""pt-br"")"),"positivo")</f>
        <v>positivo</v>
      </c>
    </row>
    <row r="5514" ht="15.75" customHeight="1">
      <c r="A5514" s="2" t="s">
        <v>5511</v>
      </c>
      <c r="B5514" s="2" t="s">
        <v>14</v>
      </c>
      <c r="C5514" s="1" t="str">
        <f>IFERROR(__xludf.DUMMYFUNCTION("GOOGLETRANSLATE(A5514,""en"",""pt-br"")"),"espertamente")</f>
        <v>espertamente</v>
      </c>
      <c r="D5514" s="1" t="str">
        <f>IFERROR(__xludf.DUMMYFUNCTION("GOOGLETRANSLATE(B5514,""en"",""pt-br"")"),"positivo")</f>
        <v>positivo</v>
      </c>
    </row>
    <row r="5515" ht="15.75" customHeight="1">
      <c r="A5515" s="2" t="s">
        <v>5512</v>
      </c>
      <c r="B5515" s="2" t="s">
        <v>3</v>
      </c>
      <c r="C5515" s="1" t="str">
        <f>IFERROR(__xludf.DUMMYFUNCTION("GOOGLETRANSLATE(A5515,""en"",""pt-br"")"),"esmagar")</f>
        <v>esmagar</v>
      </c>
      <c r="D5515" s="1" t="str">
        <f>IFERROR(__xludf.DUMMYFUNCTION("GOOGLETRANSLATE(B5515,""en"",""pt-br"")"),"negativo")</f>
        <v>negativo</v>
      </c>
    </row>
    <row r="5516" ht="15.75" customHeight="1">
      <c r="A5516" s="2" t="s">
        <v>5513</v>
      </c>
      <c r="B5516" s="2" t="s">
        <v>3</v>
      </c>
      <c r="C5516" s="1" t="str">
        <f>IFERROR(__xludf.DUMMYFUNCTION("GOOGLETRANSLATE(A5516,""en"",""pt-br"")"),"borrão")</f>
        <v>borrão</v>
      </c>
      <c r="D5516" s="1" t="str">
        <f>IFERROR(__xludf.DUMMYFUNCTION("GOOGLETRANSLATE(B5516,""en"",""pt-br"")"),"negativo")</f>
        <v>negativo</v>
      </c>
    </row>
    <row r="5517" ht="15.75" customHeight="1">
      <c r="A5517" s="2" t="s">
        <v>5514</v>
      </c>
      <c r="B5517" s="2" t="s">
        <v>3</v>
      </c>
      <c r="C5517" s="1" t="str">
        <f>IFERROR(__xludf.DUMMYFUNCTION("GOOGLETRANSLATE(A5517,""en"",""pt-br"")"),"cheiro")</f>
        <v>cheiro</v>
      </c>
      <c r="D5517" s="1" t="str">
        <f>IFERROR(__xludf.DUMMYFUNCTION("GOOGLETRANSLATE(B5517,""en"",""pt-br"")"),"negativo")</f>
        <v>negativo</v>
      </c>
    </row>
    <row r="5518" ht="15.75" customHeight="1">
      <c r="A5518" s="2" t="s">
        <v>5515</v>
      </c>
      <c r="B5518" s="2" t="s">
        <v>3</v>
      </c>
      <c r="C5518" s="1" t="str">
        <f>IFERROR(__xludf.DUMMYFUNCTION("GOOGLETRANSLATE(A5518,""en"",""pt-br"")"),"cheirava")</f>
        <v>cheirava</v>
      </c>
      <c r="D5518" s="1" t="str">
        <f>IFERROR(__xludf.DUMMYFUNCTION("GOOGLETRANSLATE(B5518,""en"",""pt-br"")"),"negativo")</f>
        <v>negativo</v>
      </c>
    </row>
    <row r="5519" ht="15.75" customHeight="1">
      <c r="A5519" s="2" t="s">
        <v>5516</v>
      </c>
      <c r="B5519" s="2" t="s">
        <v>3</v>
      </c>
      <c r="C5519" s="1" t="str">
        <f>IFERROR(__xludf.DUMMYFUNCTION("GOOGLETRANSLATE(A5519,""en"",""pt-br"")"),"cheirando")</f>
        <v>cheirando</v>
      </c>
      <c r="D5519" s="1" t="str">
        <f>IFERROR(__xludf.DUMMYFUNCTION("GOOGLETRANSLATE(B5519,""en"",""pt-br"")"),"negativo")</f>
        <v>negativo</v>
      </c>
    </row>
    <row r="5520" ht="15.75" customHeight="1">
      <c r="A5520" s="2" t="s">
        <v>5517</v>
      </c>
      <c r="B5520" s="2" t="s">
        <v>3</v>
      </c>
      <c r="C5520" s="1" t="str">
        <f>IFERROR(__xludf.DUMMYFUNCTION("GOOGLETRANSLATE(A5520,""en"",""pt-br"")"),"cheiros")</f>
        <v>cheiros</v>
      </c>
      <c r="D5520" s="1" t="str">
        <f>IFERROR(__xludf.DUMMYFUNCTION("GOOGLETRANSLATE(B5520,""en"",""pt-br"")"),"negativo")</f>
        <v>negativo</v>
      </c>
    </row>
    <row r="5521" ht="15.75" customHeight="1">
      <c r="A5521" s="2" t="s">
        <v>5518</v>
      </c>
      <c r="B5521" s="2" t="s">
        <v>3</v>
      </c>
      <c r="C5521" s="1" t="str">
        <f>IFERROR(__xludf.DUMMYFUNCTION("GOOGLETRANSLATE(A5521,""en"",""pt-br"")"),"malcheiroso")</f>
        <v>malcheiroso</v>
      </c>
      <c r="D5521" s="1" t="str">
        <f>IFERROR(__xludf.DUMMYFUNCTION("GOOGLETRANSLATE(B5521,""en"",""pt-br"")"),"negativo")</f>
        <v>negativo</v>
      </c>
    </row>
    <row r="5522" ht="15.75" customHeight="1">
      <c r="A5522" s="2" t="s">
        <v>5519</v>
      </c>
      <c r="B5522" s="2" t="s">
        <v>3</v>
      </c>
      <c r="C5522" s="1" t="str">
        <f>IFERROR(__xludf.DUMMYFUNCTION("GOOGLETRANSLATE(A5522,""en"",""pt-br"")"),"fundição")</f>
        <v>fundição</v>
      </c>
      <c r="D5522" s="1" t="str">
        <f>IFERROR(__xludf.DUMMYFUNCTION("GOOGLETRANSLATE(B5522,""en"",""pt-br"")"),"negativo")</f>
        <v>negativo</v>
      </c>
    </row>
    <row r="5523" ht="15.75" customHeight="1">
      <c r="A5523" s="2" t="s">
        <v>5520</v>
      </c>
      <c r="B5523" s="2" t="s">
        <v>14</v>
      </c>
      <c r="C5523" s="1" t="str">
        <f>IFERROR(__xludf.DUMMYFUNCTION("GOOGLETRANSLATE(A5523,""en"",""pt-br"")"),"sorriso")</f>
        <v>sorriso</v>
      </c>
      <c r="D5523" s="1" t="str">
        <f>IFERROR(__xludf.DUMMYFUNCTION("GOOGLETRANSLATE(B5523,""en"",""pt-br"")"),"positivo")</f>
        <v>positivo</v>
      </c>
    </row>
    <row r="5524" ht="15.75" customHeight="1">
      <c r="A5524" s="2" t="s">
        <v>5521</v>
      </c>
      <c r="B5524" s="2" t="s">
        <v>14</v>
      </c>
      <c r="C5524" s="1" t="str">
        <f>IFERROR(__xludf.DUMMYFUNCTION("GOOGLETRANSLATE(A5524,""en"",""pt-br"")"),"sorrisos")</f>
        <v>sorrisos</v>
      </c>
      <c r="D5524" s="1" t="str">
        <f>IFERROR(__xludf.DUMMYFUNCTION("GOOGLETRANSLATE(B5524,""en"",""pt-br"")"),"positivo")</f>
        <v>positivo</v>
      </c>
    </row>
    <row r="5525" ht="15.75" customHeight="1">
      <c r="A5525" s="2" t="s">
        <v>5522</v>
      </c>
      <c r="B5525" s="2" t="s">
        <v>14</v>
      </c>
      <c r="C5525" s="1" t="str">
        <f>IFERROR(__xludf.DUMMYFUNCTION("GOOGLETRANSLATE(A5525,""en"",""pt-br"")"),"sorridente")</f>
        <v>sorridente</v>
      </c>
      <c r="D5525" s="1" t="str">
        <f>IFERROR(__xludf.DUMMYFUNCTION("GOOGLETRANSLATE(B5525,""en"",""pt-br"")"),"positivo")</f>
        <v>positivo</v>
      </c>
    </row>
    <row r="5526" ht="15.75" customHeight="1">
      <c r="A5526" s="2" t="s">
        <v>5523</v>
      </c>
      <c r="B5526" s="2" t="s">
        <v>14</v>
      </c>
      <c r="C5526" s="1" t="str">
        <f>IFERROR(__xludf.DUMMYFUNCTION("GOOGLETRANSLATE(A5526,""en"",""pt-br"")"),"com sorriso")</f>
        <v>com sorriso</v>
      </c>
      <c r="D5526" s="1" t="str">
        <f>IFERROR(__xludf.DUMMYFUNCTION("GOOGLETRANSLATE(B5526,""en"",""pt-br"")"),"positivo")</f>
        <v>positivo</v>
      </c>
    </row>
    <row r="5527" ht="15.75" customHeight="1">
      <c r="A5527" s="2" t="s">
        <v>5524</v>
      </c>
      <c r="B5527" s="2" t="s">
        <v>14</v>
      </c>
      <c r="C5527" s="1" t="str">
        <f>IFERROR(__xludf.DUMMYFUNCTION("GOOGLETRANSLATE(A5527,""en"",""pt-br"")"),"ferido")</f>
        <v>ferido</v>
      </c>
      <c r="D5527" s="1" t="str">
        <f>IFERROR(__xludf.DUMMYFUNCTION("GOOGLETRANSLATE(B5527,""en"",""pt-br"")"),"positivo")</f>
        <v>positivo</v>
      </c>
    </row>
    <row r="5528" ht="15.75" customHeight="1">
      <c r="A5528" s="2" t="s">
        <v>5525</v>
      </c>
      <c r="B5528" s="2" t="s">
        <v>3</v>
      </c>
      <c r="C5528" s="1" t="str">
        <f>IFERROR(__xludf.DUMMYFUNCTION("GOOGLETRANSLATE(A5528,""en"",""pt-br"")"),"fumaça")</f>
        <v>fumaça</v>
      </c>
      <c r="D5528" s="1" t="str">
        <f>IFERROR(__xludf.DUMMYFUNCTION("GOOGLETRANSLATE(B5528,""en"",""pt-br"")"),"negativo")</f>
        <v>negativo</v>
      </c>
    </row>
    <row r="5529" ht="15.75" customHeight="1">
      <c r="A5529" s="2" t="s">
        <v>5526</v>
      </c>
      <c r="B5529" s="2" t="s">
        <v>3</v>
      </c>
      <c r="C5529" s="1" t="str">
        <f>IFERROR(__xludf.DUMMYFUNCTION("GOOGLETRANSLATE(A5529,""en"",""pt-br"")"),"cortina de fumaça")</f>
        <v>cortina de fumaça</v>
      </c>
      <c r="D5529" s="1" t="str">
        <f>IFERROR(__xludf.DUMMYFUNCTION("GOOGLETRANSLATE(B5529,""en"",""pt-br"")"),"negativo")</f>
        <v>negativo</v>
      </c>
    </row>
    <row r="5530" ht="15.75" customHeight="1">
      <c r="A5530" s="2" t="s">
        <v>5527</v>
      </c>
      <c r="B5530" s="2" t="s">
        <v>3</v>
      </c>
      <c r="C5530" s="1" t="str">
        <f>IFERROR(__xludf.DUMMYFUNCTION("GOOGLETRANSLATE(A5530,""en"",""pt-br"")"),"smolder")</f>
        <v>smolder</v>
      </c>
      <c r="D5530" s="1" t="str">
        <f>IFERROR(__xludf.DUMMYFUNCTION("GOOGLETRANSLATE(B5530,""en"",""pt-br"")"),"negativo")</f>
        <v>negativo</v>
      </c>
    </row>
    <row r="5531" ht="15.75" customHeight="1">
      <c r="A5531" s="2" t="s">
        <v>5528</v>
      </c>
      <c r="B5531" s="2" t="s">
        <v>3</v>
      </c>
      <c r="C5531" s="1" t="str">
        <f>IFERROR(__xludf.DUMMYFUNCTION("GOOGLETRANSLATE(A5531,""en"",""pt-br"")"),"latente")</f>
        <v>latente</v>
      </c>
      <c r="D5531" s="1" t="str">
        <f>IFERROR(__xludf.DUMMYFUNCTION("GOOGLETRANSLATE(B5531,""en"",""pt-br"")"),"negativo")</f>
        <v>negativo</v>
      </c>
    </row>
    <row r="5532" ht="15.75" customHeight="1">
      <c r="A5532" s="2" t="s">
        <v>5529</v>
      </c>
      <c r="B5532" s="2" t="s">
        <v>14</v>
      </c>
      <c r="C5532" s="1" t="str">
        <f>IFERROR(__xludf.DUMMYFUNCTION("GOOGLETRANSLATE(A5532,""en"",""pt-br"")"),"suave")</f>
        <v>suave</v>
      </c>
      <c r="D5532" s="1" t="str">
        <f>IFERROR(__xludf.DUMMYFUNCTION("GOOGLETRANSLATE(B5532,""en"",""pt-br"")"),"positivo")</f>
        <v>positivo</v>
      </c>
    </row>
    <row r="5533" ht="15.75" customHeight="1">
      <c r="A5533" s="2" t="s">
        <v>5530</v>
      </c>
      <c r="B5533" s="2" t="s">
        <v>14</v>
      </c>
      <c r="C5533" s="1" t="str">
        <f>IFERROR(__xludf.DUMMYFUNCTION("GOOGLETRANSLATE(A5533,""en"",""pt-br"")"),"suave")</f>
        <v>suave</v>
      </c>
      <c r="D5533" s="1" t="str">
        <f>IFERROR(__xludf.DUMMYFUNCTION("GOOGLETRANSLATE(B5533,""en"",""pt-br"")"),"positivo")</f>
        <v>positivo</v>
      </c>
    </row>
    <row r="5534" ht="15.75" customHeight="1">
      <c r="A5534" s="2" t="s">
        <v>5531</v>
      </c>
      <c r="B5534" s="2" t="s">
        <v>14</v>
      </c>
      <c r="C5534" s="1" t="str">
        <f>IFERROR(__xludf.DUMMYFUNCTION("GOOGLETRANSLATE(A5534,""en"",""pt-br"")"),"suaviza")</f>
        <v>suaviza</v>
      </c>
      <c r="D5534" s="1" t="str">
        <f>IFERROR(__xludf.DUMMYFUNCTION("GOOGLETRANSLATE(B5534,""en"",""pt-br"")"),"positivo")</f>
        <v>positivo</v>
      </c>
    </row>
    <row r="5535" ht="15.75" customHeight="1">
      <c r="A5535" s="2" t="s">
        <v>5532</v>
      </c>
      <c r="B5535" s="2" t="s">
        <v>14</v>
      </c>
      <c r="C5535" s="1" t="str">
        <f>IFERROR(__xludf.DUMMYFUNCTION("GOOGLETRANSLATE(A5535,""en"",""pt-br"")"),"suave")</f>
        <v>suave</v>
      </c>
      <c r="D5535" s="1" t="str">
        <f>IFERROR(__xludf.DUMMYFUNCTION("GOOGLETRANSLATE(B5535,""en"",""pt-br"")"),"positivo")</f>
        <v>positivo</v>
      </c>
    </row>
    <row r="5536" ht="15.75" customHeight="1">
      <c r="A5536" s="2" t="s">
        <v>5533</v>
      </c>
      <c r="B5536" s="2" t="s">
        <v>14</v>
      </c>
      <c r="C5536" s="1" t="str">
        <f>IFERROR(__xludf.DUMMYFUNCTION("GOOGLETRANSLATE(A5536,""en"",""pt-br"")"),"suavemente")</f>
        <v>suavemente</v>
      </c>
      <c r="D5536" s="1" t="str">
        <f>IFERROR(__xludf.DUMMYFUNCTION("GOOGLETRANSLATE(B5536,""en"",""pt-br"")"),"positivo")</f>
        <v>positivo</v>
      </c>
    </row>
    <row r="5537" ht="15.75" customHeight="1">
      <c r="A5537" s="2" t="s">
        <v>5534</v>
      </c>
      <c r="B5537" s="2" t="s">
        <v>3</v>
      </c>
      <c r="C5537" s="1" t="str">
        <f>IFERROR(__xludf.DUMMYFUNCTION("GOOGLETRANSLATE(A5537,""en"",""pt-br"")"),"sufocar")</f>
        <v>sufocar</v>
      </c>
      <c r="D5537" s="1" t="str">
        <f>IFERROR(__xludf.DUMMYFUNCTION("GOOGLETRANSLATE(B5537,""en"",""pt-br"")"),"negativo")</f>
        <v>negativo</v>
      </c>
    </row>
    <row r="5538" ht="15.75" customHeight="1">
      <c r="A5538" s="2" t="s">
        <v>5535</v>
      </c>
      <c r="B5538" s="2" t="s">
        <v>3</v>
      </c>
      <c r="C5538" s="1" t="str">
        <f>IFERROR(__xludf.DUMMYFUNCTION("GOOGLETRANSLATE(A5538,""en"",""pt-br"")"),"smolder")</f>
        <v>smolder</v>
      </c>
      <c r="D5538" s="1" t="str">
        <f>IFERROR(__xludf.DUMMYFUNCTION("GOOGLETRANSLATE(B5538,""en"",""pt-br"")"),"negativo")</f>
        <v>negativo</v>
      </c>
    </row>
    <row r="5539" ht="15.75" customHeight="1">
      <c r="A5539" s="2" t="s">
        <v>5536</v>
      </c>
      <c r="B5539" s="2" t="s">
        <v>3</v>
      </c>
      <c r="C5539" s="1" t="str">
        <f>IFERROR(__xludf.DUMMYFUNCTION("GOOGLETRANSLATE(A5539,""en"",""pt-br"")"),"latente")</f>
        <v>latente</v>
      </c>
      <c r="D5539" s="1" t="str">
        <f>IFERROR(__xludf.DUMMYFUNCTION("GOOGLETRANSLATE(B5539,""en"",""pt-br"")"),"negativo")</f>
        <v>negativo</v>
      </c>
    </row>
    <row r="5540" ht="15.75" customHeight="1">
      <c r="A5540" s="2" t="s">
        <v>5537</v>
      </c>
      <c r="B5540" s="2" t="s">
        <v>3</v>
      </c>
      <c r="C5540" s="1" t="str">
        <f>IFERROR(__xludf.DUMMYFUNCTION("GOOGLETRANSLATE(A5540,""en"",""pt-br"")"),"mancha")</f>
        <v>mancha</v>
      </c>
      <c r="D5540" s="1" t="str">
        <f>IFERROR(__xludf.DUMMYFUNCTION("GOOGLETRANSLATE(B5540,""en"",""pt-br"")"),"negativo")</f>
        <v>negativo</v>
      </c>
    </row>
    <row r="5541" ht="15.75" customHeight="1">
      <c r="A5541" s="2" t="s">
        <v>5538</v>
      </c>
      <c r="B5541" s="2" t="s">
        <v>3</v>
      </c>
      <c r="C5541" s="1" t="str">
        <f>IFERROR(__xludf.DUMMYFUNCTION("GOOGLETRANSLATE(A5541,""en"",""pt-br"")"),"borrado")</f>
        <v>borrado</v>
      </c>
      <c r="D5541" s="1" t="str">
        <f>IFERROR(__xludf.DUMMYFUNCTION("GOOGLETRANSLATE(B5541,""en"",""pt-br"")"),"negativo")</f>
        <v>negativo</v>
      </c>
    </row>
    <row r="5542" ht="15.75" customHeight="1">
      <c r="A5542" s="2" t="s">
        <v>5539</v>
      </c>
      <c r="B5542" s="2" t="s">
        <v>3</v>
      </c>
      <c r="C5542" s="1" t="str">
        <f>IFERROR(__xludf.DUMMYFUNCTION("GOOGLETRANSLATE(A5542,""en"",""pt-br"")"),"manchas")</f>
        <v>manchas</v>
      </c>
      <c r="D5542" s="1" t="str">
        <f>IFERROR(__xludf.DUMMYFUNCTION("GOOGLETRANSLATE(B5542,""en"",""pt-br"")"),"negativo")</f>
        <v>negativo</v>
      </c>
    </row>
    <row r="5543" ht="15.75" customHeight="1">
      <c r="A5543" s="2" t="s">
        <v>5540</v>
      </c>
      <c r="B5543" s="2" t="s">
        <v>3</v>
      </c>
      <c r="C5543" s="1" t="str">
        <f>IFERROR(__xludf.DUMMYFUNCTION("GOOGLETRANSLATE(A5543,""en"",""pt-br"")"),"smudging")</f>
        <v>smudging</v>
      </c>
      <c r="D5543" s="1" t="str">
        <f>IFERROR(__xludf.DUMMYFUNCTION("GOOGLETRANSLATE(B5543,""en"",""pt-br"")"),"negativo")</f>
        <v>negativo</v>
      </c>
    </row>
    <row r="5544" ht="15.75" customHeight="1">
      <c r="A5544" s="2" t="s">
        <v>5541</v>
      </c>
      <c r="B5544" s="2" t="s">
        <v>3</v>
      </c>
      <c r="C5544" s="1" t="str">
        <f>IFERROR(__xludf.DUMMYFUNCTION("GOOGLETRANSLATE(A5544,""en"",""pt-br"")"),"presunçoso")</f>
        <v>presunçoso</v>
      </c>
      <c r="D5544" s="1" t="str">
        <f>IFERROR(__xludf.DUMMYFUNCTION("GOOGLETRANSLATE(B5544,""en"",""pt-br"")"),"negativo")</f>
        <v>negativo</v>
      </c>
    </row>
    <row r="5545" ht="15.75" customHeight="1">
      <c r="A5545" s="2" t="s">
        <v>5542</v>
      </c>
      <c r="B5545" s="2" t="s">
        <v>3</v>
      </c>
      <c r="C5545" s="1" t="str">
        <f>IFERROR(__xludf.DUMMYFUNCTION("GOOGLETRANSLATE(A5545,""en"",""pt-br"")"),"presunçosamente")</f>
        <v>presunçosamente</v>
      </c>
      <c r="D5545" s="1" t="str">
        <f>IFERROR(__xludf.DUMMYFUNCTION("GOOGLETRANSLATE(B5545,""en"",""pt-br"")"),"negativo")</f>
        <v>negativo</v>
      </c>
    </row>
    <row r="5546" ht="15.75" customHeight="1">
      <c r="A5546" s="2" t="s">
        <v>5543</v>
      </c>
      <c r="B5546" s="2" t="s">
        <v>3</v>
      </c>
      <c r="C5546" s="1" t="str">
        <f>IFERROR(__xludf.DUMMYFUNCTION("GOOGLETRANSLATE(A5546,""en"",""pt-br"")"),"obscenidade")</f>
        <v>obscenidade</v>
      </c>
      <c r="D5546" s="1" t="str">
        <f>IFERROR(__xludf.DUMMYFUNCTION("GOOGLETRANSLATE(B5546,""en"",""pt-br"")"),"negativo")</f>
        <v>negativo</v>
      </c>
    </row>
    <row r="5547" ht="15.75" customHeight="1">
      <c r="A5547" s="2" t="s">
        <v>5544</v>
      </c>
      <c r="B5547" s="2" t="s">
        <v>3</v>
      </c>
      <c r="C5547" s="1" t="str">
        <f>IFERROR(__xludf.DUMMYFUNCTION("GOOGLETRANSLATE(A5547,""en"",""pt-br"")"),"smuttier")</f>
        <v>smuttier</v>
      </c>
      <c r="D5547" s="1" t="str">
        <f>IFERROR(__xludf.DUMMYFUNCTION("GOOGLETRANSLATE(B5547,""en"",""pt-br"")"),"negativo")</f>
        <v>negativo</v>
      </c>
    </row>
    <row r="5548" ht="15.75" customHeight="1">
      <c r="A5548" s="2" t="s">
        <v>5545</v>
      </c>
      <c r="B5548" s="2" t="s">
        <v>3</v>
      </c>
      <c r="C5548" s="1" t="str">
        <f>IFERROR(__xludf.DUMMYFUNCTION("GOOGLETRANSLATE(A5548,""en"",""pt-br"")"),"smuttiest")</f>
        <v>smuttiest</v>
      </c>
      <c r="D5548" s="1" t="str">
        <f>IFERROR(__xludf.DUMMYFUNCTION("GOOGLETRANSLATE(B5548,""en"",""pt-br"")"),"negativo")</f>
        <v>negativo</v>
      </c>
    </row>
    <row r="5549" ht="15.75" customHeight="1">
      <c r="A5549" s="2" t="s">
        <v>5546</v>
      </c>
      <c r="B5549" s="2" t="s">
        <v>3</v>
      </c>
      <c r="C5549" s="1" t="str">
        <f>IFERROR(__xludf.DUMMYFUNCTION("GOOGLETRANSLATE(A5549,""en"",""pt-br"")"),"sujo")</f>
        <v>sujo</v>
      </c>
      <c r="D5549" s="1" t="str">
        <f>IFERROR(__xludf.DUMMYFUNCTION("GOOGLETRANSLATE(B5549,""en"",""pt-br"")"),"negativo")</f>
        <v>negativo</v>
      </c>
    </row>
    <row r="5550" ht="15.75" customHeight="1">
      <c r="A5550" s="2" t="s">
        <v>5547</v>
      </c>
      <c r="B5550" s="2" t="s">
        <v>3</v>
      </c>
      <c r="C5550" s="1" t="str">
        <f>IFERROR(__xludf.DUMMYFUNCTION("GOOGLETRANSLATE(A5550,""en"",""pt-br"")"),"protuberância")</f>
        <v>protuberância</v>
      </c>
      <c r="D5550" s="1" t="str">
        <f>IFERROR(__xludf.DUMMYFUNCTION("GOOGLETRANSLATE(B5550,""en"",""pt-br"")"),"negativo")</f>
        <v>negativo</v>
      </c>
    </row>
    <row r="5551" ht="15.75" customHeight="1">
      <c r="A5551" s="2" t="s">
        <v>5548</v>
      </c>
      <c r="B5551" s="2" t="s">
        <v>3</v>
      </c>
      <c r="C5551" s="1" t="str">
        <f>IFERROR(__xludf.DUMMYFUNCTION("GOOGLETRANSLATE(A5551,""en"",""pt-br"")"),"Snagged")</f>
        <v>Snagged</v>
      </c>
      <c r="D5551" s="1" t="str">
        <f>IFERROR(__xludf.DUMMYFUNCTION("GOOGLETRANSLATE(B5551,""en"",""pt-br"")"),"negativo")</f>
        <v>negativo</v>
      </c>
    </row>
    <row r="5552" ht="15.75" customHeight="1">
      <c r="A5552" s="2" t="s">
        <v>5549</v>
      </c>
      <c r="B5552" s="2" t="s">
        <v>3</v>
      </c>
      <c r="C5552" s="1" t="str">
        <f>IFERROR(__xludf.DUMMYFUNCTION("GOOGLETRANSLATE(A5552,""en"",""pt-br"")"),"snagging")</f>
        <v>snagging</v>
      </c>
      <c r="D5552" s="1" t="str">
        <f>IFERROR(__xludf.DUMMYFUNCTION("GOOGLETRANSLATE(B5552,""en"",""pt-br"")"),"negativo")</f>
        <v>negativo</v>
      </c>
    </row>
    <row r="5553" ht="15.75" customHeight="1">
      <c r="A5553" s="2" t="s">
        <v>5550</v>
      </c>
      <c r="B5553" s="2" t="s">
        <v>3</v>
      </c>
      <c r="C5553" s="1" t="str">
        <f>IFERROR(__xludf.DUMMYFUNCTION("GOOGLETRANSLATE(A5553,""en"",""pt-br"")"),"senões")</f>
        <v>senões</v>
      </c>
      <c r="D5553" s="1" t="str">
        <f>IFERROR(__xludf.DUMMYFUNCTION("GOOGLETRANSLATE(B5553,""en"",""pt-br"")"),"negativo")</f>
        <v>negativo</v>
      </c>
    </row>
    <row r="5554" ht="15.75" customHeight="1">
      <c r="A5554" s="2" t="s">
        <v>5551</v>
      </c>
      <c r="B5554" s="2" t="s">
        <v>3</v>
      </c>
      <c r="C5554" s="1" t="str">
        <f>IFERROR(__xludf.DUMMYFUNCTION("GOOGLETRANSLATE(A5554,""en"",""pt-br"")"),"mal-humorado")</f>
        <v>mal-humorado</v>
      </c>
      <c r="D5554" s="1" t="str">
        <f>IFERROR(__xludf.DUMMYFUNCTION("GOOGLETRANSLATE(B5554,""en"",""pt-br"")"),"negativo")</f>
        <v>negativo</v>
      </c>
    </row>
    <row r="5555" ht="15.75" customHeight="1">
      <c r="A5555" s="2" t="s">
        <v>5552</v>
      </c>
      <c r="B5555" s="2" t="s">
        <v>3</v>
      </c>
      <c r="C5555" s="1" t="str">
        <f>IFERROR(__xludf.DUMMYFUNCTION("GOOGLETRANSLATE(A5555,""en"",""pt-br"")"),"snappishly")</f>
        <v>snappishly</v>
      </c>
      <c r="D5555" s="1" t="str">
        <f>IFERROR(__xludf.DUMMYFUNCTION("GOOGLETRANSLATE(B5555,""en"",""pt-br"")"),"negativo")</f>
        <v>negativo</v>
      </c>
    </row>
    <row r="5556" ht="15.75" customHeight="1">
      <c r="A5556" s="2" t="s">
        <v>5553</v>
      </c>
      <c r="B5556" s="2" t="s">
        <v>14</v>
      </c>
      <c r="C5556" s="1" t="str">
        <f>IFERROR(__xludf.DUMMYFUNCTION("GOOGLETRANSLATE(A5556,""en"",""pt-br"")"),"mal-humorado")</f>
        <v>mal-humorado</v>
      </c>
      <c r="D5556" s="1" t="str">
        <f>IFERROR(__xludf.DUMMYFUNCTION("GOOGLETRANSLATE(B5556,""en"",""pt-br"")"),"positivo")</f>
        <v>positivo</v>
      </c>
    </row>
    <row r="5557" ht="15.75" customHeight="1">
      <c r="A5557" s="2" t="s">
        <v>5554</v>
      </c>
      <c r="B5557" s="2" t="s">
        <v>3</v>
      </c>
      <c r="C5557" s="1" t="str">
        <f>IFERROR(__xludf.DUMMYFUNCTION("GOOGLETRANSLATE(A5557,""en"",""pt-br"")"),"laço")</f>
        <v>laço</v>
      </c>
      <c r="D5557" s="1" t="str">
        <f>IFERROR(__xludf.DUMMYFUNCTION("GOOGLETRANSLATE(B5557,""en"",""pt-br"")"),"negativo")</f>
        <v>negativo</v>
      </c>
    </row>
    <row r="5558" ht="15.75" customHeight="1">
      <c r="A5558" s="2" t="s">
        <v>5555</v>
      </c>
      <c r="B5558" s="2" t="s">
        <v>3</v>
      </c>
      <c r="C5558" s="1" t="str">
        <f>IFERROR(__xludf.DUMMYFUNCTION("GOOGLETRANSLATE(A5558,""en"",""pt-br"")"),"snarky")</f>
        <v>snarky</v>
      </c>
      <c r="D5558" s="1" t="str">
        <f>IFERROR(__xludf.DUMMYFUNCTION("GOOGLETRANSLATE(B5558,""en"",""pt-br"")"),"negativo")</f>
        <v>negativo</v>
      </c>
    </row>
    <row r="5559" ht="15.75" customHeight="1">
      <c r="A5559" s="2" t="s">
        <v>5556</v>
      </c>
      <c r="B5559" s="2" t="s">
        <v>3</v>
      </c>
      <c r="C5559" s="1" t="str">
        <f>IFERROR(__xludf.DUMMYFUNCTION("GOOGLETRANSLATE(A5559,""en"",""pt-br"")"),"rosnar")</f>
        <v>rosnar</v>
      </c>
      <c r="D5559" s="1" t="str">
        <f>IFERROR(__xludf.DUMMYFUNCTION("GOOGLETRANSLATE(B5559,""en"",""pt-br"")"),"negativo")</f>
        <v>negativo</v>
      </c>
    </row>
    <row r="5560" ht="15.75" customHeight="1">
      <c r="A5560" s="2" t="s">
        <v>5557</v>
      </c>
      <c r="B5560" s="2" t="s">
        <v>14</v>
      </c>
      <c r="C5560" s="1" t="str">
        <f>IFERROR(__xludf.DUMMYFUNCTION("GOOGLETRANSLATE(A5560,""en"",""pt-br"")"),"snazzy")</f>
        <v>snazzy</v>
      </c>
      <c r="D5560" s="1" t="str">
        <f>IFERROR(__xludf.DUMMYFUNCTION("GOOGLETRANSLATE(B5560,""en"",""pt-br"")"),"positivo")</f>
        <v>positivo</v>
      </c>
    </row>
    <row r="5561" ht="15.75" customHeight="1">
      <c r="A5561" s="2" t="s">
        <v>5558</v>
      </c>
      <c r="B5561" s="2" t="s">
        <v>3</v>
      </c>
      <c r="C5561" s="1" t="str">
        <f>IFERROR(__xludf.DUMMYFUNCTION("GOOGLETRANSLATE(A5561,""en"",""pt-br"")"),"esgueirar-se")</f>
        <v>esgueirar-se</v>
      </c>
      <c r="D5561" s="1" t="str">
        <f>IFERROR(__xludf.DUMMYFUNCTION("GOOGLETRANSLATE(B5561,""en"",""pt-br"")"),"negativo")</f>
        <v>negativo</v>
      </c>
    </row>
    <row r="5562" ht="15.75" customHeight="1">
      <c r="A5562" s="2" t="s">
        <v>5559</v>
      </c>
      <c r="B5562" s="2" t="s">
        <v>3</v>
      </c>
      <c r="C5562" s="1" t="str">
        <f>IFERROR(__xludf.DUMMYFUNCTION("GOOGLETRANSLATE(A5562,""en"",""pt-br"")"),"sneakily")</f>
        <v>sneakily</v>
      </c>
      <c r="D5562" s="1" t="str">
        <f>IFERROR(__xludf.DUMMYFUNCTION("GOOGLETRANSLATE(B5562,""en"",""pt-br"")"),"negativo")</f>
        <v>negativo</v>
      </c>
    </row>
    <row r="5563" ht="15.75" customHeight="1">
      <c r="A5563" s="2" t="s">
        <v>5560</v>
      </c>
      <c r="B5563" s="2" t="s">
        <v>3</v>
      </c>
      <c r="C5563" s="1" t="str">
        <f>IFERROR(__xludf.DUMMYFUNCTION("GOOGLETRANSLATE(A5563,""en"",""pt-br"")"),"sorrateiro")</f>
        <v>sorrateiro</v>
      </c>
      <c r="D5563" s="1" t="str">
        <f>IFERROR(__xludf.DUMMYFUNCTION("GOOGLETRANSLATE(B5563,""en"",""pt-br"")"),"negativo")</f>
        <v>negativo</v>
      </c>
    </row>
    <row r="5564" ht="15.75" customHeight="1">
      <c r="A5564" s="2" t="s">
        <v>5561</v>
      </c>
      <c r="B5564" s="2" t="s">
        <v>3</v>
      </c>
      <c r="C5564" s="1" t="str">
        <f>IFERROR(__xludf.DUMMYFUNCTION("GOOGLETRANSLATE(A5564,""en"",""pt-br"")"),"zombaria")</f>
        <v>zombaria</v>
      </c>
      <c r="D5564" s="1" t="str">
        <f>IFERROR(__xludf.DUMMYFUNCTION("GOOGLETRANSLATE(B5564,""en"",""pt-br"")"),"negativo")</f>
        <v>negativo</v>
      </c>
    </row>
    <row r="5565" ht="15.75" customHeight="1">
      <c r="A5565" s="2" t="s">
        <v>5562</v>
      </c>
      <c r="B5565" s="2" t="s">
        <v>3</v>
      </c>
      <c r="C5565" s="1" t="str">
        <f>IFERROR(__xludf.DUMMYFUNCTION("GOOGLETRANSLATE(A5565,""en"",""pt-br"")"),"desdenhar")</f>
        <v>desdenhar</v>
      </c>
      <c r="D5565" s="1" t="str">
        <f>IFERROR(__xludf.DUMMYFUNCTION("GOOGLETRANSLATE(B5565,""en"",""pt-br"")"),"negativo")</f>
        <v>negativo</v>
      </c>
    </row>
    <row r="5566" ht="15.75" customHeight="1">
      <c r="A5566" s="2" t="s">
        <v>5563</v>
      </c>
      <c r="B5566" s="2" t="s">
        <v>3</v>
      </c>
      <c r="C5566" s="1" t="str">
        <f>IFERROR(__xludf.DUMMYFUNCTION("GOOGLETRANSLATE(A5566,""en"",""pt-br"")"),"sneeringly")</f>
        <v>sneeringly</v>
      </c>
      <c r="D5566" s="1" t="str">
        <f>IFERROR(__xludf.DUMMYFUNCTION("GOOGLETRANSLATE(B5566,""en"",""pt-br"")"),"negativo")</f>
        <v>negativo</v>
      </c>
    </row>
    <row r="5567" ht="15.75" customHeight="1">
      <c r="A5567" s="2" t="s">
        <v>5564</v>
      </c>
      <c r="B5567" s="2" t="s">
        <v>3</v>
      </c>
      <c r="C5567" s="1" t="str">
        <f>IFERROR(__xludf.DUMMYFUNCTION("GOOGLETRANSLATE(A5567,""en"",""pt-br"")"),"esnobe")</f>
        <v>esnobe</v>
      </c>
      <c r="D5567" s="1" t="str">
        <f>IFERROR(__xludf.DUMMYFUNCTION("GOOGLETRANSLATE(B5567,""en"",""pt-br"")"),"negativo")</f>
        <v>negativo</v>
      </c>
    </row>
    <row r="5568" ht="15.75" customHeight="1">
      <c r="A5568" s="2" t="s">
        <v>5565</v>
      </c>
      <c r="B5568" s="2" t="s">
        <v>3</v>
      </c>
      <c r="C5568" s="1" t="str">
        <f>IFERROR(__xludf.DUMMYFUNCTION("GOOGLETRANSLATE(A5568,""en"",""pt-br"")"),"esnobe")</f>
        <v>esnobe</v>
      </c>
      <c r="D5568" s="1" t="str">
        <f>IFERROR(__xludf.DUMMYFUNCTION("GOOGLETRANSLATE(B5568,""en"",""pt-br"")"),"negativo")</f>
        <v>negativo</v>
      </c>
    </row>
    <row r="5569" ht="15.75" customHeight="1">
      <c r="A5569" s="2" t="s">
        <v>5566</v>
      </c>
      <c r="B5569" s="2" t="s">
        <v>3</v>
      </c>
      <c r="C5569" s="1" t="str">
        <f>IFERROR(__xludf.DUMMYFUNCTION("GOOGLETRANSLATE(A5569,""en"",""pt-br"")"),"esnobe")</f>
        <v>esnobe</v>
      </c>
      <c r="D5569" s="1" t="str">
        <f>IFERROR(__xludf.DUMMYFUNCTION("GOOGLETRANSLATE(B5569,""en"",""pt-br"")"),"negativo")</f>
        <v>negativo</v>
      </c>
    </row>
    <row r="5570" ht="15.75" customHeight="1">
      <c r="A5570" s="2" t="s">
        <v>5567</v>
      </c>
      <c r="B5570" s="2" t="s">
        <v>3</v>
      </c>
      <c r="C5570" s="1" t="str">
        <f>IFERROR(__xludf.DUMMYFUNCTION("GOOGLETRANSLATE(A5570,""en"",""pt-br"")"),"snobish")</f>
        <v>snobish</v>
      </c>
      <c r="D5570" s="1" t="str">
        <f>IFERROR(__xludf.DUMMYFUNCTION("GOOGLETRANSLATE(B5570,""en"",""pt-br"")"),"negativo")</f>
        <v>negativo</v>
      </c>
    </row>
    <row r="5571" ht="15.75" customHeight="1">
      <c r="A5571" s="2" t="s">
        <v>5568</v>
      </c>
      <c r="B5571" s="2" t="s">
        <v>3</v>
      </c>
      <c r="C5571" s="1" t="str">
        <f>IFERROR(__xludf.DUMMYFUNCTION("GOOGLETRANSLATE(A5571,""en"",""pt-br"")"),"esnobes")</f>
        <v>esnobes</v>
      </c>
      <c r="D5571" s="1" t="str">
        <f>IFERROR(__xludf.DUMMYFUNCTION("GOOGLETRANSLATE(B5571,""en"",""pt-br"")"),"negativo")</f>
        <v>negativo</v>
      </c>
    </row>
    <row r="5572" ht="15.75" customHeight="1">
      <c r="A5572" s="2" t="s">
        <v>5569</v>
      </c>
      <c r="B5572" s="2" t="s">
        <v>3</v>
      </c>
      <c r="C5572" s="1" t="str">
        <f>IFERROR(__xludf.DUMMYFUNCTION("GOOGLETRANSLATE(A5572,""en"",""pt-br"")"),"arrebitado")</f>
        <v>arrebitado</v>
      </c>
      <c r="D5572" s="1" t="str">
        <f>IFERROR(__xludf.DUMMYFUNCTION("GOOGLETRANSLATE(B5572,""en"",""pt-br"")"),"negativo")</f>
        <v>negativo</v>
      </c>
    </row>
    <row r="5573" ht="15.75" customHeight="1">
      <c r="A5573" s="2" t="s">
        <v>5570</v>
      </c>
      <c r="B5573" s="2" t="s">
        <v>3</v>
      </c>
      <c r="C5573" s="1" t="str">
        <f>IFERROR(__xludf.DUMMYFUNCTION("GOOGLETRANSLATE(A5573,""en"",""pt-br"")"),"so-cal")</f>
        <v>so-cal</v>
      </c>
      <c r="D5573" s="1" t="str">
        <f>IFERROR(__xludf.DUMMYFUNCTION("GOOGLETRANSLATE(B5573,""en"",""pt-br"")"),"negativo")</f>
        <v>negativo</v>
      </c>
    </row>
    <row r="5574" ht="15.75" customHeight="1">
      <c r="A5574" s="2" t="s">
        <v>5571</v>
      </c>
      <c r="B5574" s="2" t="s">
        <v>3</v>
      </c>
      <c r="C5574" s="1" t="str">
        <f>IFERROR(__xludf.DUMMYFUNCTION("GOOGLETRANSLATE(A5574,""en"",""pt-br"")"),"ensaboado")</f>
        <v>ensaboado</v>
      </c>
      <c r="D5574" s="1" t="str">
        <f>IFERROR(__xludf.DUMMYFUNCTION("GOOGLETRANSLATE(B5574,""en"",""pt-br"")"),"negativo")</f>
        <v>negativo</v>
      </c>
    </row>
    <row r="5575" ht="15.75" customHeight="1">
      <c r="A5575" s="2" t="s">
        <v>5572</v>
      </c>
      <c r="B5575" s="2" t="s">
        <v>3</v>
      </c>
      <c r="C5575" s="1" t="str">
        <f>IFERROR(__xludf.DUMMYFUNCTION("GOOGLETRANSLATE(A5575,""en"",""pt-br"")"),"soluço")</f>
        <v>soluço</v>
      </c>
      <c r="D5575" s="1" t="str">
        <f>IFERROR(__xludf.DUMMYFUNCTION("GOOGLETRANSLATE(B5575,""en"",""pt-br"")"),"negativo")</f>
        <v>negativo</v>
      </c>
    </row>
    <row r="5576" ht="15.75" customHeight="1">
      <c r="A5576" s="2" t="s">
        <v>5573</v>
      </c>
      <c r="B5576" s="2" t="s">
        <v>3</v>
      </c>
      <c r="C5576" s="1" t="str">
        <f>IFERROR(__xludf.DUMMYFUNCTION("GOOGLETRANSLATE(A5576,""en"",""pt-br"")"),"sóbrio")</f>
        <v>sóbrio</v>
      </c>
      <c r="D5576" s="1" t="str">
        <f>IFERROR(__xludf.DUMMYFUNCTION("GOOGLETRANSLATE(B5576,""en"",""pt-br"")"),"negativo")</f>
        <v>negativo</v>
      </c>
    </row>
    <row r="5577" ht="15.75" customHeight="1">
      <c r="A5577" s="2" t="s">
        <v>5574</v>
      </c>
      <c r="B5577" s="2" t="s">
        <v>3</v>
      </c>
      <c r="C5577" s="1" t="str">
        <f>IFERROR(__xludf.DUMMYFUNCTION("GOOGLETRANSLATE(A5577,""en"",""pt-br"")"),"moderando")</f>
        <v>moderando</v>
      </c>
      <c r="D5577" s="1" t="str">
        <f>IFERROR(__xludf.DUMMYFUNCTION("GOOGLETRANSLATE(B5577,""en"",""pt-br"")"),"negativo")</f>
        <v>negativo</v>
      </c>
    </row>
    <row r="5578" ht="15.75" customHeight="1">
      <c r="A5578" s="2" t="s">
        <v>5575</v>
      </c>
      <c r="B5578" s="2" t="s">
        <v>14</v>
      </c>
      <c r="C5578" s="1" t="str">
        <f>IFERROR(__xludf.DUMMYFUNCTION("GOOGLETRANSLATE(A5578,""en"",""pt-br"")"),"sociável")</f>
        <v>sociável</v>
      </c>
      <c r="D5578" s="1" t="str">
        <f>IFERROR(__xludf.DUMMYFUNCTION("GOOGLETRANSLATE(B5578,""en"",""pt-br"")"),"positivo")</f>
        <v>positivo</v>
      </c>
    </row>
    <row r="5579" ht="15.75" customHeight="1">
      <c r="A5579" s="2" t="s">
        <v>5576</v>
      </c>
      <c r="B5579" s="2" t="s">
        <v>14</v>
      </c>
      <c r="C5579" s="1" t="str">
        <f>IFERROR(__xludf.DUMMYFUNCTION("GOOGLETRANSLATE(A5579,""en"",""pt-br"")"),"suave")</f>
        <v>suave</v>
      </c>
      <c r="D5579" s="1" t="str">
        <f>IFERROR(__xludf.DUMMYFUNCTION("GOOGLETRANSLATE(B5579,""en"",""pt-br"")"),"positivo")</f>
        <v>positivo</v>
      </c>
    </row>
    <row r="5580" ht="15.75" customHeight="1">
      <c r="A5580" s="2" t="s">
        <v>5577</v>
      </c>
      <c r="B5580" s="2" t="s">
        <v>14</v>
      </c>
      <c r="C5580" s="1" t="str">
        <f>IFERROR(__xludf.DUMMYFUNCTION("GOOGLETRANSLATE(A5580,""en"",""pt-br"")"),"mais suave")</f>
        <v>mais suave</v>
      </c>
      <c r="D5580" s="1" t="str">
        <f>IFERROR(__xludf.DUMMYFUNCTION("GOOGLETRANSLATE(B5580,""en"",""pt-br"")"),"positivo")</f>
        <v>positivo</v>
      </c>
    </row>
    <row r="5581" ht="15.75" customHeight="1">
      <c r="A5581" s="2" t="s">
        <v>5578</v>
      </c>
      <c r="B5581" s="2" t="s">
        <v>14</v>
      </c>
      <c r="C5581" s="1" t="str">
        <f>IFERROR(__xludf.DUMMYFUNCTION("GOOGLETRANSLATE(A5581,""en"",""pt-br"")"),"consolo")</f>
        <v>consolo</v>
      </c>
      <c r="D5581" s="1" t="str">
        <f>IFERROR(__xludf.DUMMYFUNCTION("GOOGLETRANSLATE(B5581,""en"",""pt-br"")"),"positivo")</f>
        <v>positivo</v>
      </c>
    </row>
    <row r="5582" ht="15.75" customHeight="1">
      <c r="A5582" s="2" t="s">
        <v>5579</v>
      </c>
      <c r="B5582" s="2" t="s">
        <v>3</v>
      </c>
      <c r="C5582" s="1" t="str">
        <f>IFERROR(__xludf.DUMMYFUNCTION("GOOGLETRANSLATE(A5582,""en"",""pt-br"")"),"solene")</f>
        <v>solene</v>
      </c>
      <c r="D5582" s="1" t="str">
        <f>IFERROR(__xludf.DUMMYFUNCTION("GOOGLETRANSLATE(B5582,""en"",""pt-br"")"),"negativo")</f>
        <v>negativo</v>
      </c>
    </row>
    <row r="5583" ht="15.75" customHeight="1">
      <c r="A5583" s="2" t="s">
        <v>5580</v>
      </c>
      <c r="B5583" s="2" t="s">
        <v>14</v>
      </c>
      <c r="C5583" s="1" t="str">
        <f>IFERROR(__xludf.DUMMYFUNCTION("GOOGLETRANSLATE(A5583,""en"",""pt-br"")"),"solícito")</f>
        <v>solícito</v>
      </c>
      <c r="D5583" s="1" t="str">
        <f>IFERROR(__xludf.DUMMYFUNCTION("GOOGLETRANSLATE(B5583,""en"",""pt-br"")"),"positivo")</f>
        <v>positivo</v>
      </c>
    </row>
    <row r="5584" ht="15.75" customHeight="1">
      <c r="A5584" s="2" t="s">
        <v>5581</v>
      </c>
      <c r="B5584" s="2" t="s">
        <v>14</v>
      </c>
      <c r="C5584" s="1" t="str">
        <f>IFERROR(__xludf.DUMMYFUNCTION("GOOGLETRANSLATE(A5584,""en"",""pt-br"")"),"solicitamente")</f>
        <v>solicitamente</v>
      </c>
      <c r="D5584" s="1" t="str">
        <f>IFERROR(__xludf.DUMMYFUNCTION("GOOGLETRANSLATE(B5584,""en"",""pt-br"")"),"positivo")</f>
        <v>positivo</v>
      </c>
    </row>
    <row r="5585" ht="15.75" customHeight="1">
      <c r="A5585" s="2" t="s">
        <v>5582</v>
      </c>
      <c r="B5585" s="2" t="s">
        <v>3</v>
      </c>
      <c r="C5585" s="1" t="str">
        <f>IFERROR(__xludf.DUMMYFUNCTION("GOOGLETRANSLATE(A5585,""en"",""pt-br"")"),"solicitude")</f>
        <v>solicitude</v>
      </c>
      <c r="D5585" s="1" t="str">
        <f>IFERROR(__xludf.DUMMYFUNCTION("GOOGLETRANSLATE(B5585,""en"",""pt-br"")"),"negativo")</f>
        <v>negativo</v>
      </c>
    </row>
    <row r="5586" ht="15.75" customHeight="1">
      <c r="A5586" s="2" t="s">
        <v>5583</v>
      </c>
      <c r="B5586" s="2" t="s">
        <v>14</v>
      </c>
      <c r="C5586" s="1" t="str">
        <f>IFERROR(__xludf.DUMMYFUNCTION("GOOGLETRANSLATE(A5586,""en"",""pt-br"")"),"sólido")</f>
        <v>sólido</v>
      </c>
      <c r="D5586" s="1" t="str">
        <f>IFERROR(__xludf.DUMMYFUNCTION("GOOGLETRANSLATE(B5586,""en"",""pt-br"")"),"positivo")</f>
        <v>positivo</v>
      </c>
    </row>
    <row r="5587" ht="15.75" customHeight="1">
      <c r="A5587" s="2" t="s">
        <v>5584</v>
      </c>
      <c r="B5587" s="2" t="s">
        <v>14</v>
      </c>
      <c r="C5587" s="1" t="str">
        <f>IFERROR(__xludf.DUMMYFUNCTION("GOOGLETRANSLATE(A5587,""en"",""pt-br"")"),"solidariedade")</f>
        <v>solidariedade</v>
      </c>
      <c r="D5587" s="1" t="str">
        <f>IFERROR(__xludf.DUMMYFUNCTION("GOOGLETRANSLATE(B5587,""en"",""pt-br"")"),"positivo")</f>
        <v>positivo</v>
      </c>
    </row>
    <row r="5588" ht="15.75" customHeight="1">
      <c r="A5588" s="2" t="s">
        <v>5585</v>
      </c>
      <c r="B5588" s="2" t="s">
        <v>3</v>
      </c>
      <c r="C5588" s="1" t="str">
        <f>IFERROR(__xludf.DUMMYFUNCTION("GOOGLETRANSLATE(A5588,""en"",""pt-br"")"),"sombrio")</f>
        <v>sombrio</v>
      </c>
      <c r="D5588" s="1" t="str">
        <f>IFERROR(__xludf.DUMMYFUNCTION("GOOGLETRANSLATE(B5588,""en"",""pt-br"")"),"negativo")</f>
        <v>negativo</v>
      </c>
    </row>
    <row r="5589" ht="15.75" customHeight="1">
      <c r="A5589" s="2" t="s">
        <v>5586</v>
      </c>
      <c r="B5589" s="2" t="s">
        <v>14</v>
      </c>
      <c r="C5589" s="1" t="str">
        <f>IFERROR(__xludf.DUMMYFUNCTION("GOOGLETRANSLATE(A5589,""en"",""pt-br"")"),"acalmar")</f>
        <v>acalmar</v>
      </c>
      <c r="D5589" s="1" t="str">
        <f>IFERROR(__xludf.DUMMYFUNCTION("GOOGLETRANSLATE(B5589,""en"",""pt-br"")"),"positivo")</f>
        <v>positivo</v>
      </c>
    </row>
    <row r="5590" ht="15.75" customHeight="1">
      <c r="A5590" s="2" t="s">
        <v>5587</v>
      </c>
      <c r="B5590" s="2" t="s">
        <v>14</v>
      </c>
      <c r="C5590" s="1" t="str">
        <f>IFERROR(__xludf.DUMMYFUNCTION("GOOGLETRANSLATE(A5590,""en"",""pt-br"")"),"suavemente")</f>
        <v>suavemente</v>
      </c>
      <c r="D5590" s="1" t="str">
        <f>IFERROR(__xludf.DUMMYFUNCTION("GOOGLETRANSLATE(B5590,""en"",""pt-br"")"),"positivo")</f>
        <v>positivo</v>
      </c>
    </row>
    <row r="5591" ht="15.75" customHeight="1">
      <c r="A5591" s="2" t="s">
        <v>5588</v>
      </c>
      <c r="B5591" s="2" t="s">
        <v>14</v>
      </c>
      <c r="C5591" s="1" t="str">
        <f>IFERROR(__xludf.DUMMYFUNCTION("GOOGLETRANSLATE(A5591,""en"",""pt-br"")"),"sofisticado")</f>
        <v>sofisticado</v>
      </c>
      <c r="D5591" s="1" t="str">
        <f>IFERROR(__xludf.DUMMYFUNCTION("GOOGLETRANSLATE(B5591,""en"",""pt-br"")"),"positivo")</f>
        <v>positivo</v>
      </c>
    </row>
    <row r="5592" ht="15.75" customHeight="1">
      <c r="A5592" s="2" t="s">
        <v>5589</v>
      </c>
      <c r="B5592" s="2" t="s">
        <v>3</v>
      </c>
      <c r="C5592" s="1" t="str">
        <f>IFERROR(__xludf.DUMMYFUNCTION("GOOGLETRANSLATE(A5592,""en"",""pt-br"")"),"dolorido")</f>
        <v>dolorido</v>
      </c>
      <c r="D5592" s="1" t="str">
        <f>IFERROR(__xludf.DUMMYFUNCTION("GOOGLETRANSLATE(B5592,""en"",""pt-br"")"),"negativo")</f>
        <v>negativo</v>
      </c>
    </row>
    <row r="5593" ht="15.75" customHeight="1">
      <c r="A5593" s="2" t="s">
        <v>5590</v>
      </c>
      <c r="B5593" s="2" t="s">
        <v>3</v>
      </c>
      <c r="C5593" s="1" t="str">
        <f>IFERROR(__xludf.DUMMYFUNCTION("GOOGLETRANSLATE(A5593,""en"",""pt-br"")"),"extremamente")</f>
        <v>extremamente</v>
      </c>
      <c r="D5593" s="1" t="str">
        <f>IFERROR(__xludf.DUMMYFUNCTION("GOOGLETRANSLATE(B5593,""en"",""pt-br"")"),"negativo")</f>
        <v>negativo</v>
      </c>
    </row>
    <row r="5594" ht="15.75" customHeight="1">
      <c r="A5594" s="2" t="s">
        <v>5591</v>
      </c>
      <c r="B5594" s="2" t="s">
        <v>3</v>
      </c>
      <c r="C5594" s="1" t="str">
        <f>IFERROR(__xludf.DUMMYFUNCTION("GOOGLETRANSLATE(A5594,""en"",""pt-br"")"),"dor")</f>
        <v>dor</v>
      </c>
      <c r="D5594" s="1" t="str">
        <f>IFERROR(__xludf.DUMMYFUNCTION("GOOGLETRANSLATE(B5594,""en"",""pt-br"")"),"negativo")</f>
        <v>negativo</v>
      </c>
    </row>
    <row r="5595" ht="15.75" customHeight="1">
      <c r="A5595" s="2" t="s">
        <v>5592</v>
      </c>
      <c r="B5595" s="2" t="s">
        <v>3</v>
      </c>
      <c r="C5595" s="1" t="str">
        <f>IFERROR(__xludf.DUMMYFUNCTION("GOOGLETRANSLATE(A5595,""en"",""pt-br"")"),"tristeza")</f>
        <v>tristeza</v>
      </c>
      <c r="D5595" s="1" t="str">
        <f>IFERROR(__xludf.DUMMYFUNCTION("GOOGLETRANSLATE(B5595,""en"",""pt-br"")"),"negativo")</f>
        <v>negativo</v>
      </c>
    </row>
    <row r="5596" ht="15.75" customHeight="1">
      <c r="A5596" s="2" t="s">
        <v>5593</v>
      </c>
      <c r="B5596" s="2" t="s">
        <v>3</v>
      </c>
      <c r="C5596" s="1" t="str">
        <f>IFERROR(__xludf.DUMMYFUNCTION("GOOGLETRANSLATE(A5596,""en"",""pt-br"")"),"triste")</f>
        <v>triste</v>
      </c>
      <c r="D5596" s="1" t="str">
        <f>IFERROR(__xludf.DUMMYFUNCTION("GOOGLETRANSLATE(B5596,""en"",""pt-br"")"),"negativo")</f>
        <v>negativo</v>
      </c>
    </row>
    <row r="5597" ht="15.75" customHeight="1">
      <c r="A5597" s="2" t="s">
        <v>5594</v>
      </c>
      <c r="B5597" s="2" t="s">
        <v>3</v>
      </c>
      <c r="C5597" s="1" t="str">
        <f>IFERROR(__xludf.DUMMYFUNCTION("GOOGLETRANSLATE(A5597,""en"",""pt-br"")"),"tristemente")</f>
        <v>tristemente</v>
      </c>
      <c r="D5597" s="1" t="str">
        <f>IFERROR(__xludf.DUMMYFUNCTION("GOOGLETRANSLATE(B5597,""en"",""pt-br"")"),"negativo")</f>
        <v>negativo</v>
      </c>
    </row>
    <row r="5598" ht="15.75" customHeight="1">
      <c r="A5598" s="2" t="s">
        <v>5595</v>
      </c>
      <c r="B5598" s="2" t="s">
        <v>3</v>
      </c>
      <c r="C5598" s="1" t="str">
        <f>IFERROR(__xludf.DUMMYFUNCTION("GOOGLETRANSLATE(A5598,""en"",""pt-br"")"),"desculpa")</f>
        <v>desculpa</v>
      </c>
      <c r="D5598" s="1" t="str">
        <f>IFERROR(__xludf.DUMMYFUNCTION("GOOGLETRANSLATE(B5598,""en"",""pt-br"")"),"negativo")</f>
        <v>negativo</v>
      </c>
    </row>
    <row r="5599" ht="15.75" customHeight="1">
      <c r="A5599" s="2" t="s">
        <v>5596</v>
      </c>
      <c r="B5599" s="2" t="s">
        <v>14</v>
      </c>
      <c r="C5599" s="1" t="str">
        <f>IFERROR(__xludf.DUMMYFUNCTION("GOOGLETRANSLATE(A5599,""en"",""pt-br"")"),"emotivo")</f>
        <v>emotivo</v>
      </c>
      <c r="D5599" s="1" t="str">
        <f>IFERROR(__xludf.DUMMYFUNCTION("GOOGLETRANSLATE(B5599,""en"",""pt-br"")"),"positivo")</f>
        <v>positivo</v>
      </c>
    </row>
    <row r="5600" ht="15.75" customHeight="1">
      <c r="A5600" s="2" t="s">
        <v>5597</v>
      </c>
      <c r="B5600" s="2" t="s">
        <v>14</v>
      </c>
      <c r="C5600" s="1" t="str">
        <f>IFERROR(__xludf.DUMMYFUNCTION("GOOGLETRANSLATE(A5600,""en"",""pt-br"")"),"sadia")</f>
        <v>sadia</v>
      </c>
      <c r="D5600" s="1" t="str">
        <f>IFERROR(__xludf.DUMMYFUNCTION("GOOGLETRANSLATE(B5600,""en"",""pt-br"")"),"positivo")</f>
        <v>positivo</v>
      </c>
    </row>
    <row r="5601" ht="15.75" customHeight="1">
      <c r="A5601" s="2" t="s">
        <v>5598</v>
      </c>
      <c r="B5601" s="2" t="s">
        <v>14</v>
      </c>
      <c r="C5601" s="1" t="str">
        <f>IFERROR(__xludf.DUMMYFUNCTION("GOOGLETRANSLATE(A5601,""en"",""pt-br"")"),"solidez")</f>
        <v>solidez</v>
      </c>
      <c r="D5601" s="1" t="str">
        <f>IFERROR(__xludf.DUMMYFUNCTION("GOOGLETRANSLATE(B5601,""en"",""pt-br"")"),"positivo")</f>
        <v>positivo</v>
      </c>
    </row>
    <row r="5602" ht="15.75" customHeight="1">
      <c r="A5602" s="2" t="s">
        <v>5599</v>
      </c>
      <c r="B5602" s="2" t="s">
        <v>3</v>
      </c>
      <c r="C5602" s="1" t="str">
        <f>IFERROR(__xludf.DUMMYFUNCTION("GOOGLETRANSLATE(A5602,""en"",""pt-br"")"),"azedo")</f>
        <v>azedo</v>
      </c>
      <c r="D5602" s="1" t="str">
        <f>IFERROR(__xludf.DUMMYFUNCTION("GOOGLETRANSLATE(B5602,""en"",""pt-br"")"),"negativo")</f>
        <v>negativo</v>
      </c>
    </row>
    <row r="5603" ht="15.75" customHeight="1">
      <c r="A5603" s="2" t="s">
        <v>5600</v>
      </c>
      <c r="B5603" s="2" t="s">
        <v>3</v>
      </c>
      <c r="C5603" s="1" t="str">
        <f>IFERROR(__xludf.DUMMYFUNCTION("GOOGLETRANSLATE(A5603,""en"",""pt-br"")"),"sourly")</f>
        <v>sourly</v>
      </c>
      <c r="D5603" s="1" t="str">
        <f>IFERROR(__xludf.DUMMYFUNCTION("GOOGLETRANSLATE(B5603,""en"",""pt-br"")"),"negativo")</f>
        <v>negativo</v>
      </c>
    </row>
    <row r="5604" ht="15.75" customHeight="1">
      <c r="A5604" s="2" t="s">
        <v>5601</v>
      </c>
      <c r="B5604" s="2" t="s">
        <v>14</v>
      </c>
      <c r="C5604" s="1" t="str">
        <f>IFERROR(__xludf.DUMMYFUNCTION("GOOGLETRANSLATE(A5604,""en"",""pt-br"")"),"espaçoso")</f>
        <v>espaçoso</v>
      </c>
      <c r="D5604" s="1" t="str">
        <f>IFERROR(__xludf.DUMMYFUNCTION("GOOGLETRANSLATE(B5604,""en"",""pt-br"")"),"positivo")</f>
        <v>positivo</v>
      </c>
    </row>
    <row r="5605" ht="15.75" customHeight="1">
      <c r="A5605" s="2" t="s">
        <v>5602</v>
      </c>
      <c r="B5605" s="2" t="s">
        <v>3</v>
      </c>
      <c r="C5605" s="1" t="str">
        <f>IFERROR(__xludf.DUMMYFUNCTION("GOOGLETRANSLATE(A5605,""en"",""pt-br"")"),"pá")</f>
        <v>pá</v>
      </c>
      <c r="D5605" s="1" t="str">
        <f>IFERROR(__xludf.DUMMYFUNCTION("GOOGLETRANSLATE(B5605,""en"",""pt-br"")"),"negativo")</f>
        <v>negativo</v>
      </c>
    </row>
    <row r="5606" ht="15.75" customHeight="1">
      <c r="A5606" s="2" t="s">
        <v>5603</v>
      </c>
      <c r="B5606" s="2" t="s">
        <v>3</v>
      </c>
      <c r="C5606" s="1" t="str">
        <f>IFERROR(__xludf.DUMMYFUNCTION("GOOGLETRANSLATE(A5606,""en"",""pt-br"")"),"palmada")</f>
        <v>palmada</v>
      </c>
      <c r="D5606" s="1" t="str">
        <f>IFERROR(__xludf.DUMMYFUNCTION("GOOGLETRANSLATE(B5606,""en"",""pt-br"")"),"negativo")</f>
        <v>negativo</v>
      </c>
    </row>
    <row r="5607" ht="15.75" customHeight="1">
      <c r="A5607" s="2" t="s">
        <v>5604</v>
      </c>
      <c r="B5607" s="2" t="s">
        <v>14</v>
      </c>
      <c r="C5607" s="1" t="str">
        <f>IFERROR(__xludf.DUMMYFUNCTION("GOOGLETRANSLATE(A5607,""en"",""pt-br"")"),"brilhar")</f>
        <v>brilhar</v>
      </c>
      <c r="D5607" s="1" t="str">
        <f>IFERROR(__xludf.DUMMYFUNCTION("GOOGLETRANSLATE(B5607,""en"",""pt-br"")"),"positivo")</f>
        <v>positivo</v>
      </c>
    </row>
    <row r="5608" ht="15.75" customHeight="1">
      <c r="A5608" s="2" t="s">
        <v>5605</v>
      </c>
      <c r="B5608" s="2" t="s">
        <v>14</v>
      </c>
      <c r="C5608" s="1" t="str">
        <f>IFERROR(__xludf.DUMMYFUNCTION("GOOGLETRANSLATE(A5608,""en"",""pt-br"")"),"espumante")</f>
        <v>espumante</v>
      </c>
      <c r="D5608" s="1" t="str">
        <f>IFERROR(__xludf.DUMMYFUNCTION("GOOGLETRANSLATE(B5608,""en"",""pt-br"")"),"positivo")</f>
        <v>positivo</v>
      </c>
    </row>
    <row r="5609" ht="15.75" customHeight="1">
      <c r="A5609" s="2" t="s">
        <v>5606</v>
      </c>
      <c r="B5609" s="2" t="s">
        <v>14</v>
      </c>
      <c r="C5609" s="1" t="str">
        <f>IFERROR(__xludf.DUMMYFUNCTION("GOOGLETRANSLATE(A5609,""en"",""pt-br"")"),"espetacular")</f>
        <v>espetacular</v>
      </c>
      <c r="D5609" s="1" t="str">
        <f>IFERROR(__xludf.DUMMYFUNCTION("GOOGLETRANSLATE(B5609,""en"",""pt-br"")"),"positivo")</f>
        <v>positivo</v>
      </c>
    </row>
    <row r="5610" ht="15.75" customHeight="1">
      <c r="A5610" s="2" t="s">
        <v>5607</v>
      </c>
      <c r="B5610" s="2" t="s">
        <v>14</v>
      </c>
      <c r="C5610" s="1" t="str">
        <f>IFERROR(__xludf.DUMMYFUNCTION("GOOGLETRANSLATE(A5610,""en"",""pt-br"")"),"espetacularmente")</f>
        <v>espetacularmente</v>
      </c>
      <c r="D5610" s="1" t="str">
        <f>IFERROR(__xludf.DUMMYFUNCTION("GOOGLETRANSLATE(B5610,""en"",""pt-br"")"),"positivo")</f>
        <v>positivo</v>
      </c>
    </row>
    <row r="5611" ht="15.75" customHeight="1">
      <c r="A5611" s="2" t="s">
        <v>5608</v>
      </c>
      <c r="B5611" s="2" t="s">
        <v>14</v>
      </c>
      <c r="C5611" s="1" t="str">
        <f>IFERROR(__xludf.DUMMYFUNCTION("GOOGLETRANSLATE(A5611,""en"",""pt-br"")"),"rapidamente")</f>
        <v>rapidamente</v>
      </c>
      <c r="D5611" s="1" t="str">
        <f>IFERROR(__xludf.DUMMYFUNCTION("GOOGLETRANSLATE(B5611,""en"",""pt-br"")"),"positivo")</f>
        <v>positivo</v>
      </c>
    </row>
    <row r="5612" ht="15.75" customHeight="1">
      <c r="A5612" s="2" t="s">
        <v>5609</v>
      </c>
      <c r="B5612" s="2" t="s">
        <v>14</v>
      </c>
      <c r="C5612" s="1" t="str">
        <f>IFERROR(__xludf.DUMMYFUNCTION("GOOGLETRANSLATE(A5612,""en"",""pt-br"")"),"veloz")</f>
        <v>veloz</v>
      </c>
      <c r="D5612" s="1" t="str">
        <f>IFERROR(__xludf.DUMMYFUNCTION("GOOGLETRANSLATE(B5612,""en"",""pt-br"")"),"positivo")</f>
        <v>positivo</v>
      </c>
    </row>
    <row r="5613" ht="15.75" customHeight="1">
      <c r="A5613" s="2" t="s">
        <v>5610</v>
      </c>
      <c r="B5613" s="2" t="s">
        <v>14</v>
      </c>
      <c r="C5613" s="1" t="str">
        <f>IFERROR(__xludf.DUMMYFUNCTION("GOOGLETRANSLATE(A5613,""en"",""pt-br"")"),"Spellbind")</f>
        <v>Spellbind</v>
      </c>
      <c r="D5613" s="1" t="str">
        <f>IFERROR(__xludf.DUMMYFUNCTION("GOOGLETRANSLATE(B5613,""en"",""pt-br"")"),"positivo")</f>
        <v>positivo</v>
      </c>
    </row>
    <row r="5614" ht="15.75" customHeight="1">
      <c r="A5614" s="2" t="s">
        <v>5611</v>
      </c>
      <c r="B5614" s="2" t="s">
        <v>14</v>
      </c>
      <c r="C5614" s="1" t="str">
        <f>IFERROR(__xludf.DUMMYFUNCTION("GOOGLETRANSLATE(A5614,""en"",""pt-br"")"),"fascinante")</f>
        <v>fascinante</v>
      </c>
      <c r="D5614" s="1" t="str">
        <f>IFERROR(__xludf.DUMMYFUNCTION("GOOGLETRANSLATE(B5614,""en"",""pt-br"")"),"positivo")</f>
        <v>positivo</v>
      </c>
    </row>
    <row r="5615" ht="15.75" customHeight="1">
      <c r="A5615" s="2" t="s">
        <v>5612</v>
      </c>
      <c r="B5615" s="2" t="s">
        <v>14</v>
      </c>
      <c r="C5615" s="1" t="str">
        <f>IFERROR(__xludf.DUMMYFUNCTION("GOOGLETRANSLATE(A5615,""en"",""pt-br"")"),"spellbindingly")</f>
        <v>spellbindingly</v>
      </c>
      <c r="D5615" s="1" t="str">
        <f>IFERROR(__xludf.DUMMYFUNCTION("GOOGLETRANSLATE(B5615,""en"",""pt-br"")"),"positivo")</f>
        <v>positivo</v>
      </c>
    </row>
    <row r="5616" ht="15.75" customHeight="1">
      <c r="A5616" s="2" t="s">
        <v>5613</v>
      </c>
      <c r="B5616" s="2" t="s">
        <v>14</v>
      </c>
      <c r="C5616" s="1" t="str">
        <f>IFERROR(__xludf.DUMMYFUNCTION("GOOGLETRANSLATE(A5616,""en"",""pt-br"")"),"tonto")</f>
        <v>tonto</v>
      </c>
      <c r="D5616" s="1" t="str">
        <f>IFERROR(__xludf.DUMMYFUNCTION("GOOGLETRANSLATE(B5616,""en"",""pt-br"")"),"positivo")</f>
        <v>positivo</v>
      </c>
    </row>
    <row r="5617" ht="15.75" customHeight="1">
      <c r="A5617" s="2" t="s">
        <v>5614</v>
      </c>
      <c r="B5617" s="2" t="s">
        <v>3</v>
      </c>
      <c r="C5617" s="1" t="str">
        <f>IFERROR(__xludf.DUMMYFUNCTION("GOOGLETRANSLATE(A5617,""en"",""pt-br"")"),"custoso")</f>
        <v>custoso</v>
      </c>
      <c r="D5617" s="1" t="str">
        <f>IFERROR(__xludf.DUMMYFUNCTION("GOOGLETRANSLATE(B5617,""en"",""pt-br"")"),"negativo")</f>
        <v>negativo</v>
      </c>
    </row>
    <row r="5618" ht="15.75" customHeight="1">
      <c r="A5618" s="2" t="s">
        <v>5615</v>
      </c>
      <c r="B5618" s="2" t="s">
        <v>3</v>
      </c>
      <c r="C5618" s="1" t="str">
        <f>IFERROR(__xludf.DUMMYFUNCTION("GOOGLETRANSLATE(A5618,""en"",""pt-br"")"),"vomitar")</f>
        <v>vomitar</v>
      </c>
      <c r="D5618" s="1" t="str">
        <f>IFERROR(__xludf.DUMMYFUNCTION("GOOGLETRANSLATE(B5618,""en"",""pt-br"")"),"negativo")</f>
        <v>negativo</v>
      </c>
    </row>
    <row r="5619" ht="15.75" customHeight="1">
      <c r="A5619" s="2" t="s">
        <v>5616</v>
      </c>
      <c r="B5619" s="2" t="s">
        <v>3</v>
      </c>
      <c r="C5619" s="1" t="str">
        <f>IFERROR(__xludf.DUMMYFUNCTION("GOOGLETRANSLATE(A5619,""en"",""pt-br"")"),"vomitou")</f>
        <v>vomitou</v>
      </c>
      <c r="D5619" s="1" t="str">
        <f>IFERROR(__xludf.DUMMYFUNCTION("GOOGLETRANSLATE(B5619,""en"",""pt-br"")"),"negativo")</f>
        <v>negativo</v>
      </c>
    </row>
    <row r="5620" ht="15.75" customHeight="1">
      <c r="A5620" s="2" t="s">
        <v>5617</v>
      </c>
      <c r="B5620" s="2" t="s">
        <v>3</v>
      </c>
      <c r="C5620" s="1" t="str">
        <f>IFERROR(__xludf.DUMMYFUNCTION("GOOGLETRANSLATE(A5620,""en"",""pt-br"")"),"vomitando")</f>
        <v>vomitando</v>
      </c>
      <c r="D5620" s="1" t="str">
        <f>IFERROR(__xludf.DUMMYFUNCTION("GOOGLETRANSLATE(B5620,""en"",""pt-br"")"),"negativo")</f>
        <v>negativo</v>
      </c>
    </row>
    <row r="5621" ht="15.75" customHeight="1">
      <c r="A5621" s="2" t="s">
        <v>5618</v>
      </c>
      <c r="B5621" s="2" t="s">
        <v>3</v>
      </c>
      <c r="C5621" s="1" t="str">
        <f>IFERROR(__xludf.DUMMYFUNCTION("GOOGLETRANSLATE(A5621,""en"",""pt-br"")"),"vomita")</f>
        <v>vomita</v>
      </c>
      <c r="D5621" s="1" t="str">
        <f>IFERROR(__xludf.DUMMYFUNCTION("GOOGLETRANSLATE(B5621,""en"",""pt-br"")"),"negativo")</f>
        <v>negativo</v>
      </c>
    </row>
    <row r="5622" ht="15.75" customHeight="1">
      <c r="A5622" s="2" t="s">
        <v>5619</v>
      </c>
      <c r="B5622" s="2" t="s">
        <v>3</v>
      </c>
      <c r="C5622" s="1" t="str">
        <f>IFERROR(__xludf.DUMMYFUNCTION("GOOGLETRANSLATE(A5622,""en"",""pt-br"")"),"derramamento")</f>
        <v>derramamento</v>
      </c>
      <c r="D5622" s="1" t="str">
        <f>IFERROR(__xludf.DUMMYFUNCTION("GOOGLETRANSLATE(B5622,""en"",""pt-br"")"),"negativo")</f>
        <v>negativo</v>
      </c>
    </row>
    <row r="5623" ht="15.75" customHeight="1">
      <c r="A5623" s="2" t="s">
        <v>5620</v>
      </c>
      <c r="B5623" s="2" t="s">
        <v>3</v>
      </c>
      <c r="C5623" s="1" t="str">
        <f>IFERROR(__xludf.DUMMYFUNCTION("GOOGLETRANSLATE(A5623,""en"",""pt-br"")"),"solteirona")</f>
        <v>solteirona</v>
      </c>
      <c r="D5623" s="1" t="str">
        <f>IFERROR(__xludf.DUMMYFUNCTION("GOOGLETRANSLATE(B5623,""en"",""pt-br"")"),"negativo")</f>
        <v>negativo</v>
      </c>
    </row>
    <row r="5624" ht="15.75" customHeight="1">
      <c r="A5624" s="2" t="s">
        <v>5621</v>
      </c>
      <c r="B5624" s="2" t="s">
        <v>14</v>
      </c>
      <c r="C5624" s="1" t="str">
        <f>IFERROR(__xludf.DUMMYFUNCTION("GOOGLETRANSLATE(A5624,""en"",""pt-br"")"),"animado")</f>
        <v>animado</v>
      </c>
      <c r="D5624" s="1" t="str">
        <f>IFERROR(__xludf.DUMMYFUNCTION("GOOGLETRANSLATE(B5624,""en"",""pt-br"")"),"positivo")</f>
        <v>positivo</v>
      </c>
    </row>
    <row r="5625" ht="15.75" customHeight="1">
      <c r="A5625" s="2" t="s">
        <v>5622</v>
      </c>
      <c r="B5625" s="2" t="s">
        <v>3</v>
      </c>
      <c r="C5625" s="1" t="str">
        <f>IFERROR(__xludf.DUMMYFUNCTION("GOOGLETRANSLATE(A5625,""en"",""pt-br"")"),"sem vida")</f>
        <v>sem vida</v>
      </c>
      <c r="D5625" s="1" t="str">
        <f>IFERROR(__xludf.DUMMYFUNCTION("GOOGLETRANSLATE(B5625,""en"",""pt-br"")"),"negativo")</f>
        <v>negativo</v>
      </c>
    </row>
    <row r="5626" ht="15.75" customHeight="1">
      <c r="A5626" s="2" t="s">
        <v>5623</v>
      </c>
      <c r="B5626" s="2" t="s">
        <v>14</v>
      </c>
      <c r="C5626" s="1" t="str">
        <f>IFERROR(__xludf.DUMMYFUNCTION("GOOGLETRANSLATE(A5626,""en"",""pt-br"")"),"espiritual")</f>
        <v>espiritual</v>
      </c>
      <c r="D5626" s="1" t="str">
        <f>IFERROR(__xludf.DUMMYFUNCTION("GOOGLETRANSLATE(B5626,""en"",""pt-br"")"),"positivo")</f>
        <v>positivo</v>
      </c>
    </row>
    <row r="5627" ht="15.75" customHeight="1">
      <c r="A5627" s="2" t="s">
        <v>5624</v>
      </c>
      <c r="B5627" s="2" t="s">
        <v>3</v>
      </c>
      <c r="C5627" s="1" t="str">
        <f>IFERROR(__xludf.DUMMYFUNCTION("GOOGLETRANSLATE(A5627,""en"",""pt-br"")"),"Despeito")</f>
        <v>Despeito</v>
      </c>
      <c r="D5627" s="1" t="str">
        <f>IFERROR(__xludf.DUMMYFUNCTION("GOOGLETRANSLATE(B5627,""en"",""pt-br"")"),"negativo")</f>
        <v>negativo</v>
      </c>
    </row>
    <row r="5628" ht="15.75" customHeight="1">
      <c r="A5628" s="2" t="s">
        <v>5625</v>
      </c>
      <c r="B5628" s="2" t="s">
        <v>3</v>
      </c>
      <c r="C5628" s="1" t="str">
        <f>IFERROR(__xludf.DUMMYFUNCTION("GOOGLETRANSLATE(A5628,""en"",""pt-br"")"),"rancoroso")</f>
        <v>rancoroso</v>
      </c>
      <c r="D5628" s="1" t="str">
        <f>IFERROR(__xludf.DUMMYFUNCTION("GOOGLETRANSLATE(B5628,""en"",""pt-br"")"),"negativo")</f>
        <v>negativo</v>
      </c>
    </row>
    <row r="5629" ht="15.75" customHeight="1">
      <c r="A5629" s="2" t="s">
        <v>5626</v>
      </c>
      <c r="B5629" s="2" t="s">
        <v>3</v>
      </c>
      <c r="C5629" s="1" t="str">
        <f>IFERROR(__xludf.DUMMYFUNCTION("GOOGLETRANSLATE(A5629,""en"",""pt-br"")"),"spitefully")</f>
        <v>spitefully</v>
      </c>
      <c r="D5629" s="1" t="str">
        <f>IFERROR(__xludf.DUMMYFUNCTION("GOOGLETRANSLATE(B5629,""en"",""pt-br"")"),"negativo")</f>
        <v>negativo</v>
      </c>
    </row>
    <row r="5630" ht="15.75" customHeight="1">
      <c r="A5630" s="2" t="s">
        <v>5627</v>
      </c>
      <c r="B5630" s="2" t="s">
        <v>3</v>
      </c>
      <c r="C5630" s="1" t="str">
        <f>IFERROR(__xludf.DUMMYFUNCTION("GOOGLETRANSLATE(A5630,""en"",""pt-br"")"),"spitefulness")</f>
        <v>spitefulness</v>
      </c>
      <c r="D5630" s="1" t="str">
        <f>IFERROR(__xludf.DUMMYFUNCTION("GOOGLETRANSLATE(B5630,""en"",""pt-br"")"),"negativo")</f>
        <v>negativo</v>
      </c>
    </row>
    <row r="5631" ht="15.75" customHeight="1">
      <c r="A5631" s="2" t="s">
        <v>5628</v>
      </c>
      <c r="B5631" s="2" t="s">
        <v>3</v>
      </c>
      <c r="C5631" s="1" t="str">
        <f>IFERROR(__xludf.DUMMYFUNCTION("GOOGLETRANSLATE(A5631,""en"",""pt-br"")"),"Espirrar")</f>
        <v>Espirrar</v>
      </c>
      <c r="D5631" s="1" t="str">
        <f>IFERROR(__xludf.DUMMYFUNCTION("GOOGLETRANSLATE(B5631,""en"",""pt-br"")"),"negativo")</f>
        <v>negativo</v>
      </c>
    </row>
    <row r="5632" ht="15.75" customHeight="1">
      <c r="A5632" s="2" t="s">
        <v>5629</v>
      </c>
      <c r="B5632" s="2" t="s">
        <v>14</v>
      </c>
      <c r="C5632" s="1" t="str">
        <f>IFERROR(__xludf.DUMMYFUNCTION("GOOGLETRANSLATE(A5632,""en"",""pt-br"")"),"esplêndido")</f>
        <v>esplêndido</v>
      </c>
      <c r="D5632" s="1" t="str">
        <f>IFERROR(__xludf.DUMMYFUNCTION("GOOGLETRANSLATE(B5632,""en"",""pt-br"")"),"positivo")</f>
        <v>positivo</v>
      </c>
    </row>
    <row r="5633" ht="15.75" customHeight="1">
      <c r="A5633" s="2" t="s">
        <v>5630</v>
      </c>
      <c r="B5633" s="2" t="s">
        <v>14</v>
      </c>
      <c r="C5633" s="1" t="str">
        <f>IFERROR(__xludf.DUMMYFUNCTION("GOOGLETRANSLATE(A5633,""en"",""pt-br"")"),"esplendidamente")</f>
        <v>esplendidamente</v>
      </c>
      <c r="D5633" s="1" t="str">
        <f>IFERROR(__xludf.DUMMYFUNCTION("GOOGLETRANSLATE(B5633,""en"",""pt-br"")"),"positivo")</f>
        <v>positivo</v>
      </c>
    </row>
    <row r="5634" ht="15.75" customHeight="1">
      <c r="A5634" s="2" t="s">
        <v>5631</v>
      </c>
      <c r="B5634" s="2" t="s">
        <v>14</v>
      </c>
      <c r="C5634" s="1" t="str">
        <f>IFERROR(__xludf.DUMMYFUNCTION("GOOGLETRANSLATE(A5634,""en"",""pt-br"")"),"esplendor")</f>
        <v>esplendor</v>
      </c>
      <c r="D5634" s="1" t="str">
        <f>IFERROR(__xludf.DUMMYFUNCTION("GOOGLETRANSLATE(B5634,""en"",""pt-br"")"),"positivo")</f>
        <v>positivo</v>
      </c>
    </row>
    <row r="5635" ht="15.75" customHeight="1">
      <c r="A5635" s="2" t="s">
        <v>5632</v>
      </c>
      <c r="B5635" s="2" t="s">
        <v>3</v>
      </c>
      <c r="C5635" s="1" t="str">
        <f>IFERROR(__xludf.DUMMYFUNCTION("GOOGLETRANSLATE(A5635,""en"",""pt-br"")"),"Dividido")</f>
        <v>Dividido</v>
      </c>
      <c r="D5635" s="1" t="str">
        <f>IFERROR(__xludf.DUMMYFUNCTION("GOOGLETRANSLATE(B5635,""en"",""pt-br"")"),"negativo")</f>
        <v>negativo</v>
      </c>
    </row>
    <row r="5636" ht="15.75" customHeight="1">
      <c r="A5636" s="2" t="s">
        <v>5633</v>
      </c>
      <c r="B5636" s="2" t="s">
        <v>3</v>
      </c>
      <c r="C5636" s="1" t="str">
        <f>IFERROR(__xludf.DUMMYFUNCTION("GOOGLETRANSLATE(A5636,""en"",""pt-br"")"),"divisão")</f>
        <v>divisão</v>
      </c>
      <c r="D5636" s="1" t="str">
        <f>IFERROR(__xludf.DUMMYFUNCTION("GOOGLETRANSLATE(B5636,""en"",""pt-br"")"),"negativo")</f>
        <v>negativo</v>
      </c>
    </row>
    <row r="5637" ht="15.75" customHeight="1">
      <c r="A5637" s="2" t="s">
        <v>5634</v>
      </c>
      <c r="B5637" s="2" t="s">
        <v>3</v>
      </c>
      <c r="C5637" s="1" t="str">
        <f>IFERROR(__xludf.DUMMYFUNCTION("GOOGLETRANSLATE(A5637,""en"",""pt-br"")"),"estragar")</f>
        <v>estragar</v>
      </c>
      <c r="D5637" s="1" t="str">
        <f>IFERROR(__xludf.DUMMYFUNCTION("GOOGLETRANSLATE(B5637,""en"",""pt-br"")"),"negativo")</f>
        <v>negativo</v>
      </c>
    </row>
    <row r="5638" ht="15.75" customHeight="1">
      <c r="A5638" s="2" t="s">
        <v>5635</v>
      </c>
      <c r="B5638" s="2" t="s">
        <v>3</v>
      </c>
      <c r="C5638" s="1" t="str">
        <f>IFERROR(__xludf.DUMMYFUNCTION("GOOGLETRANSLATE(A5638,""en"",""pt-br"")"),"refugo")</f>
        <v>refugo</v>
      </c>
      <c r="D5638" s="1" t="str">
        <f>IFERROR(__xludf.DUMMYFUNCTION("GOOGLETRANSLATE(B5638,""en"",""pt-br"")"),"negativo")</f>
        <v>negativo</v>
      </c>
    </row>
    <row r="5639" ht="15.75" customHeight="1">
      <c r="A5639" s="2" t="s">
        <v>5636</v>
      </c>
      <c r="B5639" s="2" t="s">
        <v>3</v>
      </c>
      <c r="C5639" s="1" t="str">
        <f>IFERROR(__xludf.DUMMYFUNCTION("GOOGLETRANSLATE(A5639,""en"",""pt-br"")"),"spoilages")</f>
        <v>spoilages</v>
      </c>
      <c r="D5639" s="1" t="str">
        <f>IFERROR(__xludf.DUMMYFUNCTION("GOOGLETRANSLATE(B5639,""en"",""pt-br"")"),"negativo")</f>
        <v>negativo</v>
      </c>
    </row>
    <row r="5640" ht="15.75" customHeight="1">
      <c r="A5640" s="2" t="s">
        <v>5637</v>
      </c>
      <c r="B5640" s="2" t="s">
        <v>3</v>
      </c>
      <c r="C5640" s="1" t="str">
        <f>IFERROR(__xludf.DUMMYFUNCTION("GOOGLETRANSLATE(A5640,""en"",""pt-br"")"),"mimado")</f>
        <v>mimado</v>
      </c>
      <c r="D5640" s="1" t="str">
        <f>IFERROR(__xludf.DUMMYFUNCTION("GOOGLETRANSLATE(B5640,""en"",""pt-br"")"),"negativo")</f>
        <v>negativo</v>
      </c>
    </row>
    <row r="5641" ht="15.75" customHeight="1">
      <c r="A5641" s="2" t="s">
        <v>5638</v>
      </c>
      <c r="B5641" s="2" t="s">
        <v>3</v>
      </c>
      <c r="C5641" s="1" t="str">
        <f>IFERROR(__xludf.DUMMYFUNCTION("GOOGLETRANSLATE(A5641,""en"",""pt-br"")"),"spoilled")</f>
        <v>spoilled</v>
      </c>
      <c r="D5641" s="1" t="str">
        <f>IFERROR(__xludf.DUMMYFUNCTION("GOOGLETRANSLATE(B5641,""en"",""pt-br"")"),"negativo")</f>
        <v>negativo</v>
      </c>
    </row>
    <row r="5642" ht="15.75" customHeight="1">
      <c r="A5642" s="2" t="s">
        <v>5639</v>
      </c>
      <c r="B5642" s="2" t="s">
        <v>3</v>
      </c>
      <c r="C5642" s="1" t="str">
        <f>IFERROR(__xludf.DUMMYFUNCTION("GOOGLETRANSLATE(A5642,""en"",""pt-br"")"),"despojos")</f>
        <v>despojos</v>
      </c>
      <c r="D5642" s="1" t="str">
        <f>IFERROR(__xludf.DUMMYFUNCTION("GOOGLETRANSLATE(B5642,""en"",""pt-br"")"),"negativo")</f>
        <v>negativo</v>
      </c>
    </row>
    <row r="5643" ht="15.75" customHeight="1">
      <c r="A5643" s="2" t="s">
        <v>5640</v>
      </c>
      <c r="B5643" s="2" t="s">
        <v>14</v>
      </c>
      <c r="C5643" s="1" t="str">
        <f>IFERROR(__xludf.DUMMYFUNCTION("GOOGLETRANSLATE(A5643,""en"",""pt-br"")"),"espontâneo")</f>
        <v>espontâneo</v>
      </c>
      <c r="D5643" s="1" t="str">
        <f>IFERROR(__xludf.DUMMYFUNCTION("GOOGLETRANSLATE(B5643,""en"",""pt-br"")"),"positivo")</f>
        <v>positivo</v>
      </c>
    </row>
    <row r="5644" ht="15.75" customHeight="1">
      <c r="A5644" s="2" t="s">
        <v>5641</v>
      </c>
      <c r="B5644" s="2" t="s">
        <v>3</v>
      </c>
      <c r="C5644" s="1" t="str">
        <f>IFERROR(__xludf.DUMMYFUNCTION("GOOGLETRANSLATE(A5644,""en"",""pt-br"")"),"fantasma")</f>
        <v>fantasma</v>
      </c>
      <c r="D5644" s="1" t="str">
        <f>IFERROR(__xludf.DUMMYFUNCTION("GOOGLETRANSLATE(B5644,""en"",""pt-br"")"),"negativo")</f>
        <v>negativo</v>
      </c>
    </row>
    <row r="5645" ht="15.75" customHeight="1">
      <c r="A5645" s="2" t="s">
        <v>5642</v>
      </c>
      <c r="B5645" s="2" t="s">
        <v>3</v>
      </c>
      <c r="C5645" s="1" t="str">
        <f>IFERROR(__xludf.DUMMYFUNCTION("GOOGLETRANSLATE(A5645,""en"",""pt-br"")"),"spookier")</f>
        <v>spookier</v>
      </c>
      <c r="D5645" s="1" t="str">
        <f>IFERROR(__xludf.DUMMYFUNCTION("GOOGLETRANSLATE(B5645,""en"",""pt-br"")"),"negativo")</f>
        <v>negativo</v>
      </c>
    </row>
    <row r="5646" ht="15.75" customHeight="1">
      <c r="A5646" s="2" t="s">
        <v>5643</v>
      </c>
      <c r="B5646" s="2" t="s">
        <v>3</v>
      </c>
      <c r="C5646" s="1" t="str">
        <f>IFERROR(__xludf.DUMMYFUNCTION("GOOGLETRANSLATE(A5646,""en"",""pt-br"")"),"spookiest")</f>
        <v>spookiest</v>
      </c>
      <c r="D5646" s="1" t="str">
        <f>IFERROR(__xludf.DUMMYFUNCTION("GOOGLETRANSLATE(B5646,""en"",""pt-br"")"),"negativo")</f>
        <v>negativo</v>
      </c>
    </row>
    <row r="5647" ht="15.75" customHeight="1">
      <c r="A5647" s="2" t="s">
        <v>5644</v>
      </c>
      <c r="B5647" s="2" t="s">
        <v>3</v>
      </c>
      <c r="C5647" s="1" t="str">
        <f>IFERROR(__xludf.DUMMYFUNCTION("GOOGLETRANSLATE(A5647,""en"",""pt-br"")"),"spookily")</f>
        <v>spookily</v>
      </c>
      <c r="D5647" s="1" t="str">
        <f>IFERROR(__xludf.DUMMYFUNCTION("GOOGLETRANSLATE(B5647,""en"",""pt-br"")"),"negativo")</f>
        <v>negativo</v>
      </c>
    </row>
    <row r="5648" ht="15.75" customHeight="1">
      <c r="A5648" s="2" t="s">
        <v>5645</v>
      </c>
      <c r="B5648" s="2" t="s">
        <v>3</v>
      </c>
      <c r="C5648" s="1" t="str">
        <f>IFERROR(__xludf.DUMMYFUNCTION("GOOGLETRANSLATE(A5648,""en"",""pt-br"")"),"assustador")</f>
        <v>assustador</v>
      </c>
      <c r="D5648" s="1" t="str">
        <f>IFERROR(__xludf.DUMMYFUNCTION("GOOGLETRANSLATE(B5648,""en"",""pt-br"")"),"negativo")</f>
        <v>negativo</v>
      </c>
    </row>
    <row r="5649" ht="15.75" customHeight="1">
      <c r="A5649" s="2" t="s">
        <v>5646</v>
      </c>
      <c r="B5649" s="2" t="s">
        <v>3</v>
      </c>
      <c r="C5649" s="1" t="str">
        <f>IFERROR(__xludf.DUMMYFUNCTION("GOOGLETRANSLATE(A5649,""en"",""pt-br"")"),"alimentados-colher")</f>
        <v>alimentados-colher</v>
      </c>
      <c r="D5649" s="1" t="str">
        <f>IFERROR(__xludf.DUMMYFUNCTION("GOOGLETRANSLATE(B5649,""en"",""pt-br"")"),"negativo")</f>
        <v>negativo</v>
      </c>
    </row>
    <row r="5650" ht="15.75" customHeight="1">
      <c r="A5650" s="2" t="s">
        <v>5647</v>
      </c>
      <c r="B5650" s="2" t="s">
        <v>3</v>
      </c>
      <c r="C5650" s="1" t="str">
        <f>IFERROR(__xludf.DUMMYFUNCTION("GOOGLETRANSLATE(A5650,""en"",""pt-br"")"),"dar de comer com colher")</f>
        <v>dar de comer com colher</v>
      </c>
      <c r="D5650" s="1" t="str">
        <f>IFERROR(__xludf.DUMMYFUNCTION("GOOGLETRANSLATE(B5650,""en"",""pt-br"")"),"negativo")</f>
        <v>negativo</v>
      </c>
    </row>
    <row r="5651" ht="15.75" customHeight="1">
      <c r="A5651" s="2" t="s">
        <v>5648</v>
      </c>
      <c r="B5651" s="2" t="s">
        <v>3</v>
      </c>
      <c r="C5651" s="1" t="str">
        <f>IFERROR(__xludf.DUMMYFUNCTION("GOOGLETRANSLATE(A5651,""en"",""pt-br"")"),"Spoonfed")</f>
        <v>Spoonfed</v>
      </c>
      <c r="D5651" s="1" t="str">
        <f>IFERROR(__xludf.DUMMYFUNCTION("GOOGLETRANSLATE(B5651,""en"",""pt-br"")"),"negativo")</f>
        <v>negativo</v>
      </c>
    </row>
    <row r="5652" ht="15.75" customHeight="1">
      <c r="A5652" s="2" t="s">
        <v>5649</v>
      </c>
      <c r="B5652" s="2" t="s">
        <v>3</v>
      </c>
      <c r="C5652" s="1" t="str">
        <f>IFERROR(__xludf.DUMMYFUNCTION("GOOGLETRANSLATE(A5652,""en"",""pt-br"")"),"esporádico")</f>
        <v>esporádico</v>
      </c>
      <c r="D5652" s="1" t="str">
        <f>IFERROR(__xludf.DUMMYFUNCTION("GOOGLETRANSLATE(B5652,""en"",""pt-br"")"),"negativo")</f>
        <v>negativo</v>
      </c>
    </row>
    <row r="5653" ht="15.75" customHeight="1">
      <c r="A5653" s="2" t="s">
        <v>5650</v>
      </c>
      <c r="B5653" s="2" t="s">
        <v>14</v>
      </c>
      <c r="C5653" s="1" t="str">
        <f>IFERROR(__xludf.DUMMYFUNCTION("GOOGLETRANSLATE(A5653,""en"",""pt-br"")"),"desportivo")</f>
        <v>desportivo</v>
      </c>
      <c r="D5653" s="1" t="str">
        <f>IFERROR(__xludf.DUMMYFUNCTION("GOOGLETRANSLATE(B5653,""en"",""pt-br"")"),"positivo")</f>
        <v>positivo</v>
      </c>
    </row>
    <row r="5654" ht="15.75" customHeight="1">
      <c r="A5654" s="2" t="s">
        <v>5651</v>
      </c>
      <c r="B5654" s="2" t="s">
        <v>14</v>
      </c>
      <c r="C5654" s="1" t="str">
        <f>IFERROR(__xludf.DUMMYFUNCTION("GOOGLETRANSLATE(A5654,""en"",""pt-br"")"),"imaculado")</f>
        <v>imaculado</v>
      </c>
      <c r="D5654" s="1" t="str">
        <f>IFERROR(__xludf.DUMMYFUNCTION("GOOGLETRANSLATE(B5654,""en"",""pt-br"")"),"positivo")</f>
        <v>positivo</v>
      </c>
    </row>
    <row r="5655" ht="15.75" customHeight="1">
      <c r="A5655" s="2" t="s">
        <v>5652</v>
      </c>
      <c r="B5655" s="2" t="s">
        <v>3</v>
      </c>
      <c r="C5655" s="1" t="str">
        <f>IFERROR(__xludf.DUMMYFUNCTION("GOOGLETRANSLATE(A5655,""en"",""pt-br"")"),"irregular")</f>
        <v>irregular</v>
      </c>
      <c r="D5655" s="1" t="str">
        <f>IFERROR(__xludf.DUMMYFUNCTION("GOOGLETRANSLATE(B5655,""en"",""pt-br"")"),"negativo")</f>
        <v>negativo</v>
      </c>
    </row>
    <row r="5656" ht="15.75" customHeight="1">
      <c r="A5656" s="2" t="s">
        <v>5653</v>
      </c>
      <c r="B5656" s="2" t="s">
        <v>14</v>
      </c>
      <c r="C5656" s="1" t="str">
        <f>IFERROR(__xludf.DUMMYFUNCTION("GOOGLETRANSLATE(A5656,""en"",""pt-br"")"),"alegre")</f>
        <v>alegre</v>
      </c>
      <c r="D5656" s="1" t="str">
        <f>IFERROR(__xludf.DUMMYFUNCTION("GOOGLETRANSLATE(B5656,""en"",""pt-br"")"),"positivo")</f>
        <v>positivo</v>
      </c>
    </row>
    <row r="5657" ht="15.75" customHeight="1">
      <c r="A5657" s="2" t="s">
        <v>5654</v>
      </c>
      <c r="B5657" s="2" t="s">
        <v>3</v>
      </c>
      <c r="C5657" s="1" t="str">
        <f>IFERROR(__xludf.DUMMYFUNCTION("GOOGLETRANSLATE(A5657,""en"",""pt-br"")"),"espúrio")</f>
        <v>espúrio</v>
      </c>
      <c r="D5657" s="1" t="str">
        <f>IFERROR(__xludf.DUMMYFUNCTION("GOOGLETRANSLATE(B5657,""en"",""pt-br"")"),"negativo")</f>
        <v>negativo</v>
      </c>
    </row>
    <row r="5658" ht="15.75" customHeight="1">
      <c r="A5658" s="2" t="s">
        <v>5655</v>
      </c>
      <c r="B5658" s="2" t="s">
        <v>3</v>
      </c>
      <c r="C5658" s="1" t="str">
        <f>IFERROR(__xludf.DUMMYFUNCTION("GOOGLETRANSLATE(A5658,""en"",""pt-br"")"),"spurn")</f>
        <v>spurn</v>
      </c>
      <c r="D5658" s="1" t="str">
        <f>IFERROR(__xludf.DUMMYFUNCTION("GOOGLETRANSLATE(B5658,""en"",""pt-br"")"),"negativo")</f>
        <v>negativo</v>
      </c>
    </row>
    <row r="5659" ht="15.75" customHeight="1">
      <c r="A5659" s="2" t="s">
        <v>5656</v>
      </c>
      <c r="B5659" s="2" t="s">
        <v>3</v>
      </c>
      <c r="C5659" s="1" t="str">
        <f>IFERROR(__xludf.DUMMYFUNCTION("GOOGLETRANSLATE(A5659,""en"",""pt-br"")"),"sputter")</f>
        <v>sputter</v>
      </c>
      <c r="D5659" s="1" t="str">
        <f>IFERROR(__xludf.DUMMYFUNCTION("GOOGLETRANSLATE(B5659,""en"",""pt-br"")"),"negativo")</f>
        <v>negativo</v>
      </c>
    </row>
    <row r="5660" ht="15.75" customHeight="1">
      <c r="A5660" s="2" t="s">
        <v>5657</v>
      </c>
      <c r="B5660" s="2" t="s">
        <v>3</v>
      </c>
      <c r="C5660" s="1" t="str">
        <f>IFERROR(__xludf.DUMMYFUNCTION("GOOGLETRANSLATE(A5660,""en"",""pt-br"")"),"disputa")</f>
        <v>disputa</v>
      </c>
      <c r="D5660" s="1" t="str">
        <f>IFERROR(__xludf.DUMMYFUNCTION("GOOGLETRANSLATE(B5660,""en"",""pt-br"")"),"negativo")</f>
        <v>negativo</v>
      </c>
    </row>
    <row r="5661" ht="15.75" customHeight="1">
      <c r="A5661" s="2" t="s">
        <v>5658</v>
      </c>
      <c r="B5661" s="2" t="s">
        <v>3</v>
      </c>
      <c r="C5661" s="1" t="str">
        <f>IFERROR(__xludf.DUMMYFUNCTION("GOOGLETRANSLATE(A5661,""en"",""pt-br"")"),"briguento")</f>
        <v>briguento</v>
      </c>
      <c r="D5661" s="1" t="str">
        <f>IFERROR(__xludf.DUMMYFUNCTION("GOOGLETRANSLATE(B5661,""en"",""pt-br"")"),"negativo")</f>
        <v>negativo</v>
      </c>
    </row>
    <row r="5662" ht="15.75" customHeight="1">
      <c r="A5662" s="2" t="s">
        <v>5659</v>
      </c>
      <c r="B5662" s="2" t="s">
        <v>3</v>
      </c>
      <c r="C5662" s="1" t="str">
        <f>IFERROR(__xludf.DUMMYFUNCTION("GOOGLETRANSLATE(A5662,""en"",""pt-br"")"),"desperdiçar")</f>
        <v>desperdiçar</v>
      </c>
      <c r="D5662" s="1" t="str">
        <f>IFERROR(__xludf.DUMMYFUNCTION("GOOGLETRANSLATE(B5662,""en"",""pt-br"")"),"negativo")</f>
        <v>negativo</v>
      </c>
    </row>
    <row r="5663" ht="15.75" customHeight="1">
      <c r="A5663" s="2" t="s">
        <v>5660</v>
      </c>
      <c r="B5663" s="2" t="s">
        <v>3</v>
      </c>
      <c r="C5663" s="1" t="str">
        <f>IFERROR(__xludf.DUMMYFUNCTION("GOOGLETRANSLATE(A5663,""en"",""pt-br"")"),"abóbora")</f>
        <v>abóbora</v>
      </c>
      <c r="D5663" s="1" t="str">
        <f>IFERROR(__xludf.DUMMYFUNCTION("GOOGLETRANSLATE(B5663,""en"",""pt-br"")"),"negativo")</f>
        <v>negativo</v>
      </c>
    </row>
    <row r="5664" ht="15.75" customHeight="1">
      <c r="A5664" s="2" t="s">
        <v>5661</v>
      </c>
      <c r="B5664" s="2" t="s">
        <v>3</v>
      </c>
      <c r="C5664" s="1" t="str">
        <f>IFERROR(__xludf.DUMMYFUNCTION("GOOGLETRANSLATE(A5664,""en"",""pt-br"")"),"rangido")</f>
        <v>rangido</v>
      </c>
      <c r="D5664" s="1" t="str">
        <f>IFERROR(__xludf.DUMMYFUNCTION("GOOGLETRANSLATE(B5664,""en"",""pt-br"")"),"negativo")</f>
        <v>negativo</v>
      </c>
    </row>
    <row r="5665" ht="15.75" customHeight="1">
      <c r="A5665" s="2" t="s">
        <v>5662</v>
      </c>
      <c r="B5665" s="2" t="s">
        <v>3</v>
      </c>
      <c r="C5665" s="1" t="str">
        <f>IFERROR(__xludf.DUMMYFUNCTION("GOOGLETRANSLATE(A5665,""en"",""pt-br"")"),"guinchos")</f>
        <v>guinchos</v>
      </c>
      <c r="D5665" s="1" t="str">
        <f>IFERROR(__xludf.DUMMYFUNCTION("GOOGLETRANSLATE(B5665,""en"",""pt-br"")"),"negativo")</f>
        <v>negativo</v>
      </c>
    </row>
    <row r="5666" ht="15.75" customHeight="1">
      <c r="A5666" s="2" t="s">
        <v>5663</v>
      </c>
      <c r="B5666" s="2" t="s">
        <v>3</v>
      </c>
      <c r="C5666" s="1" t="str">
        <f>IFERROR(__xludf.DUMMYFUNCTION("GOOGLETRANSLATE(A5666,""en"",""pt-br"")"),"esganiçada")</f>
        <v>esganiçada</v>
      </c>
      <c r="D5666" s="1" t="str">
        <f>IFERROR(__xludf.DUMMYFUNCTION("GOOGLETRANSLATE(B5666,""en"",""pt-br"")"),"negativo")</f>
        <v>negativo</v>
      </c>
    </row>
    <row r="5667" ht="15.75" customHeight="1">
      <c r="A5667" s="2" t="s">
        <v>5664</v>
      </c>
      <c r="B5667" s="2" t="s">
        <v>3</v>
      </c>
      <c r="C5667" s="1" t="str">
        <f>IFERROR(__xludf.DUMMYFUNCTION("GOOGLETRANSLATE(A5667,""en"",""pt-br"")"),"guincho")</f>
        <v>guincho</v>
      </c>
      <c r="D5667" s="1" t="str">
        <f>IFERROR(__xludf.DUMMYFUNCTION("GOOGLETRANSLATE(B5667,""en"",""pt-br"")"),"negativo")</f>
        <v>negativo</v>
      </c>
    </row>
    <row r="5668" ht="15.75" customHeight="1">
      <c r="A5668" s="2" t="s">
        <v>5665</v>
      </c>
      <c r="B5668" s="2" t="s">
        <v>3</v>
      </c>
      <c r="C5668" s="1" t="str">
        <f>IFERROR(__xludf.DUMMYFUNCTION("GOOGLETRANSLATE(A5668,""en"",""pt-br"")"),"guinchando")</f>
        <v>guinchando</v>
      </c>
      <c r="D5668" s="1" t="str">
        <f>IFERROR(__xludf.DUMMYFUNCTION("GOOGLETRANSLATE(B5668,""en"",""pt-br"")"),"negativo")</f>
        <v>negativo</v>
      </c>
    </row>
    <row r="5669" ht="15.75" customHeight="1">
      <c r="A5669" s="2" t="s">
        <v>5666</v>
      </c>
      <c r="B5669" s="2" t="s">
        <v>3</v>
      </c>
      <c r="C5669" s="1" t="str">
        <f>IFERROR(__xludf.DUMMYFUNCTION("GOOGLETRANSLATE(A5669,""en"",""pt-br"")"),"squeals")</f>
        <v>squeals</v>
      </c>
      <c r="D5669" s="1" t="str">
        <f>IFERROR(__xludf.DUMMYFUNCTION("GOOGLETRANSLATE(B5669,""en"",""pt-br"")"),"negativo")</f>
        <v>negativo</v>
      </c>
    </row>
    <row r="5670" ht="15.75" customHeight="1">
      <c r="A5670" s="2" t="s">
        <v>5667</v>
      </c>
      <c r="B5670" s="2" t="s">
        <v>3</v>
      </c>
      <c r="C5670" s="1" t="str">
        <f>IFERROR(__xludf.DUMMYFUNCTION("GOOGLETRANSLATE(A5670,""en"",""pt-br"")"),"contorcer-se")</f>
        <v>contorcer-se</v>
      </c>
      <c r="D5670" s="1" t="str">
        <f>IFERROR(__xludf.DUMMYFUNCTION("GOOGLETRANSLATE(B5670,""en"",""pt-br"")"),"negativo")</f>
        <v>negativo</v>
      </c>
    </row>
    <row r="5671" ht="15.75" customHeight="1">
      <c r="A5671" s="2" t="s">
        <v>5668</v>
      </c>
      <c r="B5671" s="2" t="s">
        <v>3</v>
      </c>
      <c r="C5671" s="1" t="str">
        <f>IFERROR(__xludf.DUMMYFUNCTION("GOOGLETRANSLATE(A5671,""en"",""pt-br"")"),"punhalada")</f>
        <v>punhalada</v>
      </c>
      <c r="D5671" s="1" t="str">
        <f>IFERROR(__xludf.DUMMYFUNCTION("GOOGLETRANSLATE(B5671,""en"",""pt-br"")"),"negativo")</f>
        <v>negativo</v>
      </c>
    </row>
    <row r="5672" ht="15.75" customHeight="1">
      <c r="A5672" s="2" t="s">
        <v>5669</v>
      </c>
      <c r="B5672" s="2" t="s">
        <v>14</v>
      </c>
      <c r="C5672" s="1" t="str">
        <f>IFERROR(__xludf.DUMMYFUNCTION("GOOGLETRANSLATE(A5672,""en"",""pt-br"")"),"estabilidade")</f>
        <v>estabilidade</v>
      </c>
      <c r="D5672" s="1" t="str">
        <f>IFERROR(__xludf.DUMMYFUNCTION("GOOGLETRANSLATE(B5672,""en"",""pt-br"")"),"positivo")</f>
        <v>positivo</v>
      </c>
    </row>
    <row r="5673" ht="15.75" customHeight="1">
      <c r="A5673" s="2" t="s">
        <v>5670</v>
      </c>
      <c r="B5673" s="2" t="s">
        <v>14</v>
      </c>
      <c r="C5673" s="1" t="str">
        <f>IFERROR(__xludf.DUMMYFUNCTION("GOOGLETRANSLATE(A5673,""en"",""pt-br"")"),"estabilizar")</f>
        <v>estabilizar</v>
      </c>
      <c r="D5673" s="1" t="str">
        <f>IFERROR(__xludf.DUMMYFUNCTION("GOOGLETRANSLATE(B5673,""en"",""pt-br"")"),"positivo")</f>
        <v>positivo</v>
      </c>
    </row>
    <row r="5674" ht="15.75" customHeight="1">
      <c r="A5674" s="2" t="s">
        <v>5671</v>
      </c>
      <c r="B5674" s="2" t="s">
        <v>14</v>
      </c>
      <c r="C5674" s="1" t="str">
        <f>IFERROR(__xludf.DUMMYFUNCTION("GOOGLETRANSLATE(A5674,""en"",""pt-br"")"),"estábulo")</f>
        <v>estábulo</v>
      </c>
      <c r="D5674" s="1" t="str">
        <f>IFERROR(__xludf.DUMMYFUNCTION("GOOGLETRANSLATE(B5674,""en"",""pt-br"")"),"positivo")</f>
        <v>positivo</v>
      </c>
    </row>
    <row r="5675" ht="15.75" customHeight="1">
      <c r="A5675" s="2" t="s">
        <v>5672</v>
      </c>
      <c r="B5675" s="2" t="s">
        <v>3</v>
      </c>
      <c r="C5675" s="1" t="str">
        <f>IFERROR(__xludf.DUMMYFUNCTION("GOOGLETRANSLATE(A5675,""en"",""pt-br"")"),"estagnado")</f>
        <v>estagnado</v>
      </c>
      <c r="D5675" s="1" t="str">
        <f>IFERROR(__xludf.DUMMYFUNCTION("GOOGLETRANSLATE(B5675,""en"",""pt-br"")"),"negativo")</f>
        <v>negativo</v>
      </c>
    </row>
    <row r="5676" ht="15.75" customHeight="1">
      <c r="A5676" s="2" t="s">
        <v>5673</v>
      </c>
      <c r="B5676" s="2" t="s">
        <v>3</v>
      </c>
      <c r="C5676" s="1" t="str">
        <f>IFERROR(__xludf.DUMMYFUNCTION("GOOGLETRANSLATE(A5676,""en"",""pt-br"")"),"estagnar")</f>
        <v>estagnar</v>
      </c>
      <c r="D5676" s="1" t="str">
        <f>IFERROR(__xludf.DUMMYFUNCTION("GOOGLETRANSLATE(B5676,""en"",""pt-br"")"),"negativo")</f>
        <v>negativo</v>
      </c>
    </row>
    <row r="5677" ht="15.75" customHeight="1">
      <c r="A5677" s="2" t="s">
        <v>5674</v>
      </c>
      <c r="B5677" s="2" t="s">
        <v>3</v>
      </c>
      <c r="C5677" s="1" t="str">
        <f>IFERROR(__xludf.DUMMYFUNCTION("GOOGLETRANSLATE(A5677,""en"",""pt-br"")"),"estagnação")</f>
        <v>estagnação</v>
      </c>
      <c r="D5677" s="1" t="str">
        <f>IFERROR(__xludf.DUMMYFUNCTION("GOOGLETRANSLATE(B5677,""en"",""pt-br"")"),"negativo")</f>
        <v>negativo</v>
      </c>
    </row>
    <row r="5678" ht="15.75" customHeight="1">
      <c r="A5678" s="2" t="s">
        <v>5675</v>
      </c>
      <c r="B5678" s="2" t="s">
        <v>3</v>
      </c>
      <c r="C5678" s="1" t="str">
        <f>IFERROR(__xludf.DUMMYFUNCTION("GOOGLETRANSLATE(A5678,""en"",""pt-br"")"),"sóbrio")</f>
        <v>sóbrio</v>
      </c>
      <c r="D5678" s="1" t="str">
        <f>IFERROR(__xludf.DUMMYFUNCTION("GOOGLETRANSLATE(B5678,""en"",""pt-br"")"),"negativo")</f>
        <v>negativo</v>
      </c>
    </row>
    <row r="5679" ht="15.75" customHeight="1">
      <c r="A5679" s="2" t="s">
        <v>5676</v>
      </c>
      <c r="B5679" s="2" t="s">
        <v>3</v>
      </c>
      <c r="C5679" s="1" t="str">
        <f>IFERROR(__xludf.DUMMYFUNCTION("GOOGLETRANSLATE(A5679,""en"",""pt-br"")"),"mancha")</f>
        <v>mancha</v>
      </c>
      <c r="D5679" s="1" t="str">
        <f>IFERROR(__xludf.DUMMYFUNCTION("GOOGLETRANSLATE(B5679,""en"",""pt-br"")"),"negativo")</f>
        <v>negativo</v>
      </c>
    </row>
    <row r="5680" ht="15.75" customHeight="1">
      <c r="A5680" s="2" t="s">
        <v>5677</v>
      </c>
      <c r="B5680" s="2" t="s">
        <v>14</v>
      </c>
      <c r="C5680" s="1" t="str">
        <f>IFERROR(__xludf.DUMMYFUNCTION("GOOGLETRANSLATE(A5680,""en"",""pt-br"")"),"inoxidável")</f>
        <v>inoxidável</v>
      </c>
      <c r="D5680" s="1" t="str">
        <f>IFERROR(__xludf.DUMMYFUNCTION("GOOGLETRANSLATE(B5680,""en"",""pt-br"")"),"positivo")</f>
        <v>positivo</v>
      </c>
    </row>
    <row r="5681" ht="15.75" customHeight="1">
      <c r="A5681" s="2" t="s">
        <v>5678</v>
      </c>
      <c r="B5681" s="2" t="s">
        <v>3</v>
      </c>
      <c r="C5681" s="1" t="str">
        <f>IFERROR(__xludf.DUMMYFUNCTION("GOOGLETRANSLATE(A5681,""en"",""pt-br"")"),"manchas")</f>
        <v>manchas</v>
      </c>
      <c r="D5681" s="1" t="str">
        <f>IFERROR(__xludf.DUMMYFUNCTION("GOOGLETRANSLATE(B5681,""en"",""pt-br"")"),"negativo")</f>
        <v>negativo</v>
      </c>
    </row>
    <row r="5682" ht="15.75" customHeight="1">
      <c r="A5682" s="2" t="s">
        <v>5679</v>
      </c>
      <c r="B5682" s="2" t="s">
        <v>3</v>
      </c>
      <c r="C5682" s="1" t="str">
        <f>IFERROR(__xludf.DUMMYFUNCTION("GOOGLETRANSLATE(A5682,""en"",""pt-br"")"),"velho")</f>
        <v>velho</v>
      </c>
      <c r="D5682" s="1" t="str">
        <f>IFERROR(__xludf.DUMMYFUNCTION("GOOGLETRANSLATE(B5682,""en"",""pt-br"")"),"negativo")</f>
        <v>negativo</v>
      </c>
    </row>
    <row r="5683" ht="15.75" customHeight="1">
      <c r="A5683" s="2" t="s">
        <v>5680</v>
      </c>
      <c r="B5683" s="2" t="s">
        <v>3</v>
      </c>
      <c r="C5683" s="1" t="str">
        <f>IFERROR(__xludf.DUMMYFUNCTION("GOOGLETRANSLATE(A5683,""en"",""pt-br"")"),"impasse")</f>
        <v>impasse</v>
      </c>
      <c r="D5683" s="1" t="str">
        <f>IFERROR(__xludf.DUMMYFUNCTION("GOOGLETRANSLATE(B5683,""en"",""pt-br"")"),"negativo")</f>
        <v>negativo</v>
      </c>
    </row>
    <row r="5684" ht="15.75" customHeight="1">
      <c r="A5684" s="2" t="s">
        <v>5681</v>
      </c>
      <c r="B5684" s="2" t="s">
        <v>3</v>
      </c>
      <c r="C5684" s="1" t="str">
        <f>IFERROR(__xludf.DUMMYFUNCTION("GOOGLETRANSLATE(A5684,""en"",""pt-br"")"),"impedir")</f>
        <v>impedir</v>
      </c>
      <c r="D5684" s="1" t="str">
        <f>IFERROR(__xludf.DUMMYFUNCTION("GOOGLETRANSLATE(B5684,""en"",""pt-br"")"),"negativo")</f>
        <v>negativo</v>
      </c>
    </row>
    <row r="5685" ht="15.75" customHeight="1">
      <c r="A5685" s="2" t="s">
        <v>5682</v>
      </c>
      <c r="B5685" s="2" t="s">
        <v>3</v>
      </c>
      <c r="C5685" s="1" t="str">
        <f>IFERROR(__xludf.DUMMYFUNCTION("GOOGLETRANSLATE(A5685,""en"",""pt-br"")"),"estábulos")</f>
        <v>estábulos</v>
      </c>
      <c r="D5685" s="1" t="str">
        <f>IFERROR(__xludf.DUMMYFUNCTION("GOOGLETRANSLATE(B5685,""en"",""pt-br"")"),"negativo")</f>
        <v>negativo</v>
      </c>
    </row>
    <row r="5686" ht="15.75" customHeight="1">
      <c r="A5686" s="2" t="s">
        <v>5683</v>
      </c>
      <c r="B5686" s="2" t="s">
        <v>3</v>
      </c>
      <c r="C5686" s="1" t="str">
        <f>IFERROR(__xludf.DUMMYFUNCTION("GOOGLETRANSLATE(A5686,""en"",""pt-br"")"),"gaguejar")</f>
        <v>gaguejar</v>
      </c>
      <c r="D5686" s="1" t="str">
        <f>IFERROR(__xludf.DUMMYFUNCTION("GOOGLETRANSLATE(B5686,""en"",""pt-br"")"),"negativo")</f>
        <v>negativo</v>
      </c>
    </row>
    <row r="5687" ht="15.75" customHeight="1">
      <c r="A5687" s="2" t="s">
        <v>5684</v>
      </c>
      <c r="B5687" s="2" t="s">
        <v>3</v>
      </c>
      <c r="C5687" s="1" t="str">
        <f>IFERROR(__xludf.DUMMYFUNCTION("GOOGLETRANSLATE(A5687,""en"",""pt-br"")"),"debandada")</f>
        <v>debandada</v>
      </c>
      <c r="D5687" s="1" t="str">
        <f>IFERROR(__xludf.DUMMYFUNCTION("GOOGLETRANSLATE(B5687,""en"",""pt-br"")"),"negativo")</f>
        <v>negativo</v>
      </c>
    </row>
    <row r="5688" ht="15.75" customHeight="1">
      <c r="A5688" s="2" t="s">
        <v>5685</v>
      </c>
      <c r="B5688" s="2" t="s">
        <v>14</v>
      </c>
      <c r="C5688" s="1" t="str">
        <f>IFERROR(__xludf.DUMMYFUNCTION("GOOGLETRANSLATE(A5688,""en"",""pt-br"")"),"se destacarem")</f>
        <v>se destacarem</v>
      </c>
      <c r="D5688" s="1" t="str">
        <f>IFERROR(__xludf.DUMMYFUNCTION("GOOGLETRANSLATE(B5688,""en"",""pt-br"")"),"positivo")</f>
        <v>positivo</v>
      </c>
    </row>
    <row r="5689" ht="15.75" customHeight="1">
      <c r="A5689" s="2" t="s">
        <v>5686</v>
      </c>
      <c r="B5689" s="2" t="s">
        <v>3</v>
      </c>
      <c r="C5689" s="1" t="str">
        <f>IFERROR(__xludf.DUMMYFUNCTION("GOOGLETRANSLATE(A5689,""en"",""pt-br"")"),"paralisação")</f>
        <v>paralisação</v>
      </c>
      <c r="D5689" s="1" t="str">
        <f>IFERROR(__xludf.DUMMYFUNCTION("GOOGLETRANSLATE(B5689,""en"",""pt-br"")"),"negativo")</f>
        <v>negativo</v>
      </c>
    </row>
    <row r="5690" ht="15.75" customHeight="1">
      <c r="A5690" s="2" t="s">
        <v>5687</v>
      </c>
      <c r="B5690" s="2" t="s">
        <v>3</v>
      </c>
      <c r="C5690" s="1" t="str">
        <f>IFERROR(__xludf.DUMMYFUNCTION("GOOGLETRANSLATE(A5690,""en"",""pt-br"")"),"rígido")</f>
        <v>rígido</v>
      </c>
      <c r="D5690" s="1" t="str">
        <f>IFERROR(__xludf.DUMMYFUNCTION("GOOGLETRANSLATE(B5690,""en"",""pt-br"")"),"negativo")</f>
        <v>negativo</v>
      </c>
    </row>
    <row r="5691" ht="15.75" customHeight="1">
      <c r="A5691" s="2" t="s">
        <v>5688</v>
      </c>
      <c r="B5691" s="2" t="s">
        <v>3</v>
      </c>
      <c r="C5691" s="1" t="str">
        <f>IFERROR(__xludf.DUMMYFUNCTION("GOOGLETRANSLATE(A5691,""en"",""pt-br"")"),"duramente")</f>
        <v>duramente</v>
      </c>
      <c r="D5691" s="1" t="str">
        <f>IFERROR(__xludf.DUMMYFUNCTION("GOOGLETRANSLATE(B5691,""en"",""pt-br"")"),"negativo")</f>
        <v>negativo</v>
      </c>
    </row>
    <row r="5692" ht="15.75" customHeight="1">
      <c r="A5692" s="2" t="s">
        <v>5689</v>
      </c>
      <c r="B5692" s="2" t="s">
        <v>3</v>
      </c>
      <c r="C5692" s="1" t="str">
        <f>IFERROR(__xludf.DUMMYFUNCTION("GOOGLETRANSLATE(A5692,""en"",""pt-br"")"),"de sobressalto")</f>
        <v>de sobressalto</v>
      </c>
      <c r="D5692" s="1" t="str">
        <f>IFERROR(__xludf.DUMMYFUNCTION("GOOGLETRANSLATE(B5692,""en"",""pt-br"")"),"negativo")</f>
        <v>negativo</v>
      </c>
    </row>
    <row r="5693" ht="15.75" customHeight="1">
      <c r="A5693" s="2" t="s">
        <v>5690</v>
      </c>
      <c r="B5693" s="2" t="s">
        <v>3</v>
      </c>
      <c r="C5693" s="1" t="str">
        <f>IFERROR(__xludf.DUMMYFUNCTION("GOOGLETRANSLATE(A5693,""en"",""pt-br"")"),"surpreendente")</f>
        <v>surpreendente</v>
      </c>
      <c r="D5693" s="1" t="str">
        <f>IFERROR(__xludf.DUMMYFUNCTION("GOOGLETRANSLATE(B5693,""en"",""pt-br"")"),"negativo")</f>
        <v>negativo</v>
      </c>
    </row>
    <row r="5694" ht="15.75" customHeight="1">
      <c r="A5694" s="2" t="s">
        <v>5691</v>
      </c>
      <c r="B5694" s="2" t="s">
        <v>3</v>
      </c>
      <c r="C5694" s="1" t="str">
        <f>IFERROR(__xludf.DUMMYFUNCTION("GOOGLETRANSLATE(A5694,""en"",""pt-br"")"),"espantosamente")</f>
        <v>espantosamente</v>
      </c>
      <c r="D5694" s="1" t="str">
        <f>IFERROR(__xludf.DUMMYFUNCTION("GOOGLETRANSLATE(B5694,""en"",""pt-br"")"),"negativo")</f>
        <v>negativo</v>
      </c>
    </row>
    <row r="5695" ht="15.75" customHeight="1">
      <c r="A5695" s="2" t="s">
        <v>5692</v>
      </c>
      <c r="B5695" s="2" t="s">
        <v>3</v>
      </c>
      <c r="C5695" s="1" t="str">
        <f>IFERROR(__xludf.DUMMYFUNCTION("GOOGLETRANSLATE(A5695,""en"",""pt-br"")"),"inanição")</f>
        <v>inanição</v>
      </c>
      <c r="D5695" s="1" t="str">
        <f>IFERROR(__xludf.DUMMYFUNCTION("GOOGLETRANSLATE(B5695,""en"",""pt-br"")"),"negativo")</f>
        <v>negativo</v>
      </c>
    </row>
    <row r="5696" ht="15.75" customHeight="1">
      <c r="A5696" s="2" t="s">
        <v>5693</v>
      </c>
      <c r="B5696" s="2" t="s">
        <v>3</v>
      </c>
      <c r="C5696" s="1" t="str">
        <f>IFERROR(__xludf.DUMMYFUNCTION("GOOGLETRANSLATE(A5696,""en"",""pt-br"")"),"morrer de fome")</f>
        <v>morrer de fome</v>
      </c>
      <c r="D5696" s="1" t="str">
        <f>IFERROR(__xludf.DUMMYFUNCTION("GOOGLETRANSLATE(B5696,""en"",""pt-br"")"),"negativo")</f>
        <v>negativo</v>
      </c>
    </row>
    <row r="5697" ht="15.75" customHeight="1">
      <c r="A5697" s="2" t="s">
        <v>5694</v>
      </c>
      <c r="B5697" s="2" t="s">
        <v>14</v>
      </c>
      <c r="C5697" s="1" t="str">
        <f>IFERROR(__xludf.DUMMYFUNCTION("GOOGLETRANSLATE(A5697,""en"",""pt-br"")"),"Estado da arte")</f>
        <v>Estado da arte</v>
      </c>
      <c r="D5697" s="1" t="str">
        <f>IFERROR(__xludf.DUMMYFUNCTION("GOOGLETRANSLATE(B5697,""en"",""pt-br"")"),"positivo")</f>
        <v>positivo</v>
      </c>
    </row>
    <row r="5698" ht="15.75" customHeight="1">
      <c r="A5698" s="2" t="s">
        <v>5695</v>
      </c>
      <c r="B5698" s="2" t="s">
        <v>14</v>
      </c>
      <c r="C5698" s="1" t="str">
        <f>IFERROR(__xludf.DUMMYFUNCTION("GOOGLETRANSLATE(A5698,""en"",""pt-br"")"),"imponente")</f>
        <v>imponente</v>
      </c>
      <c r="D5698" s="1" t="str">
        <f>IFERROR(__xludf.DUMMYFUNCTION("GOOGLETRANSLATE(B5698,""en"",""pt-br"")"),"positivo")</f>
        <v>positivo</v>
      </c>
    </row>
    <row r="5699" ht="15.75" customHeight="1">
      <c r="A5699" s="2" t="s">
        <v>5696</v>
      </c>
      <c r="B5699" s="2" t="s">
        <v>3</v>
      </c>
      <c r="C5699" s="1" t="str">
        <f>IFERROR(__xludf.DUMMYFUNCTION("GOOGLETRANSLATE(A5699,""en"",""pt-br"")"),"estático")</f>
        <v>estático</v>
      </c>
      <c r="D5699" s="1" t="str">
        <f>IFERROR(__xludf.DUMMYFUNCTION("GOOGLETRANSLATE(B5699,""en"",""pt-br"")"),"negativo")</f>
        <v>negativo</v>
      </c>
    </row>
    <row r="5700" ht="15.75" customHeight="1">
      <c r="A5700" s="2" t="s">
        <v>5697</v>
      </c>
      <c r="B5700" s="2" t="s">
        <v>14</v>
      </c>
      <c r="C5700" s="1" t="str">
        <f>IFERROR(__xludf.DUMMYFUNCTION("GOOGLETRANSLATE(A5700,""en"",""pt-br"")"),"escultural")</f>
        <v>escultural</v>
      </c>
      <c r="D5700" s="1" t="str">
        <f>IFERROR(__xludf.DUMMYFUNCTION("GOOGLETRANSLATE(B5700,""en"",""pt-br"")"),"positivo")</f>
        <v>positivo</v>
      </c>
    </row>
    <row r="5701" ht="15.75" customHeight="1">
      <c r="A5701" s="2" t="s">
        <v>5698</v>
      </c>
      <c r="B5701" s="2" t="s">
        <v>14</v>
      </c>
      <c r="C5701" s="1" t="str">
        <f>IFERROR(__xludf.DUMMYFUNCTION("GOOGLETRANSLATE(A5701,""en"",""pt-br"")"),"leal")</f>
        <v>leal</v>
      </c>
      <c r="D5701" s="1" t="str">
        <f>IFERROR(__xludf.DUMMYFUNCTION("GOOGLETRANSLATE(B5701,""en"",""pt-br"")"),"positivo")</f>
        <v>positivo</v>
      </c>
    </row>
    <row r="5702" ht="15.75" customHeight="1">
      <c r="A5702" s="2" t="s">
        <v>5699</v>
      </c>
      <c r="B5702" s="2" t="s">
        <v>14</v>
      </c>
      <c r="C5702" s="1" t="str">
        <f>IFERROR(__xludf.DUMMYFUNCTION("GOOGLETRANSLATE(A5702,""en"",""pt-br"")"),"firmemente")</f>
        <v>firmemente</v>
      </c>
      <c r="D5702" s="1" t="str">
        <f>IFERROR(__xludf.DUMMYFUNCTION("GOOGLETRANSLATE(B5702,""en"",""pt-br"")"),"positivo")</f>
        <v>positivo</v>
      </c>
    </row>
    <row r="5703" ht="15.75" customHeight="1">
      <c r="A5703" s="2" t="s">
        <v>5700</v>
      </c>
      <c r="B5703" s="2" t="s">
        <v>14</v>
      </c>
      <c r="C5703" s="1" t="str">
        <f>IFERROR(__xludf.DUMMYFUNCTION("GOOGLETRANSLATE(A5703,""en"",""pt-br"")"),"staunchness")</f>
        <v>staunchness</v>
      </c>
      <c r="D5703" s="1" t="str">
        <f>IFERROR(__xludf.DUMMYFUNCTION("GOOGLETRANSLATE(B5703,""en"",""pt-br"")"),"positivo")</f>
        <v>positivo</v>
      </c>
    </row>
    <row r="5704" ht="15.75" customHeight="1">
      <c r="A5704" s="2" t="s">
        <v>5701</v>
      </c>
      <c r="B5704" s="2" t="s">
        <v>14</v>
      </c>
      <c r="C5704" s="1" t="str">
        <f>IFERROR(__xludf.DUMMYFUNCTION("GOOGLETRANSLATE(A5704,""en"",""pt-br"")"),"firme")</f>
        <v>firme</v>
      </c>
      <c r="D5704" s="1" t="str">
        <f>IFERROR(__xludf.DUMMYFUNCTION("GOOGLETRANSLATE(B5704,""en"",""pt-br"")"),"positivo")</f>
        <v>positivo</v>
      </c>
    </row>
    <row r="5705" ht="15.75" customHeight="1">
      <c r="A5705" s="2" t="s">
        <v>5702</v>
      </c>
      <c r="B5705" s="2" t="s">
        <v>14</v>
      </c>
      <c r="C5705" s="1" t="str">
        <f>IFERROR(__xludf.DUMMYFUNCTION("GOOGLETRANSLATE(A5705,""en"",""pt-br"")"),"firmemente")</f>
        <v>firmemente</v>
      </c>
      <c r="D5705" s="1" t="str">
        <f>IFERROR(__xludf.DUMMYFUNCTION("GOOGLETRANSLATE(B5705,""en"",""pt-br"")"),"positivo")</f>
        <v>positivo</v>
      </c>
    </row>
    <row r="5706" ht="15.75" customHeight="1">
      <c r="A5706" s="2" t="s">
        <v>5703</v>
      </c>
      <c r="B5706" s="2" t="s">
        <v>14</v>
      </c>
      <c r="C5706" s="1" t="str">
        <f>IFERROR(__xludf.DUMMYFUNCTION("GOOGLETRANSLATE(A5706,""en"",""pt-br"")"),"firmeza")</f>
        <v>firmeza</v>
      </c>
      <c r="D5706" s="1" t="str">
        <f>IFERROR(__xludf.DUMMYFUNCTION("GOOGLETRANSLATE(B5706,""en"",""pt-br"")"),"positivo")</f>
        <v>positivo</v>
      </c>
    </row>
    <row r="5707" ht="15.75" customHeight="1">
      <c r="A5707" s="2" t="s">
        <v>5704</v>
      </c>
      <c r="B5707" s="2" t="s">
        <v>14</v>
      </c>
      <c r="C5707" s="1" t="str">
        <f>IFERROR(__xludf.DUMMYFUNCTION("GOOGLETRANSLATE(A5707,""en"",""pt-br"")"),"steadiest")</f>
        <v>steadiest</v>
      </c>
      <c r="D5707" s="1" t="str">
        <f>IFERROR(__xludf.DUMMYFUNCTION("GOOGLETRANSLATE(B5707,""en"",""pt-br"")"),"positivo")</f>
        <v>positivo</v>
      </c>
    </row>
    <row r="5708" ht="15.75" customHeight="1">
      <c r="A5708" s="2" t="s">
        <v>5705</v>
      </c>
      <c r="B5708" s="2" t="s">
        <v>14</v>
      </c>
      <c r="C5708" s="1" t="str">
        <f>IFERROR(__xludf.DUMMYFUNCTION("GOOGLETRANSLATE(A5708,""en"",""pt-br"")"),"steadiness")</f>
        <v>steadiness</v>
      </c>
      <c r="D5708" s="1" t="str">
        <f>IFERROR(__xludf.DUMMYFUNCTION("GOOGLETRANSLATE(B5708,""en"",""pt-br"")"),"positivo")</f>
        <v>positivo</v>
      </c>
    </row>
    <row r="5709" ht="15.75" customHeight="1">
      <c r="A5709" s="2" t="s">
        <v>5706</v>
      </c>
      <c r="B5709" s="2" t="s">
        <v>14</v>
      </c>
      <c r="C5709" s="1" t="str">
        <f>IFERROR(__xludf.DUMMYFUNCTION("GOOGLETRANSLATE(A5709,""en"",""pt-br"")"),"estável")</f>
        <v>estável</v>
      </c>
      <c r="D5709" s="1" t="str">
        <f>IFERROR(__xludf.DUMMYFUNCTION("GOOGLETRANSLATE(B5709,""en"",""pt-br"")"),"positivo")</f>
        <v>positivo</v>
      </c>
    </row>
    <row r="5710" ht="15.75" customHeight="1">
      <c r="A5710" s="2" t="s">
        <v>5707</v>
      </c>
      <c r="B5710" s="2" t="s">
        <v>3</v>
      </c>
      <c r="C5710" s="1" t="str">
        <f>IFERROR(__xludf.DUMMYFUNCTION("GOOGLETRANSLATE(A5710,""en"",""pt-br"")"),"roubar")</f>
        <v>roubar</v>
      </c>
      <c r="D5710" s="1" t="str">
        <f>IFERROR(__xludf.DUMMYFUNCTION("GOOGLETRANSLATE(B5710,""en"",""pt-br"")"),"negativo")</f>
        <v>negativo</v>
      </c>
    </row>
    <row r="5711" ht="15.75" customHeight="1">
      <c r="A5711" s="2" t="s">
        <v>5708</v>
      </c>
      <c r="B5711" s="2" t="s">
        <v>3</v>
      </c>
      <c r="C5711" s="1" t="str">
        <f>IFERROR(__xludf.DUMMYFUNCTION("GOOGLETRANSLATE(A5711,""en"",""pt-br"")"),"roubando")</f>
        <v>roubando</v>
      </c>
      <c r="D5711" s="1" t="str">
        <f>IFERROR(__xludf.DUMMYFUNCTION("GOOGLETRANSLATE(B5711,""en"",""pt-br"")"),"negativo")</f>
        <v>negativo</v>
      </c>
    </row>
    <row r="5712" ht="15.75" customHeight="1">
      <c r="A5712" s="2" t="s">
        <v>5709</v>
      </c>
      <c r="B5712" s="2" t="s">
        <v>3</v>
      </c>
      <c r="C5712" s="1" t="str">
        <f>IFERROR(__xludf.DUMMYFUNCTION("GOOGLETRANSLATE(A5712,""en"",""pt-br"")"),"rouba")</f>
        <v>rouba</v>
      </c>
      <c r="D5712" s="1" t="str">
        <f>IFERROR(__xludf.DUMMYFUNCTION("GOOGLETRANSLATE(B5712,""en"",""pt-br"")"),"negativo")</f>
        <v>negativo</v>
      </c>
    </row>
    <row r="5713" ht="15.75" customHeight="1">
      <c r="A5713" s="2" t="s">
        <v>5710</v>
      </c>
      <c r="B5713" s="2" t="s">
        <v>3</v>
      </c>
      <c r="C5713" s="1" t="str">
        <f>IFERROR(__xludf.DUMMYFUNCTION("GOOGLETRANSLATE(A5713,""en"",""pt-br"")"),"íngreme")</f>
        <v>íngreme</v>
      </c>
      <c r="D5713" s="1" t="str">
        <f>IFERROR(__xludf.DUMMYFUNCTION("GOOGLETRANSLATE(B5713,""en"",""pt-br"")"),"negativo")</f>
        <v>negativo</v>
      </c>
    </row>
    <row r="5714" ht="15.75" customHeight="1">
      <c r="A5714" s="2" t="s">
        <v>5711</v>
      </c>
      <c r="B5714" s="2" t="s">
        <v>3</v>
      </c>
      <c r="C5714" s="1" t="str">
        <f>IFERROR(__xludf.DUMMYFUNCTION("GOOGLETRANSLATE(A5714,""en"",""pt-br"")"),"íngreme")</f>
        <v>íngreme</v>
      </c>
      <c r="D5714" s="1" t="str">
        <f>IFERROR(__xludf.DUMMYFUNCTION("GOOGLETRANSLATE(B5714,""en"",""pt-br"")"),"negativo")</f>
        <v>negativo</v>
      </c>
    </row>
    <row r="5715" ht="15.75" customHeight="1">
      <c r="A5715" s="2" t="s">
        <v>5712</v>
      </c>
      <c r="B5715" s="2" t="s">
        <v>14</v>
      </c>
      <c r="C5715" s="1" t="str">
        <f>IFERROR(__xludf.DUMMYFUNCTION("GOOGLETRANSLATE(A5715,""en"",""pt-br"")"),"estelar")</f>
        <v>estelar</v>
      </c>
      <c r="D5715" s="1" t="str">
        <f>IFERROR(__xludf.DUMMYFUNCTION("GOOGLETRANSLATE(B5715,""en"",""pt-br"")"),"positivo")</f>
        <v>positivo</v>
      </c>
    </row>
    <row r="5716" ht="15.75" customHeight="1">
      <c r="A5716" s="2" t="s">
        <v>5713</v>
      </c>
      <c r="B5716" s="2" t="s">
        <v>14</v>
      </c>
      <c r="C5716" s="1" t="str">
        <f>IFERROR(__xludf.DUMMYFUNCTION("GOOGLETRANSLATE(A5716,""en"",""pt-br"")"),"stellarly")</f>
        <v>stellarly</v>
      </c>
      <c r="D5716" s="1" t="str">
        <f>IFERROR(__xludf.DUMMYFUNCTION("GOOGLETRANSLATE(B5716,""en"",""pt-br"")"),"positivo")</f>
        <v>positivo</v>
      </c>
    </row>
    <row r="5717" ht="15.75" customHeight="1">
      <c r="A5717" s="2" t="s">
        <v>5714</v>
      </c>
      <c r="B5717" s="2" t="s">
        <v>3</v>
      </c>
      <c r="C5717" s="1" t="str">
        <f>IFERROR(__xludf.DUMMYFUNCTION("GOOGLETRANSLATE(A5717,""en"",""pt-br"")"),"fedor")</f>
        <v>fedor</v>
      </c>
      <c r="D5717" s="1" t="str">
        <f>IFERROR(__xludf.DUMMYFUNCTION("GOOGLETRANSLATE(B5717,""en"",""pt-br"")"),"negativo")</f>
        <v>negativo</v>
      </c>
    </row>
    <row r="5718" ht="15.75" customHeight="1">
      <c r="A5718" s="2" t="s">
        <v>5715</v>
      </c>
      <c r="B5718" s="2" t="s">
        <v>3</v>
      </c>
      <c r="C5718" s="1" t="str">
        <f>IFERROR(__xludf.DUMMYFUNCTION("GOOGLETRANSLATE(A5718,""en"",""pt-br"")"),"estereótipo")</f>
        <v>estereótipo</v>
      </c>
      <c r="D5718" s="1" t="str">
        <f>IFERROR(__xludf.DUMMYFUNCTION("GOOGLETRANSLATE(B5718,""en"",""pt-br"")"),"negativo")</f>
        <v>negativo</v>
      </c>
    </row>
    <row r="5719" ht="15.75" customHeight="1">
      <c r="A5719" s="2" t="s">
        <v>5716</v>
      </c>
      <c r="B5719" s="2" t="s">
        <v>3</v>
      </c>
      <c r="C5719" s="1" t="str">
        <f>IFERROR(__xludf.DUMMYFUNCTION("GOOGLETRANSLATE(A5719,""en"",""pt-br"")"),"estereotipada")</f>
        <v>estereotipada</v>
      </c>
      <c r="D5719" s="1" t="str">
        <f>IFERROR(__xludf.DUMMYFUNCTION("GOOGLETRANSLATE(B5719,""en"",""pt-br"")"),"negativo")</f>
        <v>negativo</v>
      </c>
    </row>
    <row r="5720" ht="15.75" customHeight="1">
      <c r="A5720" s="2" t="s">
        <v>5717</v>
      </c>
      <c r="B5720" s="2" t="s">
        <v>3</v>
      </c>
      <c r="C5720" s="1" t="str">
        <f>IFERROR(__xludf.DUMMYFUNCTION("GOOGLETRANSLATE(A5720,""en"",""pt-br"")"),"stereotypically")</f>
        <v>stereotypically</v>
      </c>
      <c r="D5720" s="1" t="str">
        <f>IFERROR(__xludf.DUMMYFUNCTION("GOOGLETRANSLATE(B5720,""en"",""pt-br"")"),"negativo")</f>
        <v>negativo</v>
      </c>
    </row>
    <row r="5721" ht="15.75" customHeight="1">
      <c r="A5721" s="2" t="s">
        <v>5718</v>
      </c>
      <c r="B5721" s="2" t="s">
        <v>3</v>
      </c>
      <c r="C5721" s="1" t="str">
        <f>IFERROR(__xludf.DUMMYFUNCTION("GOOGLETRANSLATE(A5721,""en"",""pt-br"")"),"popa")</f>
        <v>popa</v>
      </c>
      <c r="D5721" s="1" t="str">
        <f>IFERROR(__xludf.DUMMYFUNCTION("GOOGLETRANSLATE(B5721,""en"",""pt-br"")"),"negativo")</f>
        <v>negativo</v>
      </c>
    </row>
    <row r="5722" ht="15.75" customHeight="1">
      <c r="A5722" s="2" t="s">
        <v>5719</v>
      </c>
      <c r="B5722" s="2" t="s">
        <v>3</v>
      </c>
      <c r="C5722" s="1" t="str">
        <f>IFERROR(__xludf.DUMMYFUNCTION("GOOGLETRANSLATE(A5722,""en"",""pt-br"")"),"ensopado")</f>
        <v>ensopado</v>
      </c>
      <c r="D5722" s="1" t="str">
        <f>IFERROR(__xludf.DUMMYFUNCTION("GOOGLETRANSLATE(B5722,""en"",""pt-br"")"),"negativo")</f>
        <v>negativo</v>
      </c>
    </row>
    <row r="5723" ht="15.75" customHeight="1">
      <c r="A5723" s="2" t="s">
        <v>5720</v>
      </c>
      <c r="B5723" s="2" t="s">
        <v>3</v>
      </c>
      <c r="C5723" s="1" t="str">
        <f>IFERROR(__xludf.DUMMYFUNCTION("GOOGLETRANSLATE(A5723,""en"",""pt-br"")"),"pegajoso")</f>
        <v>pegajoso</v>
      </c>
      <c r="D5723" s="1" t="str">
        <f>IFERROR(__xludf.DUMMYFUNCTION("GOOGLETRANSLATE(B5723,""en"",""pt-br"")"),"negativo")</f>
        <v>negativo</v>
      </c>
    </row>
    <row r="5724" ht="15.75" customHeight="1">
      <c r="A5724" s="2" t="s">
        <v>5721</v>
      </c>
      <c r="B5724" s="2" t="s">
        <v>3</v>
      </c>
      <c r="C5724" s="1" t="str">
        <f>IFERROR(__xludf.DUMMYFUNCTION("GOOGLETRANSLATE(A5724,""en"",""pt-br"")"),"rígido")</f>
        <v>rígido</v>
      </c>
      <c r="D5724" s="1" t="str">
        <f>IFERROR(__xludf.DUMMYFUNCTION("GOOGLETRANSLATE(B5724,""en"",""pt-br"")"),"negativo")</f>
        <v>negativo</v>
      </c>
    </row>
    <row r="5725" ht="15.75" customHeight="1">
      <c r="A5725" s="2" t="s">
        <v>5722</v>
      </c>
      <c r="B5725" s="2" t="s">
        <v>3</v>
      </c>
      <c r="C5725" s="1" t="str">
        <f>IFERROR(__xludf.DUMMYFUNCTION("GOOGLETRANSLATE(A5725,""en"",""pt-br"")"),"rigidez")</f>
        <v>rigidez</v>
      </c>
      <c r="D5725" s="1" t="str">
        <f>IFERROR(__xludf.DUMMYFUNCTION("GOOGLETRANSLATE(B5725,""en"",""pt-br"")"),"negativo")</f>
        <v>negativo</v>
      </c>
    </row>
    <row r="5726" ht="15.75" customHeight="1">
      <c r="A5726" s="2" t="s">
        <v>5723</v>
      </c>
      <c r="B5726" s="2" t="s">
        <v>3</v>
      </c>
      <c r="C5726" s="1" t="str">
        <f>IFERROR(__xludf.DUMMYFUNCTION("GOOGLETRANSLATE(A5726,""en"",""pt-br"")"),"joelho")</f>
        <v>joelho</v>
      </c>
      <c r="D5726" s="1" t="str">
        <f>IFERROR(__xludf.DUMMYFUNCTION("GOOGLETRANSLATE(B5726,""en"",""pt-br"")"),"negativo")</f>
        <v>negativo</v>
      </c>
    </row>
    <row r="5727" ht="15.75" customHeight="1">
      <c r="A5727" s="2" t="s">
        <v>5724</v>
      </c>
      <c r="B5727" s="2" t="s">
        <v>3</v>
      </c>
      <c r="C5727" s="1" t="str">
        <f>IFERROR(__xludf.DUMMYFUNCTION("GOOGLETRANSLATE(A5727,""en"",""pt-br"")"),"sufocante")</f>
        <v>sufocante</v>
      </c>
      <c r="D5727" s="1" t="str">
        <f>IFERROR(__xludf.DUMMYFUNCTION("GOOGLETRANSLATE(B5727,""en"",""pt-br"")"),"negativo")</f>
        <v>negativo</v>
      </c>
    </row>
    <row r="5728" ht="15.75" customHeight="1">
      <c r="A5728" s="2" t="s">
        <v>5725</v>
      </c>
      <c r="B5728" s="2" t="s">
        <v>3</v>
      </c>
      <c r="C5728" s="1" t="str">
        <f>IFERROR(__xludf.DUMMYFUNCTION("GOOGLETRANSLATE(A5728,""en"",""pt-br"")"),"stiflingly")</f>
        <v>stiflingly</v>
      </c>
      <c r="D5728" s="1" t="str">
        <f>IFERROR(__xludf.DUMMYFUNCTION("GOOGLETRANSLATE(B5728,""en"",""pt-br"")"),"negativo")</f>
        <v>negativo</v>
      </c>
    </row>
    <row r="5729" ht="15.75" customHeight="1">
      <c r="A5729" s="2" t="s">
        <v>5726</v>
      </c>
      <c r="B5729" s="2" t="s">
        <v>3</v>
      </c>
      <c r="C5729" s="1" t="str">
        <f>IFERROR(__xludf.DUMMYFUNCTION("GOOGLETRANSLATE(A5729,""en"",""pt-br"")"),"estigma")</f>
        <v>estigma</v>
      </c>
      <c r="D5729" s="1" t="str">
        <f>IFERROR(__xludf.DUMMYFUNCTION("GOOGLETRANSLATE(B5729,""en"",""pt-br"")"),"negativo")</f>
        <v>negativo</v>
      </c>
    </row>
    <row r="5730" ht="15.75" customHeight="1">
      <c r="A5730" s="2" t="s">
        <v>5727</v>
      </c>
      <c r="B5730" s="2" t="s">
        <v>3</v>
      </c>
      <c r="C5730" s="1" t="str">
        <f>IFERROR(__xludf.DUMMYFUNCTION("GOOGLETRANSLATE(A5730,""en"",""pt-br"")"),"estigmatizar")</f>
        <v>estigmatizar</v>
      </c>
      <c r="D5730" s="1" t="str">
        <f>IFERROR(__xludf.DUMMYFUNCTION("GOOGLETRANSLATE(B5730,""en"",""pt-br"")"),"negativo")</f>
        <v>negativo</v>
      </c>
    </row>
    <row r="5731" ht="15.75" customHeight="1">
      <c r="A5731" s="2" t="s">
        <v>5728</v>
      </c>
      <c r="B5731" s="2" t="s">
        <v>14</v>
      </c>
      <c r="C5731" s="1" t="str">
        <f>IFERROR(__xludf.DUMMYFUNCTION("GOOGLETRANSLATE(A5731,""en"",""pt-br"")"),"estimular")</f>
        <v>estimular</v>
      </c>
      <c r="D5731" s="1" t="str">
        <f>IFERROR(__xludf.DUMMYFUNCTION("GOOGLETRANSLATE(B5731,""en"",""pt-br"")"),"positivo")</f>
        <v>positivo</v>
      </c>
    </row>
    <row r="5732" ht="15.75" customHeight="1">
      <c r="A5732" s="2" t="s">
        <v>5729</v>
      </c>
      <c r="B5732" s="2" t="s">
        <v>14</v>
      </c>
      <c r="C5732" s="1" t="str">
        <f>IFERROR(__xludf.DUMMYFUNCTION("GOOGLETRANSLATE(A5732,""en"",""pt-br"")"),"estimula")</f>
        <v>estimula</v>
      </c>
      <c r="D5732" s="1" t="str">
        <f>IFERROR(__xludf.DUMMYFUNCTION("GOOGLETRANSLATE(B5732,""en"",""pt-br"")"),"positivo")</f>
        <v>positivo</v>
      </c>
    </row>
    <row r="5733" ht="15.75" customHeight="1">
      <c r="A5733" s="2" t="s">
        <v>5730</v>
      </c>
      <c r="B5733" s="2" t="s">
        <v>14</v>
      </c>
      <c r="C5733" s="1" t="str">
        <f>IFERROR(__xludf.DUMMYFUNCTION("GOOGLETRANSLATE(A5733,""en"",""pt-br"")"),"estimulante")</f>
        <v>estimulante</v>
      </c>
      <c r="D5733" s="1" t="str">
        <f>IFERROR(__xludf.DUMMYFUNCTION("GOOGLETRANSLATE(B5733,""en"",""pt-br"")"),"positivo")</f>
        <v>positivo</v>
      </c>
    </row>
    <row r="5734" ht="15.75" customHeight="1">
      <c r="A5734" s="2" t="s">
        <v>5731</v>
      </c>
      <c r="B5734" s="2" t="s">
        <v>14</v>
      </c>
      <c r="C5734" s="1" t="str">
        <f>IFERROR(__xludf.DUMMYFUNCTION("GOOGLETRANSLATE(A5734,""en"",""pt-br"")"),"stimulative")</f>
        <v>stimulative</v>
      </c>
      <c r="D5734" s="1" t="str">
        <f>IFERROR(__xludf.DUMMYFUNCTION("GOOGLETRANSLATE(B5734,""en"",""pt-br"")"),"positivo")</f>
        <v>positivo</v>
      </c>
    </row>
    <row r="5735" ht="15.75" customHeight="1">
      <c r="A5735" s="2" t="s">
        <v>5732</v>
      </c>
      <c r="B5735" s="2" t="s">
        <v>3</v>
      </c>
      <c r="C5735" s="1" t="str">
        <f>IFERROR(__xludf.DUMMYFUNCTION("GOOGLETRANSLATE(A5735,""en"",""pt-br"")"),"picada")</f>
        <v>picada</v>
      </c>
      <c r="D5735" s="1" t="str">
        <f>IFERROR(__xludf.DUMMYFUNCTION("GOOGLETRANSLATE(B5735,""en"",""pt-br"")"),"negativo")</f>
        <v>negativo</v>
      </c>
    </row>
    <row r="5736" ht="15.75" customHeight="1">
      <c r="A5736" s="2" t="s">
        <v>5733</v>
      </c>
      <c r="B5736" s="2" t="s">
        <v>3</v>
      </c>
      <c r="C5736" s="1" t="str">
        <f>IFERROR(__xludf.DUMMYFUNCTION("GOOGLETRANSLATE(A5736,""en"",""pt-br"")"),"pungente")</f>
        <v>pungente</v>
      </c>
      <c r="D5736" s="1" t="str">
        <f>IFERROR(__xludf.DUMMYFUNCTION("GOOGLETRANSLATE(B5736,""en"",""pt-br"")"),"negativo")</f>
        <v>negativo</v>
      </c>
    </row>
    <row r="5737" ht="15.75" customHeight="1">
      <c r="A5737" s="2" t="s">
        <v>5734</v>
      </c>
      <c r="B5737" s="2" t="s">
        <v>3</v>
      </c>
      <c r="C5737" s="1" t="str">
        <f>IFERROR(__xludf.DUMMYFUNCTION("GOOGLETRANSLATE(A5737,""en"",""pt-br"")"),"stingingly")</f>
        <v>stingingly</v>
      </c>
      <c r="D5737" s="1" t="str">
        <f>IFERROR(__xludf.DUMMYFUNCTION("GOOGLETRANSLATE(B5737,""en"",""pt-br"")"),"negativo")</f>
        <v>negativo</v>
      </c>
    </row>
    <row r="5738" ht="15.75" customHeight="1">
      <c r="A5738" s="2" t="s">
        <v>5735</v>
      </c>
      <c r="B5738" s="2" t="s">
        <v>3</v>
      </c>
      <c r="C5738" s="1" t="str">
        <f>IFERROR(__xludf.DUMMYFUNCTION("GOOGLETRANSLATE(A5738,""en"",""pt-br"")"),"mesquinho")</f>
        <v>mesquinho</v>
      </c>
      <c r="D5738" s="1" t="str">
        <f>IFERROR(__xludf.DUMMYFUNCTION("GOOGLETRANSLATE(B5738,""en"",""pt-br"")"),"negativo")</f>
        <v>negativo</v>
      </c>
    </row>
    <row r="5739" ht="15.75" customHeight="1">
      <c r="A5739" s="2" t="s">
        <v>5736</v>
      </c>
      <c r="B5739" s="2" t="s">
        <v>3</v>
      </c>
      <c r="C5739" s="1" t="str">
        <f>IFERROR(__xludf.DUMMYFUNCTION("GOOGLETRANSLATE(A5739,""en"",""pt-br"")"),"fedor")</f>
        <v>fedor</v>
      </c>
      <c r="D5739" s="1" t="str">
        <f>IFERROR(__xludf.DUMMYFUNCTION("GOOGLETRANSLATE(B5739,""en"",""pt-br"")"),"negativo")</f>
        <v>negativo</v>
      </c>
    </row>
    <row r="5740" ht="15.75" customHeight="1">
      <c r="A5740" s="2" t="s">
        <v>5737</v>
      </c>
      <c r="B5740" s="2" t="s">
        <v>3</v>
      </c>
      <c r="C5740" s="1" t="str">
        <f>IFERROR(__xludf.DUMMYFUNCTION("GOOGLETRANSLATE(A5740,""en"",""pt-br"")"),"cheira mal")</f>
        <v>cheira mal</v>
      </c>
      <c r="D5740" s="1" t="str">
        <f>IFERROR(__xludf.DUMMYFUNCTION("GOOGLETRANSLATE(B5740,""en"",""pt-br"")"),"negativo")</f>
        <v>negativo</v>
      </c>
    </row>
    <row r="5741" ht="15.75" customHeight="1">
      <c r="A5741" s="2" t="s">
        <v>5738</v>
      </c>
      <c r="B5741" s="2" t="s">
        <v>14</v>
      </c>
      <c r="C5741" s="1" t="str">
        <f>IFERROR(__xludf.DUMMYFUNCTION("GOOGLETRANSLATE(A5741,""en"",""pt-br"")"),"convincentemente")</f>
        <v>convincentemente</v>
      </c>
      <c r="D5741" s="1" t="str">
        <f>IFERROR(__xludf.DUMMYFUNCTION("GOOGLETRANSLATE(B5741,""en"",""pt-br"")"),"positivo")</f>
        <v>positivo</v>
      </c>
    </row>
    <row r="5742" ht="15.75" customHeight="1">
      <c r="A5742" s="2" t="s">
        <v>5739</v>
      </c>
      <c r="B5742" s="2" t="s">
        <v>3</v>
      </c>
      <c r="C5742" s="1" t="str">
        <f>IFERROR(__xludf.DUMMYFUNCTION("GOOGLETRANSLATE(A5742,""en"",""pt-br"")"),"indigesto")</f>
        <v>indigesto</v>
      </c>
      <c r="D5742" s="1" t="str">
        <f>IFERROR(__xludf.DUMMYFUNCTION("GOOGLETRANSLATE(B5742,""en"",""pt-br"")"),"negativo")</f>
        <v>negativo</v>
      </c>
    </row>
    <row r="5743" ht="15.75" customHeight="1">
      <c r="A5743" s="2" t="s">
        <v>5740</v>
      </c>
      <c r="B5743" s="2" t="s">
        <v>3</v>
      </c>
      <c r="C5743" s="1" t="str">
        <f>IFERROR(__xludf.DUMMYFUNCTION("GOOGLETRANSLATE(A5743,""en"",""pt-br"")"),"roubou")</f>
        <v>roubou</v>
      </c>
      <c r="D5743" s="1" t="str">
        <f>IFERROR(__xludf.DUMMYFUNCTION("GOOGLETRANSLATE(B5743,""en"",""pt-br"")"),"negativo")</f>
        <v>negativo</v>
      </c>
    </row>
    <row r="5744" ht="15.75" customHeight="1">
      <c r="A5744" s="2" t="s">
        <v>5741</v>
      </c>
      <c r="B5744" s="2" t="s">
        <v>3</v>
      </c>
      <c r="C5744" s="1" t="str">
        <f>IFERROR(__xludf.DUMMYFUNCTION("GOOGLETRANSLATE(A5744,""en"",""pt-br"")"),"roubado")</f>
        <v>roubado</v>
      </c>
      <c r="D5744" s="1" t="str">
        <f>IFERROR(__xludf.DUMMYFUNCTION("GOOGLETRANSLATE(B5744,""en"",""pt-br"")"),"negativo")</f>
        <v>negativo</v>
      </c>
    </row>
    <row r="5745" ht="15.75" customHeight="1">
      <c r="A5745" s="2" t="s">
        <v>5742</v>
      </c>
      <c r="B5745" s="2" t="s">
        <v>3</v>
      </c>
      <c r="C5745" s="1" t="str">
        <f>IFERROR(__xludf.DUMMYFUNCTION("GOOGLETRANSLATE(A5745,""en"",""pt-br"")"),"fantoche")</f>
        <v>fantoche</v>
      </c>
      <c r="D5745" s="1" t="str">
        <f>IFERROR(__xludf.DUMMYFUNCTION("GOOGLETRANSLATE(B5745,""en"",""pt-br"")"),"negativo")</f>
        <v>negativo</v>
      </c>
    </row>
    <row r="5746" ht="15.75" customHeight="1">
      <c r="A5746" s="2" t="s">
        <v>5743</v>
      </c>
      <c r="B5746" s="2" t="s">
        <v>3</v>
      </c>
      <c r="C5746" s="1" t="str">
        <f>IFERROR(__xludf.DUMMYFUNCTION("GOOGLETRANSLATE(A5746,""en"",""pt-br"")"),"Stooges")</f>
        <v>Stooges</v>
      </c>
      <c r="D5746" s="1" t="str">
        <f>IFERROR(__xludf.DUMMYFUNCTION("GOOGLETRANSLATE(B5746,""en"",""pt-br"")"),"negativo")</f>
        <v>negativo</v>
      </c>
    </row>
    <row r="5747" ht="15.75" customHeight="1">
      <c r="A5747" s="2" t="s">
        <v>5744</v>
      </c>
      <c r="B5747" s="2" t="s">
        <v>3</v>
      </c>
      <c r="C5747" s="1" t="str">
        <f>IFERROR(__xludf.DUMMYFUNCTION("GOOGLETRANSLATE(A5747,""en"",""pt-br"")"),"tormentoso")</f>
        <v>tormentoso</v>
      </c>
      <c r="D5747" s="1" t="str">
        <f>IFERROR(__xludf.DUMMYFUNCTION("GOOGLETRANSLATE(B5747,""en"",""pt-br"")"),"negativo")</f>
        <v>negativo</v>
      </c>
    </row>
    <row r="5748" ht="15.75" customHeight="1">
      <c r="A5748" s="2" t="s">
        <v>5745</v>
      </c>
      <c r="B5748" s="2" t="s">
        <v>3</v>
      </c>
      <c r="C5748" s="1" t="str">
        <f>IFERROR(__xludf.DUMMYFUNCTION("GOOGLETRANSLATE(A5748,""en"",""pt-br"")"),"perder-se")</f>
        <v>perder-se</v>
      </c>
      <c r="D5748" s="1" t="str">
        <f>IFERROR(__xludf.DUMMYFUNCTION("GOOGLETRANSLATE(B5748,""en"",""pt-br"")"),"negativo")</f>
        <v>negativo</v>
      </c>
    </row>
    <row r="5749" ht="15.75" customHeight="1">
      <c r="A5749" s="2" t="s">
        <v>5746</v>
      </c>
      <c r="B5749" s="2" t="s">
        <v>3</v>
      </c>
      <c r="C5749" s="1" t="str">
        <f>IFERROR(__xludf.DUMMYFUNCTION("GOOGLETRANSLATE(A5749,""en"",""pt-br"")"),"straggler")</f>
        <v>straggler</v>
      </c>
      <c r="D5749" s="1" t="str">
        <f>IFERROR(__xludf.DUMMYFUNCTION("GOOGLETRANSLATE(B5749,""en"",""pt-br"")"),"negativo")</f>
        <v>negativo</v>
      </c>
    </row>
    <row r="5750" ht="15.75" customHeight="1">
      <c r="A5750" s="2" t="s">
        <v>5747</v>
      </c>
      <c r="B5750" s="2" t="s">
        <v>14</v>
      </c>
      <c r="C5750" s="1" t="str">
        <f>IFERROR(__xludf.DUMMYFUNCTION("GOOGLETRANSLATE(A5750,""en"",""pt-br"")"),"endireitar")</f>
        <v>endireitar</v>
      </c>
      <c r="D5750" s="1" t="str">
        <f>IFERROR(__xludf.DUMMYFUNCTION("GOOGLETRANSLATE(B5750,""en"",""pt-br"")"),"positivo")</f>
        <v>positivo</v>
      </c>
    </row>
    <row r="5751" ht="15.75" customHeight="1">
      <c r="A5751" s="2" t="s">
        <v>5748</v>
      </c>
      <c r="B5751" s="2" t="s">
        <v>14</v>
      </c>
      <c r="C5751" s="1" t="str">
        <f>IFERROR(__xludf.DUMMYFUNCTION("GOOGLETRANSLATE(A5751,""en"",""pt-br"")"),"direto")</f>
        <v>direto</v>
      </c>
      <c r="D5751" s="1" t="str">
        <f>IFERROR(__xludf.DUMMYFUNCTION("GOOGLETRANSLATE(B5751,""en"",""pt-br"")"),"positivo")</f>
        <v>positivo</v>
      </c>
    </row>
    <row r="5752" ht="15.75" customHeight="1">
      <c r="A5752" s="2" t="s">
        <v>5749</v>
      </c>
      <c r="B5752" s="2" t="s">
        <v>3</v>
      </c>
      <c r="C5752" s="1" t="str">
        <f>IFERROR(__xludf.DUMMYFUNCTION("GOOGLETRANSLATE(A5752,""en"",""pt-br"")"),"tensão")</f>
        <v>tensão</v>
      </c>
      <c r="D5752" s="1" t="str">
        <f>IFERROR(__xludf.DUMMYFUNCTION("GOOGLETRANSLATE(B5752,""en"",""pt-br"")"),"negativo")</f>
        <v>negativo</v>
      </c>
    </row>
    <row r="5753" ht="15.75" customHeight="1">
      <c r="A5753" s="2" t="s">
        <v>5750</v>
      </c>
      <c r="B5753" s="2" t="s">
        <v>3</v>
      </c>
      <c r="C5753" s="1" t="str">
        <f>IFERROR(__xludf.DUMMYFUNCTION("GOOGLETRANSLATE(A5753,""en"",""pt-br"")"),"tensas")</f>
        <v>tensas</v>
      </c>
      <c r="D5753" s="1" t="str">
        <f>IFERROR(__xludf.DUMMYFUNCTION("GOOGLETRANSLATE(B5753,""en"",""pt-br"")"),"negativo")</f>
        <v>negativo</v>
      </c>
    </row>
    <row r="5754" ht="15.75" customHeight="1">
      <c r="A5754" s="2" t="s">
        <v>5751</v>
      </c>
      <c r="B5754" s="2" t="s">
        <v>3</v>
      </c>
      <c r="C5754" s="1" t="str">
        <f>IFERROR(__xludf.DUMMYFUNCTION("GOOGLETRANSLATE(A5754,""en"",""pt-br"")"),"esforço")</f>
        <v>esforço</v>
      </c>
      <c r="D5754" s="1" t="str">
        <f>IFERROR(__xludf.DUMMYFUNCTION("GOOGLETRANSLATE(B5754,""en"",""pt-br"")"),"negativo")</f>
        <v>negativo</v>
      </c>
    </row>
    <row r="5755" ht="15.75" customHeight="1">
      <c r="A5755" s="2" t="s">
        <v>5752</v>
      </c>
      <c r="B5755" s="2" t="s">
        <v>3</v>
      </c>
      <c r="C5755" s="1" t="str">
        <f>IFERROR(__xludf.DUMMYFUNCTION("GOOGLETRANSLATE(A5755,""en"",""pt-br"")"),"estranho")</f>
        <v>estranho</v>
      </c>
      <c r="D5755" s="1" t="str">
        <f>IFERROR(__xludf.DUMMYFUNCTION("GOOGLETRANSLATE(B5755,""en"",""pt-br"")"),"negativo")</f>
        <v>negativo</v>
      </c>
    </row>
    <row r="5756" ht="15.75" customHeight="1">
      <c r="A5756" s="2" t="s">
        <v>5753</v>
      </c>
      <c r="B5756" s="2" t="s">
        <v>3</v>
      </c>
      <c r="C5756" s="1" t="str">
        <f>IFERROR(__xludf.DUMMYFUNCTION("GOOGLETRANSLATE(A5756,""en"",""pt-br"")"),"estranhamente")</f>
        <v>estranhamente</v>
      </c>
      <c r="D5756" s="1" t="str">
        <f>IFERROR(__xludf.DUMMYFUNCTION("GOOGLETRANSLATE(B5756,""en"",""pt-br"")"),"negativo")</f>
        <v>negativo</v>
      </c>
    </row>
    <row r="5757" ht="15.75" customHeight="1">
      <c r="A5757" s="2" t="s">
        <v>5754</v>
      </c>
      <c r="B5757" s="2" t="s">
        <v>3</v>
      </c>
      <c r="C5757" s="1" t="str">
        <f>IFERROR(__xludf.DUMMYFUNCTION("GOOGLETRANSLATE(A5757,""en"",""pt-br"")"),"desconhecido")</f>
        <v>desconhecido</v>
      </c>
      <c r="D5757" s="1" t="str">
        <f>IFERROR(__xludf.DUMMYFUNCTION("GOOGLETRANSLATE(B5757,""en"",""pt-br"")"),"negativo")</f>
        <v>negativo</v>
      </c>
    </row>
    <row r="5758" ht="15.75" customHeight="1">
      <c r="A5758" s="2" t="s">
        <v>5755</v>
      </c>
      <c r="B5758" s="2" t="s">
        <v>3</v>
      </c>
      <c r="C5758" s="1" t="str">
        <f>IFERROR(__xludf.DUMMYFUNCTION("GOOGLETRANSLATE(A5758,""en"",""pt-br"")"),"estranho")</f>
        <v>estranho</v>
      </c>
      <c r="D5758" s="1" t="str">
        <f>IFERROR(__xludf.DUMMYFUNCTION("GOOGLETRANSLATE(B5758,""en"",""pt-br"")"),"negativo")</f>
        <v>negativo</v>
      </c>
    </row>
    <row r="5759" ht="15.75" customHeight="1">
      <c r="A5759" s="2" t="s">
        <v>5756</v>
      </c>
      <c r="B5759" s="2" t="s">
        <v>3</v>
      </c>
      <c r="C5759" s="1" t="str">
        <f>IFERROR(__xludf.DUMMYFUNCTION("GOOGLETRANSLATE(A5759,""en"",""pt-br"")"),"estrangular")</f>
        <v>estrangular</v>
      </c>
      <c r="D5759" s="1" t="str">
        <f>IFERROR(__xludf.DUMMYFUNCTION("GOOGLETRANSLATE(B5759,""en"",""pt-br"")"),"negativo")</f>
        <v>negativo</v>
      </c>
    </row>
    <row r="5760" ht="15.75" customHeight="1">
      <c r="A5760" s="2" t="s">
        <v>5757</v>
      </c>
      <c r="B5760" s="2" t="s">
        <v>3</v>
      </c>
      <c r="C5760" s="1" t="str">
        <f>IFERROR(__xludf.DUMMYFUNCTION("GOOGLETRANSLATE(A5760,""en"",""pt-br"")"),"entremeado")</f>
        <v>entremeado</v>
      </c>
      <c r="D5760" s="1" t="str">
        <f>IFERROR(__xludf.DUMMYFUNCTION("GOOGLETRANSLATE(B5760,""en"",""pt-br"")"),"negativo")</f>
        <v>negativo</v>
      </c>
    </row>
    <row r="5761" ht="15.75" customHeight="1">
      <c r="A5761" s="2" t="s">
        <v>5758</v>
      </c>
      <c r="B5761" s="2" t="s">
        <v>14</v>
      </c>
      <c r="C5761" s="1" t="str">
        <f>IFERROR(__xludf.DUMMYFUNCTION("GOOGLETRANSLATE(A5761,""en"",""pt-br"")"),"racionalizado")</f>
        <v>racionalizado</v>
      </c>
      <c r="D5761" s="1" t="str">
        <f>IFERROR(__xludf.DUMMYFUNCTION("GOOGLETRANSLATE(B5761,""en"",""pt-br"")"),"positivo")</f>
        <v>positivo</v>
      </c>
    </row>
    <row r="5762" ht="15.75" customHeight="1">
      <c r="A5762" s="2" t="s">
        <v>5759</v>
      </c>
      <c r="B5762" s="2" t="s">
        <v>3</v>
      </c>
      <c r="C5762" s="1" t="str">
        <f>IFERROR(__xludf.DUMMYFUNCTION("GOOGLETRANSLATE(A5762,""en"",""pt-br"")"),"vigoroso")</f>
        <v>vigoroso</v>
      </c>
      <c r="D5762" s="1" t="str">
        <f>IFERROR(__xludf.DUMMYFUNCTION("GOOGLETRANSLATE(B5762,""en"",""pt-br"")"),"negativo")</f>
        <v>negativo</v>
      </c>
    </row>
    <row r="5763" ht="15.75" customHeight="1">
      <c r="A5763" s="2" t="s">
        <v>5760</v>
      </c>
      <c r="B5763" s="2" t="s">
        <v>3</v>
      </c>
      <c r="C5763" s="1" t="str">
        <f>IFERROR(__xludf.DUMMYFUNCTION("GOOGLETRANSLATE(A5763,""en"",""pt-br"")"),"estresse")</f>
        <v>estresse</v>
      </c>
      <c r="D5763" s="1" t="str">
        <f>IFERROR(__xludf.DUMMYFUNCTION("GOOGLETRANSLATE(B5763,""en"",""pt-br"")"),"negativo")</f>
        <v>negativo</v>
      </c>
    </row>
    <row r="5764" ht="15.75" customHeight="1">
      <c r="A5764" s="2" t="s">
        <v>5761</v>
      </c>
      <c r="B5764" s="2" t="s">
        <v>3</v>
      </c>
      <c r="C5764" s="1" t="str">
        <f>IFERROR(__xludf.DUMMYFUNCTION("GOOGLETRANSLATE(A5764,""en"",""pt-br"")"),"stresses")</f>
        <v>stresses</v>
      </c>
      <c r="D5764" s="1" t="str">
        <f>IFERROR(__xludf.DUMMYFUNCTION("GOOGLETRANSLATE(B5764,""en"",""pt-br"")"),"negativo")</f>
        <v>negativo</v>
      </c>
    </row>
    <row r="5765" ht="15.75" customHeight="1">
      <c r="A5765" s="2" t="s">
        <v>5762</v>
      </c>
      <c r="B5765" s="2" t="s">
        <v>3</v>
      </c>
      <c r="C5765" s="1" t="str">
        <f>IFERROR(__xludf.DUMMYFUNCTION("GOOGLETRANSLATE(A5765,""en"",""pt-br"")"),"estressante")</f>
        <v>estressante</v>
      </c>
      <c r="D5765" s="1" t="str">
        <f>IFERROR(__xludf.DUMMYFUNCTION("GOOGLETRANSLATE(B5765,""en"",""pt-br"")"),"negativo")</f>
        <v>negativo</v>
      </c>
    </row>
    <row r="5766" ht="15.75" customHeight="1">
      <c r="A5766" s="2" t="s">
        <v>5763</v>
      </c>
      <c r="B5766" s="2" t="s">
        <v>3</v>
      </c>
      <c r="C5766" s="1" t="str">
        <f>IFERROR(__xludf.DUMMYFUNCTION("GOOGLETRANSLATE(A5766,""en"",""pt-br"")"),"stressfully")</f>
        <v>stressfully</v>
      </c>
      <c r="D5766" s="1" t="str">
        <f>IFERROR(__xludf.DUMMYFUNCTION("GOOGLETRANSLATE(B5766,""en"",""pt-br"")"),"negativo")</f>
        <v>negativo</v>
      </c>
    </row>
    <row r="5767" ht="15.75" customHeight="1">
      <c r="A5767" s="2" t="s">
        <v>5764</v>
      </c>
      <c r="B5767" s="2" t="s">
        <v>3</v>
      </c>
      <c r="C5767" s="1" t="str">
        <f>IFERROR(__xludf.DUMMYFUNCTION("GOOGLETRANSLATE(A5767,""en"",""pt-br"")"),"acometido")</f>
        <v>acometido</v>
      </c>
      <c r="D5767" s="1" t="str">
        <f>IFERROR(__xludf.DUMMYFUNCTION("GOOGLETRANSLATE(B5767,""en"",""pt-br"")"),"negativo")</f>
        <v>negativo</v>
      </c>
    </row>
    <row r="5768" ht="15.75" customHeight="1">
      <c r="A5768" s="2" t="s">
        <v>5765</v>
      </c>
      <c r="B5768" s="2" t="s">
        <v>3</v>
      </c>
      <c r="C5768" s="1" t="str">
        <f>IFERROR(__xludf.DUMMYFUNCTION("GOOGLETRANSLATE(A5768,""en"",""pt-br"")"),"rigoroso")</f>
        <v>rigoroso</v>
      </c>
      <c r="D5768" s="1" t="str">
        <f>IFERROR(__xludf.DUMMYFUNCTION("GOOGLETRANSLATE(B5768,""en"",""pt-br"")"),"negativo")</f>
        <v>negativo</v>
      </c>
    </row>
    <row r="5769" ht="15.75" customHeight="1">
      <c r="A5769" s="2" t="s">
        <v>5766</v>
      </c>
      <c r="B5769" s="2" t="s">
        <v>3</v>
      </c>
      <c r="C5769" s="1" t="str">
        <f>IFERROR(__xludf.DUMMYFUNCTION("GOOGLETRANSLATE(A5769,""en"",""pt-br"")"),"estritamente")</f>
        <v>estritamente</v>
      </c>
      <c r="D5769" s="1" t="str">
        <f>IFERROR(__xludf.DUMMYFUNCTION("GOOGLETRANSLATE(B5769,""en"",""pt-br"")"),"negativo")</f>
        <v>negativo</v>
      </c>
    </row>
    <row r="5770" ht="15.75" customHeight="1">
      <c r="A5770" s="2" t="s">
        <v>5767</v>
      </c>
      <c r="B5770" s="2" t="s">
        <v>3</v>
      </c>
      <c r="C5770" s="1" t="str">
        <f>IFERROR(__xludf.DUMMYFUNCTION("GOOGLETRANSLATE(A5770,""en"",""pt-br"")"),"estridente")</f>
        <v>estridente</v>
      </c>
      <c r="D5770" s="1" t="str">
        <f>IFERROR(__xludf.DUMMYFUNCTION("GOOGLETRANSLATE(B5770,""en"",""pt-br"")"),"negativo")</f>
        <v>negativo</v>
      </c>
    </row>
    <row r="5771" ht="15.75" customHeight="1">
      <c r="A5771" s="2" t="s">
        <v>5768</v>
      </c>
      <c r="B5771" s="2" t="s">
        <v>3</v>
      </c>
      <c r="C5771" s="1" t="str">
        <f>IFERROR(__xludf.DUMMYFUNCTION("GOOGLETRANSLATE(A5771,""en"",""pt-br"")"),"estridentemente")</f>
        <v>estridentemente</v>
      </c>
      <c r="D5771" s="1" t="str">
        <f>IFERROR(__xludf.DUMMYFUNCTION("GOOGLETRANSLATE(B5771,""en"",""pt-br"")"),"negativo")</f>
        <v>negativo</v>
      </c>
    </row>
    <row r="5772" ht="15.75" customHeight="1">
      <c r="A5772" s="2" t="s">
        <v>5769</v>
      </c>
      <c r="B5772" s="2" t="s">
        <v>3</v>
      </c>
      <c r="C5772" s="1" t="str">
        <f>IFERROR(__xludf.DUMMYFUNCTION("GOOGLETRANSLATE(A5772,""en"",""pt-br"")"),"contenda")</f>
        <v>contenda</v>
      </c>
      <c r="D5772" s="1" t="str">
        <f>IFERROR(__xludf.DUMMYFUNCTION("GOOGLETRANSLATE(B5772,""en"",""pt-br"")"),"negativo")</f>
        <v>negativo</v>
      </c>
    </row>
    <row r="5773" ht="15.75" customHeight="1">
      <c r="A5773" s="2" t="s">
        <v>5770</v>
      </c>
      <c r="B5773" s="2" t="s">
        <v>3</v>
      </c>
      <c r="C5773" s="1" t="str">
        <f>IFERROR(__xludf.DUMMYFUNCTION("GOOGLETRANSLATE(A5773,""en"",""pt-br"")"),"greve")</f>
        <v>greve</v>
      </c>
      <c r="D5773" s="1" t="str">
        <f>IFERROR(__xludf.DUMMYFUNCTION("GOOGLETRANSLATE(B5773,""en"",""pt-br"")"),"negativo")</f>
        <v>negativo</v>
      </c>
    </row>
    <row r="5774" ht="15.75" customHeight="1">
      <c r="A5774" s="2" t="s">
        <v>5771</v>
      </c>
      <c r="B5774" s="2" t="s">
        <v>14</v>
      </c>
      <c r="C5774" s="1" t="str">
        <f>IFERROR(__xludf.DUMMYFUNCTION("GOOGLETRANSLATE(A5774,""en"",""pt-br"")"),"impressionante")</f>
        <v>impressionante</v>
      </c>
      <c r="D5774" s="1" t="str">
        <f>IFERROR(__xludf.DUMMYFUNCTION("GOOGLETRANSLATE(B5774,""en"",""pt-br"")"),"positivo")</f>
        <v>positivo</v>
      </c>
    </row>
    <row r="5775" ht="15.75" customHeight="1">
      <c r="A5775" s="2" t="s">
        <v>5772</v>
      </c>
      <c r="B5775" s="2" t="s">
        <v>14</v>
      </c>
      <c r="C5775" s="1" t="str">
        <f>IFERROR(__xludf.DUMMYFUNCTION("GOOGLETRANSLATE(A5775,""en"",""pt-br"")"),"contundentemente")</f>
        <v>contundentemente</v>
      </c>
      <c r="D5775" s="1" t="str">
        <f>IFERROR(__xludf.DUMMYFUNCTION("GOOGLETRANSLATE(B5775,""en"",""pt-br"")"),"positivo")</f>
        <v>positivo</v>
      </c>
    </row>
    <row r="5776" ht="15.75" customHeight="1">
      <c r="A5776" s="2" t="s">
        <v>5773</v>
      </c>
      <c r="B5776" s="2" t="s">
        <v>3</v>
      </c>
      <c r="C5776" s="1" t="str">
        <f>IFERROR(__xludf.DUMMYFUNCTION("GOOGLETRANSLATE(A5776,""en"",""pt-br"")"),"rigoroso")</f>
        <v>rigoroso</v>
      </c>
      <c r="D5776" s="1" t="str">
        <f>IFERROR(__xludf.DUMMYFUNCTION("GOOGLETRANSLATE(B5776,""en"",""pt-br"")"),"negativo")</f>
        <v>negativo</v>
      </c>
    </row>
    <row r="5777" ht="15.75" customHeight="1">
      <c r="A5777" s="2" t="s">
        <v>5774</v>
      </c>
      <c r="B5777" s="2" t="s">
        <v>3</v>
      </c>
      <c r="C5777" s="1" t="str">
        <f>IFERROR(__xludf.DUMMYFUNCTION("GOOGLETRANSLATE(A5777,""en"",""pt-br"")"),"rigorosamente")</f>
        <v>rigorosamente</v>
      </c>
      <c r="D5777" s="1" t="str">
        <f>IFERROR(__xludf.DUMMYFUNCTION("GOOGLETRANSLATE(B5777,""en"",""pt-br"")"),"negativo")</f>
        <v>negativo</v>
      </c>
    </row>
    <row r="5778" ht="15.75" customHeight="1">
      <c r="A5778" s="2" t="s">
        <v>5775</v>
      </c>
      <c r="B5778" s="2" t="s">
        <v>14</v>
      </c>
      <c r="C5778" s="1" t="str">
        <f>IFERROR(__xludf.DUMMYFUNCTION("GOOGLETRANSLATE(A5778,""en"",""pt-br"")"),"esforço")</f>
        <v>esforço</v>
      </c>
      <c r="D5778" s="1" t="str">
        <f>IFERROR(__xludf.DUMMYFUNCTION("GOOGLETRANSLATE(B5778,""en"",""pt-br"")"),"positivo")</f>
        <v>positivo</v>
      </c>
    </row>
    <row r="5779" ht="15.75" customHeight="1">
      <c r="A5779" s="2" t="s">
        <v>5776</v>
      </c>
      <c r="B5779" s="2" t="s">
        <v>14</v>
      </c>
      <c r="C5779" s="1" t="str">
        <f>IFERROR(__xludf.DUMMYFUNCTION("GOOGLETRANSLATE(A5779,""en"",""pt-br"")"),"Forte")</f>
        <v>Forte</v>
      </c>
      <c r="D5779" s="1" t="str">
        <f>IFERROR(__xludf.DUMMYFUNCTION("GOOGLETRANSLATE(B5779,""en"",""pt-br"")"),"positivo")</f>
        <v>positivo</v>
      </c>
    </row>
    <row r="5780" ht="15.75" customHeight="1">
      <c r="A5780" s="2" t="s">
        <v>5777</v>
      </c>
      <c r="B5780" s="2" t="s">
        <v>14</v>
      </c>
      <c r="C5780" s="1" t="str">
        <f>IFERROR(__xludf.DUMMYFUNCTION("GOOGLETRANSLATE(A5780,""en"",""pt-br"")"),"mais forte")</f>
        <v>mais forte</v>
      </c>
      <c r="D5780" s="1" t="str">
        <f>IFERROR(__xludf.DUMMYFUNCTION("GOOGLETRANSLATE(B5780,""en"",""pt-br"")"),"positivo")</f>
        <v>positivo</v>
      </c>
    </row>
    <row r="5781" ht="15.75" customHeight="1">
      <c r="A5781" s="2" t="s">
        <v>5778</v>
      </c>
      <c r="B5781" s="2" t="s">
        <v>14</v>
      </c>
      <c r="C5781" s="1" t="str">
        <f>IFERROR(__xludf.DUMMYFUNCTION("GOOGLETRANSLATE(A5781,""en"",""pt-br"")"),"mais forte")</f>
        <v>mais forte</v>
      </c>
      <c r="D5781" s="1" t="str">
        <f>IFERROR(__xludf.DUMMYFUNCTION("GOOGLETRANSLATE(B5781,""en"",""pt-br"")"),"positivo")</f>
        <v>positivo</v>
      </c>
    </row>
    <row r="5782" ht="15.75" customHeight="1">
      <c r="A5782" s="2" t="s">
        <v>5779</v>
      </c>
      <c r="B5782" s="2" t="s">
        <v>3</v>
      </c>
      <c r="C5782" s="1" t="str">
        <f>IFERROR(__xludf.DUMMYFUNCTION("GOOGLETRANSLATE(A5782,""en"",""pt-br"")"),"golpeado")</f>
        <v>golpeado</v>
      </c>
      <c r="D5782" s="1" t="str">
        <f>IFERROR(__xludf.DUMMYFUNCTION("GOOGLETRANSLATE(B5782,""en"",""pt-br"")"),"negativo")</f>
        <v>negativo</v>
      </c>
    </row>
    <row r="5783" ht="15.75" customHeight="1">
      <c r="A5783" s="2" t="s">
        <v>5780</v>
      </c>
      <c r="B5783" s="2" t="s">
        <v>3</v>
      </c>
      <c r="C5783" s="1" t="str">
        <f>IFERROR(__xludf.DUMMYFUNCTION("GOOGLETRANSLATE(A5783,""en"",""pt-br"")"),"luta")</f>
        <v>luta</v>
      </c>
      <c r="D5783" s="1" t="str">
        <f>IFERROR(__xludf.DUMMYFUNCTION("GOOGLETRANSLATE(B5783,""en"",""pt-br"")"),"negativo")</f>
        <v>negativo</v>
      </c>
    </row>
    <row r="5784" ht="15.75" customHeight="1">
      <c r="A5784" s="2" t="s">
        <v>5781</v>
      </c>
      <c r="B5784" s="2" t="s">
        <v>3</v>
      </c>
      <c r="C5784" s="1" t="str">
        <f>IFERROR(__xludf.DUMMYFUNCTION("GOOGLETRANSLATE(A5784,""en"",""pt-br"")"),"lutava")</f>
        <v>lutava</v>
      </c>
      <c r="D5784" s="1" t="str">
        <f>IFERROR(__xludf.DUMMYFUNCTION("GOOGLETRANSLATE(B5784,""en"",""pt-br"")"),"negativo")</f>
        <v>negativo</v>
      </c>
    </row>
    <row r="5785" ht="15.75" customHeight="1">
      <c r="A5785" s="2" t="s">
        <v>5782</v>
      </c>
      <c r="B5785" s="2" t="s">
        <v>3</v>
      </c>
      <c r="C5785" s="1" t="str">
        <f>IFERROR(__xludf.DUMMYFUNCTION("GOOGLETRANSLATE(A5785,""en"",""pt-br"")"),"lutas")</f>
        <v>lutas</v>
      </c>
      <c r="D5785" s="1" t="str">
        <f>IFERROR(__xludf.DUMMYFUNCTION("GOOGLETRANSLATE(B5785,""en"",""pt-br"")"),"negativo")</f>
        <v>negativo</v>
      </c>
    </row>
    <row r="5786" ht="15.75" customHeight="1">
      <c r="A5786" s="2" t="s">
        <v>5783</v>
      </c>
      <c r="B5786" s="2" t="s">
        <v>3</v>
      </c>
      <c r="C5786" s="1" t="str">
        <f>IFERROR(__xludf.DUMMYFUNCTION("GOOGLETRANSLATE(A5786,""en"",""pt-br"")"),"lutando")</f>
        <v>lutando</v>
      </c>
      <c r="D5786" s="1" t="str">
        <f>IFERROR(__xludf.DUMMYFUNCTION("GOOGLETRANSLATE(B5786,""en"",""pt-br"")"),"negativo")</f>
        <v>negativo</v>
      </c>
    </row>
    <row r="5787" ht="15.75" customHeight="1">
      <c r="A5787" s="2" t="s">
        <v>5784</v>
      </c>
      <c r="B5787" s="2" t="s">
        <v>3</v>
      </c>
      <c r="C5787" s="1" t="str">
        <f>IFERROR(__xludf.DUMMYFUNCTION("GOOGLETRANSLATE(A5787,""en"",""pt-br"")"),"suporte")</f>
        <v>suporte</v>
      </c>
      <c r="D5787" s="1" t="str">
        <f>IFERROR(__xludf.DUMMYFUNCTION("GOOGLETRANSLATE(B5787,""en"",""pt-br"")"),"negativo")</f>
        <v>negativo</v>
      </c>
    </row>
    <row r="5788" ht="15.75" customHeight="1">
      <c r="A5788" s="2" t="s">
        <v>5785</v>
      </c>
      <c r="B5788" s="2" t="s">
        <v>3</v>
      </c>
      <c r="C5788" s="1" t="str">
        <f>IFERROR(__xludf.DUMMYFUNCTION("GOOGLETRANSLATE(A5788,""en"",""pt-br"")"),"teimoso")</f>
        <v>teimoso</v>
      </c>
      <c r="D5788" s="1" t="str">
        <f>IFERROR(__xludf.DUMMYFUNCTION("GOOGLETRANSLATE(B5788,""en"",""pt-br"")"),"negativo")</f>
        <v>negativo</v>
      </c>
    </row>
    <row r="5789" ht="15.75" customHeight="1">
      <c r="A5789" s="2" t="s">
        <v>5786</v>
      </c>
      <c r="B5789" s="2" t="s">
        <v>3</v>
      </c>
      <c r="C5789" s="1" t="str">
        <f>IFERROR(__xludf.DUMMYFUNCTION("GOOGLETRANSLATE(A5789,""en"",""pt-br"")"),"Teimosamente")</f>
        <v>Teimosamente</v>
      </c>
      <c r="D5789" s="1" t="str">
        <f>IFERROR(__xludf.DUMMYFUNCTION("GOOGLETRANSLATE(B5789,""en"",""pt-br"")"),"negativo")</f>
        <v>negativo</v>
      </c>
    </row>
    <row r="5790" ht="15.75" customHeight="1">
      <c r="A5790" s="2" t="s">
        <v>5787</v>
      </c>
      <c r="B5790" s="2" t="s">
        <v>3</v>
      </c>
      <c r="C5790" s="1" t="str">
        <f>IFERROR(__xludf.DUMMYFUNCTION("GOOGLETRANSLATE(A5790,""en"",""pt-br"")"),"teimosia")</f>
        <v>teimosia</v>
      </c>
      <c r="D5790" s="1" t="str">
        <f>IFERROR(__xludf.DUMMYFUNCTION("GOOGLETRANSLATE(B5790,""en"",""pt-br"")"),"negativo")</f>
        <v>negativo</v>
      </c>
    </row>
    <row r="5791" ht="15.75" customHeight="1">
      <c r="A5791" s="2" t="s">
        <v>5788</v>
      </c>
      <c r="B5791" s="2" t="s">
        <v>3</v>
      </c>
      <c r="C5791" s="1" t="str">
        <f>IFERROR(__xludf.DUMMYFUNCTION("GOOGLETRANSLATE(A5791,""en"",""pt-br"")"),"preso")</f>
        <v>preso</v>
      </c>
      <c r="D5791" s="1" t="str">
        <f>IFERROR(__xludf.DUMMYFUNCTION("GOOGLETRANSLATE(B5791,""en"",""pt-br"")"),"negativo")</f>
        <v>negativo</v>
      </c>
    </row>
    <row r="5792" ht="15.75" customHeight="1">
      <c r="A5792" s="2" t="s">
        <v>5789</v>
      </c>
      <c r="B5792" s="2" t="s">
        <v>3</v>
      </c>
      <c r="C5792" s="1" t="str">
        <f>IFERROR(__xludf.DUMMYFUNCTION("GOOGLETRANSLATE(A5792,""en"",""pt-br"")"),"abafado")</f>
        <v>abafado</v>
      </c>
      <c r="D5792" s="1" t="str">
        <f>IFERROR(__xludf.DUMMYFUNCTION("GOOGLETRANSLATE(B5792,""en"",""pt-br"")"),"negativo")</f>
        <v>negativo</v>
      </c>
    </row>
    <row r="5793" ht="15.75" customHeight="1">
      <c r="A5793" s="2" t="s">
        <v>5790</v>
      </c>
      <c r="B5793" s="2" t="s">
        <v>3</v>
      </c>
      <c r="C5793" s="1" t="str">
        <f>IFERROR(__xludf.DUMMYFUNCTION("GOOGLETRANSLATE(A5793,""en"",""pt-br"")"),"tropeçar")</f>
        <v>tropeçar</v>
      </c>
      <c r="D5793" s="1" t="str">
        <f>IFERROR(__xludf.DUMMYFUNCTION("GOOGLETRANSLATE(B5793,""en"",""pt-br"")"),"negativo")</f>
        <v>negativo</v>
      </c>
    </row>
    <row r="5794" ht="15.75" customHeight="1">
      <c r="A5794" s="2" t="s">
        <v>5791</v>
      </c>
      <c r="B5794" s="2" t="s">
        <v>3</v>
      </c>
      <c r="C5794" s="1" t="str">
        <f>IFERROR(__xludf.DUMMYFUNCTION("GOOGLETRANSLATE(A5794,""en"",""pt-br"")"),"Tropeçamos")</f>
        <v>Tropeçamos</v>
      </c>
      <c r="D5794" s="1" t="str">
        <f>IFERROR(__xludf.DUMMYFUNCTION("GOOGLETRANSLATE(B5794,""en"",""pt-br"")"),"negativo")</f>
        <v>negativo</v>
      </c>
    </row>
    <row r="5795" ht="15.75" customHeight="1">
      <c r="A5795" s="2" t="s">
        <v>5792</v>
      </c>
      <c r="B5795" s="2" t="s">
        <v>3</v>
      </c>
      <c r="C5795" s="1" t="str">
        <f>IFERROR(__xludf.DUMMYFUNCTION("GOOGLETRANSLATE(A5795,""en"",""pt-br"")"),"tropeça")</f>
        <v>tropeça</v>
      </c>
      <c r="D5795" s="1" t="str">
        <f>IFERROR(__xludf.DUMMYFUNCTION("GOOGLETRANSLATE(B5795,""en"",""pt-br"")"),"negativo")</f>
        <v>negativo</v>
      </c>
    </row>
    <row r="5796" ht="15.75" customHeight="1">
      <c r="A5796" s="2" t="s">
        <v>5793</v>
      </c>
      <c r="B5796" s="2" t="s">
        <v>3</v>
      </c>
      <c r="C5796" s="1" t="str">
        <f>IFERROR(__xludf.DUMMYFUNCTION("GOOGLETRANSLATE(A5796,""en"",""pt-br"")"),"toco")</f>
        <v>toco</v>
      </c>
      <c r="D5796" s="1" t="str">
        <f>IFERROR(__xludf.DUMMYFUNCTION("GOOGLETRANSLATE(B5796,""en"",""pt-br"")"),"negativo")</f>
        <v>negativo</v>
      </c>
    </row>
    <row r="5797" ht="15.75" customHeight="1">
      <c r="A5797" s="2" t="s">
        <v>5794</v>
      </c>
      <c r="B5797" s="2" t="s">
        <v>3</v>
      </c>
      <c r="C5797" s="1" t="str">
        <f>IFERROR(__xludf.DUMMYFUNCTION("GOOGLETRANSLATE(A5797,""en"",""pt-br"")"),"perplexo")</f>
        <v>perplexo</v>
      </c>
      <c r="D5797" s="1" t="str">
        <f>IFERROR(__xludf.DUMMYFUNCTION("GOOGLETRANSLATE(B5797,""en"",""pt-br"")"),"negativo")</f>
        <v>negativo</v>
      </c>
    </row>
    <row r="5798" ht="15.75" customHeight="1">
      <c r="A5798" s="2" t="s">
        <v>5795</v>
      </c>
      <c r="B5798" s="2" t="s">
        <v>3</v>
      </c>
      <c r="C5798" s="1" t="str">
        <f>IFERROR(__xludf.DUMMYFUNCTION("GOOGLETRANSLATE(A5798,""en"",""pt-br"")"),"tocos")</f>
        <v>tocos</v>
      </c>
      <c r="D5798" s="1" t="str">
        <f>IFERROR(__xludf.DUMMYFUNCTION("GOOGLETRANSLATE(B5798,""en"",""pt-br"")"),"negativo")</f>
        <v>negativo</v>
      </c>
    </row>
    <row r="5799" ht="15.75" customHeight="1">
      <c r="A5799" s="2" t="s">
        <v>5796</v>
      </c>
      <c r="B5799" s="2" t="s">
        <v>3</v>
      </c>
      <c r="C5799" s="1" t="str">
        <f>IFERROR(__xludf.DUMMYFUNCTION("GOOGLETRANSLATE(A5799,""en"",""pt-br"")"),"atordoar")</f>
        <v>atordoar</v>
      </c>
      <c r="D5799" s="1" t="str">
        <f>IFERROR(__xludf.DUMMYFUNCTION("GOOGLETRANSLATE(B5799,""en"",""pt-br"")"),"negativo")</f>
        <v>negativo</v>
      </c>
    </row>
    <row r="5800" ht="15.75" customHeight="1">
      <c r="A5800" s="2" t="s">
        <v>5797</v>
      </c>
      <c r="B5800" s="2" t="s">
        <v>14</v>
      </c>
      <c r="C5800" s="1" t="str">
        <f>IFERROR(__xludf.DUMMYFUNCTION("GOOGLETRANSLATE(A5800,""en"",""pt-br"")"),"atordoado")</f>
        <v>atordoado</v>
      </c>
      <c r="D5800" s="1" t="str">
        <f>IFERROR(__xludf.DUMMYFUNCTION("GOOGLETRANSLATE(B5800,""en"",""pt-br"")"),"positivo")</f>
        <v>positivo</v>
      </c>
    </row>
    <row r="5801" ht="15.75" customHeight="1">
      <c r="A5801" s="2" t="s">
        <v>5798</v>
      </c>
      <c r="B5801" s="2" t="s">
        <v>14</v>
      </c>
      <c r="C5801" s="1" t="str">
        <f>IFERROR(__xludf.DUMMYFUNCTION("GOOGLETRANSLATE(A5801,""en"",""pt-br"")"),"stunning")</f>
        <v>stunning</v>
      </c>
      <c r="D5801" s="1" t="str">
        <f>IFERROR(__xludf.DUMMYFUNCTION("GOOGLETRANSLATE(B5801,""en"",""pt-br"")"),"positivo")</f>
        <v>positivo</v>
      </c>
    </row>
    <row r="5802" ht="15.75" customHeight="1">
      <c r="A5802" s="2" t="s">
        <v>5799</v>
      </c>
      <c r="B5802" s="2" t="s">
        <v>14</v>
      </c>
      <c r="C5802" s="1" t="str">
        <f>IFERROR(__xludf.DUMMYFUNCTION("GOOGLETRANSLATE(A5802,""en"",""pt-br"")"),"incrivelmente")</f>
        <v>incrivelmente</v>
      </c>
      <c r="D5802" s="1" t="str">
        <f>IFERROR(__xludf.DUMMYFUNCTION("GOOGLETRANSLATE(B5802,""en"",""pt-br"")"),"positivo")</f>
        <v>positivo</v>
      </c>
    </row>
    <row r="5803" ht="15.75" customHeight="1">
      <c r="A5803" s="2" t="s">
        <v>5800</v>
      </c>
      <c r="B5803" s="2" t="s">
        <v>3</v>
      </c>
      <c r="C5803" s="1" t="str">
        <f>IFERROR(__xludf.DUMMYFUNCTION("GOOGLETRANSLATE(A5803,""en"",""pt-br"")"),"façanha")</f>
        <v>façanha</v>
      </c>
      <c r="D5803" s="1" t="str">
        <f>IFERROR(__xludf.DUMMYFUNCTION("GOOGLETRANSLATE(B5803,""en"",""pt-br"")"),"negativo")</f>
        <v>negativo</v>
      </c>
    </row>
    <row r="5804" ht="15.75" customHeight="1">
      <c r="A5804" s="2" t="s">
        <v>5801</v>
      </c>
      <c r="B5804" s="2" t="s">
        <v>3</v>
      </c>
      <c r="C5804" s="1" t="str">
        <f>IFERROR(__xludf.DUMMYFUNCTION("GOOGLETRANSLATE(A5804,""en"",""pt-br"")"),"atrofiado")</f>
        <v>atrofiado</v>
      </c>
      <c r="D5804" s="1" t="str">
        <f>IFERROR(__xludf.DUMMYFUNCTION("GOOGLETRANSLATE(B5804,""en"",""pt-br"")"),"negativo")</f>
        <v>negativo</v>
      </c>
    </row>
    <row r="5805" ht="15.75" customHeight="1">
      <c r="A5805" s="2" t="s">
        <v>5802</v>
      </c>
      <c r="B5805" s="2" t="s">
        <v>14</v>
      </c>
      <c r="C5805" s="1" t="str">
        <f>IFERROR(__xludf.DUMMYFUNCTION("GOOGLETRANSLATE(A5805,""en"",""pt-br"")"),"estupendo")</f>
        <v>estupendo</v>
      </c>
      <c r="D5805" s="1" t="str">
        <f>IFERROR(__xludf.DUMMYFUNCTION("GOOGLETRANSLATE(B5805,""en"",""pt-br"")"),"positivo")</f>
        <v>positivo</v>
      </c>
    </row>
    <row r="5806" ht="15.75" customHeight="1">
      <c r="A5806" s="2" t="s">
        <v>5803</v>
      </c>
      <c r="B5806" s="2" t="s">
        <v>14</v>
      </c>
      <c r="C5806" s="1" t="str">
        <f>IFERROR(__xludf.DUMMYFUNCTION("GOOGLETRANSLATE(A5806,""en"",""pt-br"")"),"stupendously")</f>
        <v>stupendously</v>
      </c>
      <c r="D5806" s="1" t="str">
        <f>IFERROR(__xludf.DUMMYFUNCTION("GOOGLETRANSLATE(B5806,""en"",""pt-br"")"),"positivo")</f>
        <v>positivo</v>
      </c>
    </row>
    <row r="5807" ht="15.75" customHeight="1">
      <c r="A5807" s="2" t="s">
        <v>5804</v>
      </c>
      <c r="B5807" s="2" t="s">
        <v>3</v>
      </c>
      <c r="C5807" s="1" t="str">
        <f>IFERROR(__xludf.DUMMYFUNCTION("GOOGLETRANSLATE(A5807,""en"",""pt-br"")"),"estúpido")</f>
        <v>estúpido</v>
      </c>
      <c r="D5807" s="1" t="str">
        <f>IFERROR(__xludf.DUMMYFUNCTION("GOOGLETRANSLATE(B5807,""en"",""pt-br"")"),"negativo")</f>
        <v>negativo</v>
      </c>
    </row>
    <row r="5808" ht="15.75" customHeight="1">
      <c r="A5808" s="2" t="s">
        <v>5805</v>
      </c>
      <c r="B5808" s="2" t="s">
        <v>3</v>
      </c>
      <c r="C5808" s="1" t="str">
        <f>IFERROR(__xludf.DUMMYFUNCTION("GOOGLETRANSLATE(A5808,""en"",""pt-br"")"),"estúpida")</f>
        <v>estúpida</v>
      </c>
      <c r="D5808" s="1" t="str">
        <f>IFERROR(__xludf.DUMMYFUNCTION("GOOGLETRANSLATE(B5808,""en"",""pt-br"")"),"negativo")</f>
        <v>negativo</v>
      </c>
    </row>
    <row r="5809" ht="15.75" customHeight="1">
      <c r="A5809" s="2" t="s">
        <v>5806</v>
      </c>
      <c r="B5809" s="2" t="s">
        <v>3</v>
      </c>
      <c r="C5809" s="1" t="str">
        <f>IFERROR(__xludf.DUMMYFUNCTION("GOOGLETRANSLATE(A5809,""en"",""pt-br"")"),"estupidez")</f>
        <v>estupidez</v>
      </c>
      <c r="D5809" s="1" t="str">
        <f>IFERROR(__xludf.DUMMYFUNCTION("GOOGLETRANSLATE(B5809,""en"",""pt-br"")"),"negativo")</f>
        <v>negativo</v>
      </c>
    </row>
    <row r="5810" ht="15.75" customHeight="1">
      <c r="A5810" s="2" t="s">
        <v>5807</v>
      </c>
      <c r="B5810" s="2" t="s">
        <v>3</v>
      </c>
      <c r="C5810" s="1" t="str">
        <f>IFERROR(__xludf.DUMMYFUNCTION("GOOGLETRANSLATE(A5810,""en"",""pt-br"")"),"estupidamente")</f>
        <v>estupidamente</v>
      </c>
      <c r="D5810" s="1" t="str">
        <f>IFERROR(__xludf.DUMMYFUNCTION("GOOGLETRANSLATE(B5810,""en"",""pt-br"")"),"negativo")</f>
        <v>negativo</v>
      </c>
    </row>
    <row r="5811" ht="15.75" customHeight="1">
      <c r="A5811" s="2" t="s">
        <v>5808</v>
      </c>
      <c r="B5811" s="2" t="s">
        <v>3</v>
      </c>
      <c r="C5811" s="1" t="str">
        <f>IFERROR(__xludf.DUMMYFUNCTION("GOOGLETRANSLATE(A5811,""en"",""pt-br"")"),"stupified")</f>
        <v>stupified</v>
      </c>
      <c r="D5811" s="1" t="str">
        <f>IFERROR(__xludf.DUMMYFUNCTION("GOOGLETRANSLATE(B5811,""en"",""pt-br"")"),"negativo")</f>
        <v>negativo</v>
      </c>
    </row>
    <row r="5812" ht="15.75" customHeight="1">
      <c r="A5812" s="2" t="s">
        <v>5809</v>
      </c>
      <c r="B5812" s="2" t="s">
        <v>3</v>
      </c>
      <c r="C5812" s="1" t="str">
        <f>IFERROR(__xludf.DUMMYFUNCTION("GOOGLETRANSLATE(A5812,""en"",""pt-br"")"),"Stupify")</f>
        <v>Stupify</v>
      </c>
      <c r="D5812" s="1" t="str">
        <f>IFERROR(__xludf.DUMMYFUNCTION("GOOGLETRANSLATE(B5812,""en"",""pt-br"")"),"negativo")</f>
        <v>negativo</v>
      </c>
    </row>
    <row r="5813" ht="15.75" customHeight="1">
      <c r="A5813" s="2" t="s">
        <v>5810</v>
      </c>
      <c r="B5813" s="2" t="s">
        <v>3</v>
      </c>
      <c r="C5813" s="1" t="str">
        <f>IFERROR(__xludf.DUMMYFUNCTION("GOOGLETRANSLATE(A5813,""en"",""pt-br"")"),"estupor")</f>
        <v>estupor</v>
      </c>
      <c r="D5813" s="1" t="str">
        <f>IFERROR(__xludf.DUMMYFUNCTION("GOOGLETRANSLATE(B5813,""en"",""pt-br"")"),"negativo")</f>
        <v>negativo</v>
      </c>
    </row>
    <row r="5814" ht="15.75" customHeight="1">
      <c r="A5814" s="2" t="s">
        <v>5811</v>
      </c>
      <c r="B5814" s="2" t="s">
        <v>14</v>
      </c>
      <c r="C5814" s="1" t="str">
        <f>IFERROR(__xludf.DUMMYFUNCTION("GOOGLETRANSLATE(A5814,""en"",""pt-br"")"),"mais resistente")</f>
        <v>mais resistente</v>
      </c>
      <c r="D5814" s="1" t="str">
        <f>IFERROR(__xludf.DUMMYFUNCTION("GOOGLETRANSLATE(B5814,""en"",""pt-br"")"),"positivo")</f>
        <v>positivo</v>
      </c>
    </row>
    <row r="5815" ht="15.75" customHeight="1">
      <c r="A5815" s="2" t="s">
        <v>5812</v>
      </c>
      <c r="B5815" s="2" t="s">
        <v>14</v>
      </c>
      <c r="C5815" s="1" t="str">
        <f>IFERROR(__xludf.DUMMYFUNCTION("GOOGLETRANSLATE(A5815,""en"",""pt-br"")"),"robusto")</f>
        <v>robusto</v>
      </c>
      <c r="D5815" s="1" t="str">
        <f>IFERROR(__xludf.DUMMYFUNCTION("GOOGLETRANSLATE(B5815,""en"",""pt-br"")"),"positivo")</f>
        <v>positivo</v>
      </c>
    </row>
    <row r="5816" ht="15.75" customHeight="1">
      <c r="A5816" s="2" t="s">
        <v>5813</v>
      </c>
      <c r="B5816" s="2" t="s">
        <v>3</v>
      </c>
      <c r="C5816" s="1" t="str">
        <f>IFERROR(__xludf.DUMMYFUNCTION("GOOGLETRANSLATE(A5816,""en"",""pt-br"")"),"gaguejar")</f>
        <v>gaguejar</v>
      </c>
      <c r="D5816" s="1" t="str">
        <f>IFERROR(__xludf.DUMMYFUNCTION("GOOGLETRANSLATE(B5816,""en"",""pt-br"")"),"negativo")</f>
        <v>negativo</v>
      </c>
    </row>
    <row r="5817" ht="15.75" customHeight="1">
      <c r="A5817" s="2" t="s">
        <v>5814</v>
      </c>
      <c r="B5817" s="2" t="s">
        <v>3</v>
      </c>
      <c r="C5817" s="1" t="str">
        <f>IFERROR(__xludf.DUMMYFUNCTION("GOOGLETRANSLATE(A5817,""en"",""pt-br"")"),"gagas")</f>
        <v>gagas</v>
      </c>
      <c r="D5817" s="1" t="str">
        <f>IFERROR(__xludf.DUMMYFUNCTION("GOOGLETRANSLATE(B5817,""en"",""pt-br"")"),"negativo")</f>
        <v>negativo</v>
      </c>
    </row>
    <row r="5818" ht="15.75" customHeight="1">
      <c r="A5818" s="2" t="s">
        <v>5815</v>
      </c>
      <c r="B5818" s="2" t="s">
        <v>3</v>
      </c>
      <c r="C5818" s="1" t="str">
        <f>IFERROR(__xludf.DUMMYFUNCTION("GOOGLETRANSLATE(A5818,""en"",""pt-br"")"),"engasgando")</f>
        <v>engasgando</v>
      </c>
      <c r="D5818" s="1" t="str">
        <f>IFERROR(__xludf.DUMMYFUNCTION("GOOGLETRANSLATE(B5818,""en"",""pt-br"")"),"negativo")</f>
        <v>negativo</v>
      </c>
    </row>
    <row r="5819" ht="15.75" customHeight="1">
      <c r="A5819" s="2" t="s">
        <v>5816</v>
      </c>
      <c r="B5819" s="2" t="s">
        <v>3</v>
      </c>
      <c r="C5819" s="1" t="str">
        <f>IFERROR(__xludf.DUMMYFUNCTION("GOOGLETRANSLATE(A5819,""en"",""pt-br"")"),"gagueja")</f>
        <v>gagueja</v>
      </c>
      <c r="D5819" s="1" t="str">
        <f>IFERROR(__xludf.DUMMYFUNCTION("GOOGLETRANSLATE(B5819,""en"",""pt-br"")"),"negativo")</f>
        <v>negativo</v>
      </c>
    </row>
    <row r="5820" ht="15.75" customHeight="1">
      <c r="A5820" s="2" t="s">
        <v>5817</v>
      </c>
      <c r="B5820" s="2" t="s">
        <v>3</v>
      </c>
      <c r="C5820" s="1" t="str">
        <f>IFERROR(__xludf.DUMMYFUNCTION("GOOGLETRANSLATE(A5820,""en"",""pt-br"")"),"chiqueiro")</f>
        <v>chiqueiro</v>
      </c>
      <c r="D5820" s="1" t="str">
        <f>IFERROR(__xludf.DUMMYFUNCTION("GOOGLETRANSLATE(B5820,""en"",""pt-br"")"),"negativo")</f>
        <v>negativo</v>
      </c>
    </row>
    <row r="5821" ht="15.75" customHeight="1">
      <c r="A5821" s="2" t="s">
        <v>5818</v>
      </c>
      <c r="B5821" s="2" t="s">
        <v>14</v>
      </c>
      <c r="C5821" s="1" t="str">
        <f>IFERROR(__xludf.DUMMYFUNCTION("GOOGLETRANSLATE(A5821,""en"",""pt-br"")"),"à moda")</f>
        <v>à moda</v>
      </c>
      <c r="D5821" s="1" t="str">
        <f>IFERROR(__xludf.DUMMYFUNCTION("GOOGLETRANSLATE(B5821,""en"",""pt-br"")"),"positivo")</f>
        <v>positivo</v>
      </c>
    </row>
    <row r="5822" ht="15.75" customHeight="1">
      <c r="A5822" s="2" t="s">
        <v>5819</v>
      </c>
      <c r="B5822" s="2" t="s">
        <v>14</v>
      </c>
      <c r="C5822" s="1" t="str">
        <f>IFERROR(__xludf.DUMMYFUNCTION("GOOGLETRANSLATE(A5822,""en"",""pt-br"")"),"elegantemente")</f>
        <v>elegantemente</v>
      </c>
      <c r="D5822" s="1" t="str">
        <f>IFERROR(__xludf.DUMMYFUNCTION("GOOGLETRANSLATE(B5822,""en"",""pt-br"")"),"positivo")</f>
        <v>positivo</v>
      </c>
    </row>
    <row r="5823" ht="15.75" customHeight="1">
      <c r="A5823" s="2" t="s">
        <v>5820</v>
      </c>
      <c r="B5823" s="2" t="s">
        <v>14</v>
      </c>
      <c r="C5823" s="1" t="str">
        <f>IFERROR(__xludf.DUMMYFUNCTION("GOOGLETRANSLATE(A5823,""en"",""pt-br"")"),"estilizado")</f>
        <v>estilizado</v>
      </c>
      <c r="D5823" s="1" t="str">
        <f>IFERROR(__xludf.DUMMYFUNCTION("GOOGLETRANSLATE(B5823,""en"",""pt-br"")"),"positivo")</f>
        <v>positivo</v>
      </c>
    </row>
    <row r="5824" ht="15.75" customHeight="1">
      <c r="A5824" s="2" t="s">
        <v>5821</v>
      </c>
      <c r="B5824" s="2" t="s">
        <v>3</v>
      </c>
      <c r="C5824" s="1" t="str">
        <f>IFERROR(__xludf.DUMMYFUNCTION("GOOGLETRANSLATE(A5824,""en"",""pt-br"")"),"bloqueado")</f>
        <v>bloqueado</v>
      </c>
      <c r="D5824" s="1" t="str">
        <f>IFERROR(__xludf.DUMMYFUNCTION("GOOGLETRANSLATE(B5824,""en"",""pt-br"")"),"negativo")</f>
        <v>negativo</v>
      </c>
    </row>
    <row r="5825" ht="15.75" customHeight="1">
      <c r="A5825" s="2" t="s">
        <v>5822</v>
      </c>
      <c r="B5825" s="2" t="s">
        <v>14</v>
      </c>
      <c r="C5825" s="1" t="str">
        <f>IFERROR(__xludf.DUMMYFUNCTION("GOOGLETRANSLATE(A5825,""en"",""pt-br"")"),"suave")</f>
        <v>suave</v>
      </c>
      <c r="D5825" s="1" t="str">
        <f>IFERROR(__xludf.DUMMYFUNCTION("GOOGLETRANSLATE(B5825,""en"",""pt-br"")"),"positivo")</f>
        <v>positivo</v>
      </c>
    </row>
    <row r="5826" ht="15.75" customHeight="1">
      <c r="A5826" s="2" t="s">
        <v>5823</v>
      </c>
      <c r="B5826" s="2" t="s">
        <v>14</v>
      </c>
      <c r="C5826" s="1" t="str">
        <f>IFERROR(__xludf.DUMMYFUNCTION("GOOGLETRANSLATE(A5826,""en"",""pt-br"")"),"suavely")</f>
        <v>suavely</v>
      </c>
      <c r="D5826" s="1" t="str">
        <f>IFERROR(__xludf.DUMMYFUNCTION("GOOGLETRANSLATE(B5826,""en"",""pt-br"")"),"positivo")</f>
        <v>positivo</v>
      </c>
    </row>
    <row r="5827" ht="15.75" customHeight="1">
      <c r="A5827" s="2" t="s">
        <v>5824</v>
      </c>
      <c r="B5827" s="2" t="s">
        <v>3</v>
      </c>
      <c r="C5827" s="1" t="str">
        <f>IFERROR(__xludf.DUMMYFUNCTION("GOOGLETRANSLATE(A5827,""en"",""pt-br"")"),"sub-par")</f>
        <v>sub-par</v>
      </c>
      <c r="D5827" s="1" t="str">
        <f>IFERROR(__xludf.DUMMYFUNCTION("GOOGLETRANSLATE(B5827,""en"",""pt-br"")"),"negativo")</f>
        <v>negativo</v>
      </c>
    </row>
    <row r="5828" ht="15.75" customHeight="1">
      <c r="A5828" s="2" t="s">
        <v>5825</v>
      </c>
      <c r="B5828" s="2" t="s">
        <v>3</v>
      </c>
      <c r="C5828" s="1" t="str">
        <f>IFERROR(__xludf.DUMMYFUNCTION("GOOGLETRANSLATE(A5828,""en"",""pt-br"")"),"subjugado")</f>
        <v>subjugado</v>
      </c>
      <c r="D5828" s="1" t="str">
        <f>IFERROR(__xludf.DUMMYFUNCTION("GOOGLETRANSLATE(B5828,""en"",""pt-br"")"),"negativo")</f>
        <v>negativo</v>
      </c>
    </row>
    <row r="5829" ht="15.75" customHeight="1">
      <c r="A5829" s="2" t="s">
        <v>5826</v>
      </c>
      <c r="B5829" s="2" t="s">
        <v>3</v>
      </c>
      <c r="C5829" s="1" t="str">
        <f>IFERROR(__xludf.DUMMYFUNCTION("GOOGLETRANSLATE(A5829,""en"",""pt-br"")"),"submetido")</f>
        <v>submetido</v>
      </c>
      <c r="D5829" s="1" t="str">
        <f>IFERROR(__xludf.DUMMYFUNCTION("GOOGLETRANSLATE(B5829,""en"",""pt-br"")"),"negativo")</f>
        <v>negativo</v>
      </c>
    </row>
    <row r="5830" ht="15.75" customHeight="1">
      <c r="A5830" s="2" t="s">
        <v>5827</v>
      </c>
      <c r="B5830" s="2" t="s">
        <v>3</v>
      </c>
      <c r="C5830" s="1" t="str">
        <f>IFERROR(__xludf.DUMMYFUNCTION("GOOGLETRANSLATE(A5830,""en"",""pt-br"")"),"sujeição")</f>
        <v>sujeição</v>
      </c>
      <c r="D5830" s="1" t="str">
        <f>IFERROR(__xludf.DUMMYFUNCTION("GOOGLETRANSLATE(B5830,""en"",""pt-br"")"),"negativo")</f>
        <v>negativo</v>
      </c>
    </row>
    <row r="5831" ht="15.75" customHeight="1">
      <c r="A5831" s="2" t="s">
        <v>5828</v>
      </c>
      <c r="B5831" s="2" t="s">
        <v>3</v>
      </c>
      <c r="C5831" s="1" t="str">
        <f>IFERROR(__xludf.DUMMYFUNCTION("GOOGLETRANSLATE(A5831,""en"",""pt-br"")"),"subjugar")</f>
        <v>subjugar</v>
      </c>
      <c r="D5831" s="1" t="str">
        <f>IFERROR(__xludf.DUMMYFUNCTION("GOOGLETRANSLATE(B5831,""en"",""pt-br"")"),"negativo")</f>
        <v>negativo</v>
      </c>
    </row>
    <row r="5832" ht="15.75" customHeight="1">
      <c r="A5832" s="2" t="s">
        <v>5829</v>
      </c>
      <c r="B5832" s="2" t="s">
        <v>3</v>
      </c>
      <c r="C5832" s="1" t="str">
        <f>IFERROR(__xludf.DUMMYFUNCTION("GOOGLETRANSLATE(A5832,""en"",""pt-br"")"),"subjugação")</f>
        <v>subjugação</v>
      </c>
      <c r="D5832" s="1" t="str">
        <f>IFERROR(__xludf.DUMMYFUNCTION("GOOGLETRANSLATE(B5832,""en"",""pt-br"")"),"negativo")</f>
        <v>negativo</v>
      </c>
    </row>
    <row r="5833" ht="15.75" customHeight="1">
      <c r="A5833" s="2" t="s">
        <v>5830</v>
      </c>
      <c r="B5833" s="2" t="s">
        <v>14</v>
      </c>
      <c r="C5833" s="1" t="str">
        <f>IFERROR(__xludf.DUMMYFUNCTION("GOOGLETRANSLATE(A5833,""en"",""pt-br"")"),"sublime")</f>
        <v>sublime</v>
      </c>
      <c r="D5833" s="1" t="str">
        <f>IFERROR(__xludf.DUMMYFUNCTION("GOOGLETRANSLATE(B5833,""en"",""pt-br"")"),"positivo")</f>
        <v>positivo</v>
      </c>
    </row>
    <row r="5834" ht="15.75" customHeight="1">
      <c r="A5834" s="2" t="s">
        <v>5831</v>
      </c>
      <c r="B5834" s="2" t="s">
        <v>3</v>
      </c>
      <c r="C5834" s="1" t="str">
        <f>IFERROR(__xludf.DUMMYFUNCTION("GOOGLETRANSLATE(A5834,""en"",""pt-br"")"),"submisso")</f>
        <v>submisso</v>
      </c>
      <c r="D5834" s="1" t="str">
        <f>IFERROR(__xludf.DUMMYFUNCTION("GOOGLETRANSLATE(B5834,""en"",""pt-br"")"),"negativo")</f>
        <v>negativo</v>
      </c>
    </row>
    <row r="5835" ht="15.75" customHeight="1">
      <c r="A5835" s="2" t="s">
        <v>5832</v>
      </c>
      <c r="B5835" s="2" t="s">
        <v>3</v>
      </c>
      <c r="C5835" s="1" t="str">
        <f>IFERROR(__xludf.DUMMYFUNCTION("GOOGLETRANSLATE(A5835,""en"",""pt-br"")"),"subordinar")</f>
        <v>subordinar</v>
      </c>
      <c r="D5835" s="1" t="str">
        <f>IFERROR(__xludf.DUMMYFUNCTION("GOOGLETRANSLATE(B5835,""en"",""pt-br"")"),"negativo")</f>
        <v>negativo</v>
      </c>
    </row>
    <row r="5836" ht="15.75" customHeight="1">
      <c r="A5836" s="2" t="s">
        <v>5833</v>
      </c>
      <c r="B5836" s="2" t="s">
        <v>3</v>
      </c>
      <c r="C5836" s="1" t="str">
        <f>IFERROR(__xludf.DUMMYFUNCTION("GOOGLETRANSLATE(A5836,""en"",""pt-br"")"),"intimação")</f>
        <v>intimação</v>
      </c>
      <c r="D5836" s="1" t="str">
        <f>IFERROR(__xludf.DUMMYFUNCTION("GOOGLETRANSLATE(B5836,""en"",""pt-br"")"),"negativo")</f>
        <v>negativo</v>
      </c>
    </row>
    <row r="5837" ht="15.75" customHeight="1">
      <c r="A5837" s="2" t="s">
        <v>5834</v>
      </c>
      <c r="B5837" s="2" t="s">
        <v>3</v>
      </c>
      <c r="C5837" s="1" t="str">
        <f>IFERROR(__xludf.DUMMYFUNCTION("GOOGLETRANSLATE(A5837,""en"",""pt-br"")"),"intimações")</f>
        <v>intimações</v>
      </c>
      <c r="D5837" s="1" t="str">
        <f>IFERROR(__xludf.DUMMYFUNCTION("GOOGLETRANSLATE(B5837,""en"",""pt-br"")"),"negativo")</f>
        <v>negativo</v>
      </c>
    </row>
    <row r="5838" ht="15.75" customHeight="1">
      <c r="A5838" s="2" t="s">
        <v>5835</v>
      </c>
      <c r="B5838" s="2" t="s">
        <v>3</v>
      </c>
      <c r="C5838" s="1" t="str">
        <f>IFERROR(__xludf.DUMMYFUNCTION("GOOGLETRANSLATE(A5838,""en"",""pt-br"")"),"subserviência")</f>
        <v>subserviência</v>
      </c>
      <c r="D5838" s="1" t="str">
        <f>IFERROR(__xludf.DUMMYFUNCTION("GOOGLETRANSLATE(B5838,""en"",""pt-br"")"),"negativo")</f>
        <v>negativo</v>
      </c>
    </row>
    <row r="5839" ht="15.75" customHeight="1">
      <c r="A5839" s="2" t="s">
        <v>5836</v>
      </c>
      <c r="B5839" s="2" t="s">
        <v>3</v>
      </c>
      <c r="C5839" s="1" t="str">
        <f>IFERROR(__xludf.DUMMYFUNCTION("GOOGLETRANSLATE(A5839,""en"",""pt-br"")"),"subserviente")</f>
        <v>subserviente</v>
      </c>
      <c r="D5839" s="1" t="str">
        <f>IFERROR(__xludf.DUMMYFUNCTION("GOOGLETRANSLATE(B5839,""en"",""pt-br"")"),"negativo")</f>
        <v>negativo</v>
      </c>
    </row>
    <row r="5840" ht="15.75" customHeight="1">
      <c r="A5840" s="2" t="s">
        <v>5837</v>
      </c>
      <c r="B5840" s="2" t="s">
        <v>14</v>
      </c>
      <c r="C5840" s="1" t="str">
        <f>IFERROR(__xludf.DUMMYFUNCTION("GOOGLETRANSLATE(A5840,""en"",""pt-br"")"),"subsidiar")</f>
        <v>subsidiar</v>
      </c>
      <c r="D5840" s="1" t="str">
        <f>IFERROR(__xludf.DUMMYFUNCTION("GOOGLETRANSLATE(B5840,""en"",""pt-br"")"),"positivo")</f>
        <v>positivo</v>
      </c>
    </row>
    <row r="5841" ht="15.75" customHeight="1">
      <c r="A5841" s="2" t="s">
        <v>5838</v>
      </c>
      <c r="B5841" s="2" t="s">
        <v>14</v>
      </c>
      <c r="C5841" s="1" t="str">
        <f>IFERROR(__xludf.DUMMYFUNCTION("GOOGLETRANSLATE(A5841,""en"",""pt-br"")"),"subvencionado")</f>
        <v>subvencionado</v>
      </c>
      <c r="D5841" s="1" t="str">
        <f>IFERROR(__xludf.DUMMYFUNCTION("GOOGLETRANSLATE(B5841,""en"",""pt-br"")"),"positivo")</f>
        <v>positivo</v>
      </c>
    </row>
    <row r="5842" ht="15.75" customHeight="1">
      <c r="A5842" s="2" t="s">
        <v>5839</v>
      </c>
      <c r="B5842" s="2" t="s">
        <v>14</v>
      </c>
      <c r="C5842" s="1" t="str">
        <f>IFERROR(__xludf.DUMMYFUNCTION("GOOGLETRANSLATE(A5842,""en"",""pt-br"")"),"subsidiação")</f>
        <v>subsidiação</v>
      </c>
      <c r="D5842" s="1" t="str">
        <f>IFERROR(__xludf.DUMMYFUNCTION("GOOGLETRANSLATE(B5842,""en"",""pt-br"")"),"positivo")</f>
        <v>positivo</v>
      </c>
    </row>
    <row r="5843" ht="15.75" customHeight="1">
      <c r="A5843" s="2" t="s">
        <v>5840</v>
      </c>
      <c r="B5843" s="2" t="s">
        <v>14</v>
      </c>
      <c r="C5843" s="1" t="str">
        <f>IFERROR(__xludf.DUMMYFUNCTION("GOOGLETRANSLATE(A5843,""en"",""pt-br"")"),"subsidiação")</f>
        <v>subsidiação</v>
      </c>
      <c r="D5843" s="1" t="str">
        <f>IFERROR(__xludf.DUMMYFUNCTION("GOOGLETRANSLATE(B5843,""en"",""pt-br"")"),"positivo")</f>
        <v>positivo</v>
      </c>
    </row>
    <row r="5844" ht="15.75" customHeight="1">
      <c r="A5844" s="2" t="s">
        <v>5841</v>
      </c>
      <c r="B5844" s="2" t="s">
        <v>3</v>
      </c>
      <c r="C5844" s="1" t="str">
        <f>IFERROR(__xludf.DUMMYFUNCTION("GOOGLETRANSLATE(A5844,""en"",""pt-br"")"),"substandard")</f>
        <v>substandard</v>
      </c>
      <c r="D5844" s="1" t="str">
        <f>IFERROR(__xludf.DUMMYFUNCTION("GOOGLETRANSLATE(B5844,""en"",""pt-br"")"),"negativo")</f>
        <v>negativo</v>
      </c>
    </row>
    <row r="5845" ht="15.75" customHeight="1">
      <c r="A5845" s="2" t="s">
        <v>5842</v>
      </c>
      <c r="B5845" s="2" t="s">
        <v>14</v>
      </c>
      <c r="C5845" s="1" t="str">
        <f>IFERROR(__xludf.DUMMYFUNCTION("GOOGLETRANSLATE(A5845,""en"",""pt-br"")"),"substantivo")</f>
        <v>substantivo</v>
      </c>
      <c r="D5845" s="1" t="str">
        <f>IFERROR(__xludf.DUMMYFUNCTION("GOOGLETRANSLATE(B5845,""en"",""pt-br"")"),"positivo")</f>
        <v>positivo</v>
      </c>
    </row>
    <row r="5846" ht="15.75" customHeight="1">
      <c r="A5846" s="2" t="s">
        <v>5843</v>
      </c>
      <c r="B5846" s="2" t="s">
        <v>3</v>
      </c>
      <c r="C5846" s="1" t="str">
        <f>IFERROR(__xludf.DUMMYFUNCTION("GOOGLETRANSLATE(A5846,""en"",""pt-br"")"),"subtrair")</f>
        <v>subtrair</v>
      </c>
      <c r="D5846" s="1" t="str">
        <f>IFERROR(__xludf.DUMMYFUNCTION("GOOGLETRANSLATE(B5846,""en"",""pt-br"")"),"negativo")</f>
        <v>negativo</v>
      </c>
    </row>
    <row r="5847" ht="15.75" customHeight="1">
      <c r="A5847" s="2" t="s">
        <v>5844</v>
      </c>
      <c r="B5847" s="2" t="s">
        <v>3</v>
      </c>
      <c r="C5847" s="1" t="str">
        <f>IFERROR(__xludf.DUMMYFUNCTION("GOOGLETRANSLATE(A5847,""en"",""pt-br"")"),"subversão")</f>
        <v>subversão</v>
      </c>
      <c r="D5847" s="1" t="str">
        <f>IFERROR(__xludf.DUMMYFUNCTION("GOOGLETRANSLATE(B5847,""en"",""pt-br"")"),"negativo")</f>
        <v>negativo</v>
      </c>
    </row>
    <row r="5848" ht="15.75" customHeight="1">
      <c r="A5848" s="2" t="s">
        <v>5845</v>
      </c>
      <c r="B5848" s="2" t="s">
        <v>3</v>
      </c>
      <c r="C5848" s="1" t="str">
        <f>IFERROR(__xludf.DUMMYFUNCTION("GOOGLETRANSLATE(A5848,""en"",""pt-br"")"),"subversivo")</f>
        <v>subversivo</v>
      </c>
      <c r="D5848" s="1" t="str">
        <f>IFERROR(__xludf.DUMMYFUNCTION("GOOGLETRANSLATE(B5848,""en"",""pt-br"")"),"negativo")</f>
        <v>negativo</v>
      </c>
    </row>
    <row r="5849" ht="15.75" customHeight="1">
      <c r="A5849" s="2" t="s">
        <v>5846</v>
      </c>
      <c r="B5849" s="2" t="s">
        <v>3</v>
      </c>
      <c r="C5849" s="1" t="str">
        <f>IFERROR(__xludf.DUMMYFUNCTION("GOOGLETRANSLATE(A5849,""en"",""pt-br"")"),"subversively")</f>
        <v>subversively</v>
      </c>
      <c r="D5849" s="1" t="str">
        <f>IFERROR(__xludf.DUMMYFUNCTION("GOOGLETRANSLATE(B5849,""en"",""pt-br"")"),"negativo")</f>
        <v>negativo</v>
      </c>
    </row>
    <row r="5850" ht="15.75" customHeight="1">
      <c r="A5850" s="2" t="s">
        <v>5847</v>
      </c>
      <c r="B5850" s="2" t="s">
        <v>3</v>
      </c>
      <c r="C5850" s="1" t="str">
        <f>IFERROR(__xludf.DUMMYFUNCTION("GOOGLETRANSLATE(A5850,""en"",""pt-br"")"),"subverter")</f>
        <v>subverter</v>
      </c>
      <c r="D5850" s="1" t="str">
        <f>IFERROR(__xludf.DUMMYFUNCTION("GOOGLETRANSLATE(B5850,""en"",""pt-br"")"),"negativo")</f>
        <v>negativo</v>
      </c>
    </row>
    <row r="5851" ht="15.75" customHeight="1">
      <c r="A5851" s="2" t="s">
        <v>5848</v>
      </c>
      <c r="B5851" s="2" t="s">
        <v>14</v>
      </c>
      <c r="C5851" s="1" t="str">
        <f>IFERROR(__xludf.DUMMYFUNCTION("GOOGLETRANSLATE(A5851,""en"",""pt-br"")"),"suceder")</f>
        <v>suceder</v>
      </c>
      <c r="D5851" s="1" t="str">
        <f>IFERROR(__xludf.DUMMYFUNCTION("GOOGLETRANSLATE(B5851,""en"",""pt-br"")"),"positivo")</f>
        <v>positivo</v>
      </c>
    </row>
    <row r="5852" ht="15.75" customHeight="1">
      <c r="A5852" s="2" t="s">
        <v>5849</v>
      </c>
      <c r="B5852" s="2" t="s">
        <v>14</v>
      </c>
      <c r="C5852" s="1" t="str">
        <f>IFERROR(__xludf.DUMMYFUNCTION("GOOGLETRANSLATE(A5852,""en"",""pt-br"")"),"sucedeu")</f>
        <v>sucedeu</v>
      </c>
      <c r="D5852" s="1" t="str">
        <f>IFERROR(__xludf.DUMMYFUNCTION("GOOGLETRANSLATE(B5852,""en"",""pt-br"")"),"positivo")</f>
        <v>positivo</v>
      </c>
    </row>
    <row r="5853" ht="15.75" customHeight="1">
      <c r="A5853" s="2" t="s">
        <v>5850</v>
      </c>
      <c r="B5853" s="2" t="s">
        <v>14</v>
      </c>
      <c r="C5853" s="1" t="str">
        <f>IFERROR(__xludf.DUMMYFUNCTION("GOOGLETRANSLATE(A5853,""en"",""pt-br"")"),"sucedendo")</f>
        <v>sucedendo</v>
      </c>
      <c r="D5853" s="1" t="str">
        <f>IFERROR(__xludf.DUMMYFUNCTION("GOOGLETRANSLATE(B5853,""en"",""pt-br"")"),"positivo")</f>
        <v>positivo</v>
      </c>
    </row>
    <row r="5854" ht="15.75" customHeight="1">
      <c r="A5854" s="2" t="s">
        <v>5851</v>
      </c>
      <c r="B5854" s="2" t="s">
        <v>14</v>
      </c>
      <c r="C5854" s="1" t="str">
        <f>IFERROR(__xludf.DUMMYFUNCTION("GOOGLETRANSLATE(A5854,""en"",""pt-br"")"),"sucede")</f>
        <v>sucede</v>
      </c>
      <c r="D5854" s="1" t="str">
        <f>IFERROR(__xludf.DUMMYFUNCTION("GOOGLETRANSLATE(B5854,""en"",""pt-br"")"),"positivo")</f>
        <v>positivo</v>
      </c>
    </row>
    <row r="5855" ht="15.75" customHeight="1">
      <c r="A5855" s="2" t="s">
        <v>5852</v>
      </c>
      <c r="B5855" s="2" t="s">
        <v>14</v>
      </c>
      <c r="C5855" s="1" t="str">
        <f>IFERROR(__xludf.DUMMYFUNCTION("GOOGLETRANSLATE(A5855,""en"",""pt-br"")"),"succes")</f>
        <v>succes</v>
      </c>
      <c r="D5855" s="1" t="str">
        <f>IFERROR(__xludf.DUMMYFUNCTION("GOOGLETRANSLATE(B5855,""en"",""pt-br"")"),"positivo")</f>
        <v>positivo</v>
      </c>
    </row>
    <row r="5856" ht="15.75" customHeight="1">
      <c r="A5856" s="2" t="s">
        <v>5853</v>
      </c>
      <c r="B5856" s="2" t="s">
        <v>14</v>
      </c>
      <c r="C5856" s="1" t="str">
        <f>IFERROR(__xludf.DUMMYFUNCTION("GOOGLETRANSLATE(A5856,""en"",""pt-br"")"),"sucesso")</f>
        <v>sucesso</v>
      </c>
      <c r="D5856" s="1" t="str">
        <f>IFERROR(__xludf.DUMMYFUNCTION("GOOGLETRANSLATE(B5856,""en"",""pt-br"")"),"positivo")</f>
        <v>positivo</v>
      </c>
    </row>
    <row r="5857" ht="15.75" customHeight="1">
      <c r="A5857" s="2" t="s">
        <v>5854</v>
      </c>
      <c r="B5857" s="2" t="s">
        <v>14</v>
      </c>
      <c r="C5857" s="1" t="str">
        <f>IFERROR(__xludf.DUMMYFUNCTION("GOOGLETRANSLATE(A5857,""en"",""pt-br"")"),"sucessos")</f>
        <v>sucessos</v>
      </c>
      <c r="D5857" s="1" t="str">
        <f>IFERROR(__xludf.DUMMYFUNCTION("GOOGLETRANSLATE(B5857,""en"",""pt-br"")"),"positivo")</f>
        <v>positivo</v>
      </c>
    </row>
    <row r="5858" ht="15.75" customHeight="1">
      <c r="A5858" s="2" t="s">
        <v>5855</v>
      </c>
      <c r="B5858" s="2" t="s">
        <v>14</v>
      </c>
      <c r="C5858" s="1" t="str">
        <f>IFERROR(__xludf.DUMMYFUNCTION("GOOGLETRANSLATE(A5858,""en"",""pt-br"")"),"bem sucedido")</f>
        <v>bem sucedido</v>
      </c>
      <c r="D5858" s="1" t="str">
        <f>IFERROR(__xludf.DUMMYFUNCTION("GOOGLETRANSLATE(B5858,""en"",""pt-br"")"),"positivo")</f>
        <v>positivo</v>
      </c>
    </row>
    <row r="5859" ht="15.75" customHeight="1">
      <c r="A5859" s="2" t="s">
        <v>5856</v>
      </c>
      <c r="B5859" s="2" t="s">
        <v>14</v>
      </c>
      <c r="C5859" s="1" t="str">
        <f>IFERROR(__xludf.DUMMYFUNCTION("GOOGLETRANSLATE(A5859,""en"",""pt-br"")"),"com sucesso")</f>
        <v>com sucesso</v>
      </c>
      <c r="D5859" s="1" t="str">
        <f>IFERROR(__xludf.DUMMYFUNCTION("GOOGLETRANSLATE(B5859,""en"",""pt-br"")"),"positivo")</f>
        <v>positivo</v>
      </c>
    </row>
    <row r="5860" ht="15.75" customHeight="1">
      <c r="A5860" s="2" t="s">
        <v>5857</v>
      </c>
      <c r="B5860" s="2" t="s">
        <v>3</v>
      </c>
      <c r="C5860" s="1" t="str">
        <f>IFERROR(__xludf.DUMMYFUNCTION("GOOGLETRANSLATE(A5860,""en"",""pt-br"")"),"sucumbir")</f>
        <v>sucumbir</v>
      </c>
      <c r="D5860" s="1" t="str">
        <f>IFERROR(__xludf.DUMMYFUNCTION("GOOGLETRANSLATE(B5860,""en"",""pt-br"")"),"negativo")</f>
        <v>negativo</v>
      </c>
    </row>
    <row r="5861" ht="15.75" customHeight="1">
      <c r="A5861" s="2" t="s">
        <v>5858</v>
      </c>
      <c r="B5861" s="2" t="s">
        <v>3</v>
      </c>
      <c r="C5861" s="1" t="str">
        <f>IFERROR(__xludf.DUMMYFUNCTION("GOOGLETRANSLATE(A5861,""en"",""pt-br"")"),"chupar")</f>
        <v>chupar</v>
      </c>
      <c r="D5861" s="1" t="str">
        <f>IFERROR(__xludf.DUMMYFUNCTION("GOOGLETRANSLATE(B5861,""en"",""pt-br"")"),"negativo")</f>
        <v>negativo</v>
      </c>
    </row>
    <row r="5862" ht="15.75" customHeight="1">
      <c r="A5862" s="2" t="s">
        <v>5859</v>
      </c>
      <c r="B5862" s="2" t="s">
        <v>3</v>
      </c>
      <c r="C5862" s="1" t="str">
        <f>IFERROR(__xludf.DUMMYFUNCTION("GOOGLETRANSLATE(A5862,""en"",""pt-br"")"),"sugado")</f>
        <v>sugado</v>
      </c>
      <c r="D5862" s="1" t="str">
        <f>IFERROR(__xludf.DUMMYFUNCTION("GOOGLETRANSLATE(B5862,""en"",""pt-br"")"),"negativo")</f>
        <v>negativo</v>
      </c>
    </row>
    <row r="5863" ht="15.75" customHeight="1">
      <c r="A5863" s="2" t="s">
        <v>5860</v>
      </c>
      <c r="B5863" s="2" t="s">
        <v>3</v>
      </c>
      <c r="C5863" s="1" t="str">
        <f>IFERROR(__xludf.DUMMYFUNCTION("GOOGLETRANSLATE(A5863,""en"",""pt-br"")"),"aproveitador")</f>
        <v>aproveitador</v>
      </c>
      <c r="D5863" s="1" t="str">
        <f>IFERROR(__xludf.DUMMYFUNCTION("GOOGLETRANSLATE(B5863,""en"",""pt-br"")"),"negativo")</f>
        <v>negativo</v>
      </c>
    </row>
    <row r="5864" ht="15.75" customHeight="1">
      <c r="A5864" s="2" t="s">
        <v>5861</v>
      </c>
      <c r="B5864" s="2" t="s">
        <v>3</v>
      </c>
      <c r="C5864" s="1" t="str">
        <f>IFERROR(__xludf.DUMMYFUNCTION("GOOGLETRANSLATE(A5864,""en"",""pt-br"")"),"é uma merda")</f>
        <v>é uma merda</v>
      </c>
      <c r="D5864" s="1" t="str">
        <f>IFERROR(__xludf.DUMMYFUNCTION("GOOGLETRANSLATE(B5864,""en"",""pt-br"")"),"negativo")</f>
        <v>negativo</v>
      </c>
    </row>
    <row r="5865" ht="15.75" customHeight="1">
      <c r="A5865" s="2" t="s">
        <v>5862</v>
      </c>
      <c r="B5865" s="2" t="s">
        <v>3</v>
      </c>
      <c r="C5865" s="1" t="str">
        <f>IFERROR(__xludf.DUMMYFUNCTION("GOOGLETRANSLATE(A5865,""en"",""pt-br"")"),"sucky")</f>
        <v>sucky</v>
      </c>
      <c r="D5865" s="1" t="str">
        <f>IFERROR(__xludf.DUMMYFUNCTION("GOOGLETRANSLATE(B5865,""en"",""pt-br"")"),"negativo")</f>
        <v>negativo</v>
      </c>
    </row>
    <row r="5866" ht="15.75" customHeight="1">
      <c r="A5866" s="2" t="s">
        <v>5863</v>
      </c>
      <c r="B5866" s="2" t="s">
        <v>3</v>
      </c>
      <c r="C5866" s="1" t="str">
        <f>IFERROR(__xludf.DUMMYFUNCTION("GOOGLETRANSLATE(A5866,""en"",""pt-br"")"),"processar")</f>
        <v>processar</v>
      </c>
      <c r="D5866" s="1" t="str">
        <f>IFERROR(__xludf.DUMMYFUNCTION("GOOGLETRANSLATE(B5866,""en"",""pt-br"")"),"negativo")</f>
        <v>negativo</v>
      </c>
    </row>
    <row r="5867" ht="15.75" customHeight="1">
      <c r="A5867" s="2" t="s">
        <v>5864</v>
      </c>
      <c r="B5867" s="2" t="s">
        <v>3</v>
      </c>
      <c r="C5867" s="1" t="str">
        <f>IFERROR(__xludf.DUMMYFUNCTION("GOOGLETRANSLATE(A5867,""en"",""pt-br"")"),"processado")</f>
        <v>processado</v>
      </c>
      <c r="D5867" s="1" t="str">
        <f>IFERROR(__xludf.DUMMYFUNCTION("GOOGLETRANSLATE(B5867,""en"",""pt-br"")"),"negativo")</f>
        <v>negativo</v>
      </c>
    </row>
    <row r="5868" ht="15.75" customHeight="1">
      <c r="A5868" s="2" t="s">
        <v>5865</v>
      </c>
      <c r="B5868" s="2" t="s">
        <v>3</v>
      </c>
      <c r="C5868" s="1" t="str">
        <f>IFERROR(__xludf.DUMMYFUNCTION("GOOGLETRANSLATE(A5868,""en"",""pt-br"")"),"sueing")</f>
        <v>sueing</v>
      </c>
      <c r="D5868" s="1" t="str">
        <f>IFERROR(__xludf.DUMMYFUNCTION("GOOGLETRANSLATE(B5868,""en"",""pt-br"")"),"negativo")</f>
        <v>negativo</v>
      </c>
    </row>
    <row r="5869" ht="15.75" customHeight="1">
      <c r="A5869" s="2" t="s">
        <v>5866</v>
      </c>
      <c r="B5869" s="2" t="s">
        <v>3</v>
      </c>
      <c r="C5869" s="1" t="str">
        <f>IFERROR(__xludf.DUMMYFUNCTION("GOOGLETRANSLATE(A5869,""en"",""pt-br"")"),"sues")</f>
        <v>sues</v>
      </c>
      <c r="D5869" s="1" t="str">
        <f>IFERROR(__xludf.DUMMYFUNCTION("GOOGLETRANSLATE(B5869,""en"",""pt-br"")"),"negativo")</f>
        <v>negativo</v>
      </c>
    </row>
    <row r="5870" ht="15.75" customHeight="1">
      <c r="A5870" s="2" t="s">
        <v>5867</v>
      </c>
      <c r="B5870" s="2" t="s">
        <v>3</v>
      </c>
      <c r="C5870" s="1" t="str">
        <f>IFERROR(__xludf.DUMMYFUNCTION("GOOGLETRANSLATE(A5870,""en"",""pt-br"")"),"Sofra")</f>
        <v>Sofra</v>
      </c>
      <c r="D5870" s="1" t="str">
        <f>IFERROR(__xludf.DUMMYFUNCTION("GOOGLETRANSLATE(B5870,""en"",""pt-br"")"),"negativo")</f>
        <v>negativo</v>
      </c>
    </row>
    <row r="5871" ht="15.75" customHeight="1">
      <c r="A5871" s="2" t="s">
        <v>5868</v>
      </c>
      <c r="B5871" s="2" t="s">
        <v>3</v>
      </c>
      <c r="C5871" s="1" t="str">
        <f>IFERROR(__xludf.DUMMYFUNCTION("GOOGLETRANSLATE(A5871,""en"",""pt-br"")"),"sofreu")</f>
        <v>sofreu</v>
      </c>
      <c r="D5871" s="1" t="str">
        <f>IFERROR(__xludf.DUMMYFUNCTION("GOOGLETRANSLATE(B5871,""en"",""pt-br"")"),"negativo")</f>
        <v>negativo</v>
      </c>
    </row>
    <row r="5872" ht="15.75" customHeight="1">
      <c r="A5872" s="2" t="s">
        <v>5869</v>
      </c>
      <c r="B5872" s="2" t="s">
        <v>3</v>
      </c>
      <c r="C5872" s="1" t="str">
        <f>IFERROR(__xludf.DUMMYFUNCTION("GOOGLETRANSLATE(A5872,""en"",""pt-br"")"),"sofredor")</f>
        <v>sofredor</v>
      </c>
      <c r="D5872" s="1" t="str">
        <f>IFERROR(__xludf.DUMMYFUNCTION("GOOGLETRANSLATE(B5872,""en"",""pt-br"")"),"negativo")</f>
        <v>negativo</v>
      </c>
    </row>
    <row r="5873" ht="15.75" customHeight="1">
      <c r="A5873" s="2" t="s">
        <v>5870</v>
      </c>
      <c r="B5873" s="2" t="s">
        <v>3</v>
      </c>
      <c r="C5873" s="1" t="str">
        <f>IFERROR(__xludf.DUMMYFUNCTION("GOOGLETRANSLATE(A5873,""en"",""pt-br"")"),"sofredores")</f>
        <v>sofredores</v>
      </c>
      <c r="D5873" s="1" t="str">
        <f>IFERROR(__xludf.DUMMYFUNCTION("GOOGLETRANSLATE(B5873,""en"",""pt-br"")"),"negativo")</f>
        <v>negativo</v>
      </c>
    </row>
    <row r="5874" ht="15.75" customHeight="1">
      <c r="A5874" s="2" t="s">
        <v>5871</v>
      </c>
      <c r="B5874" s="2" t="s">
        <v>3</v>
      </c>
      <c r="C5874" s="1" t="str">
        <f>IFERROR(__xludf.DUMMYFUNCTION("GOOGLETRANSLATE(A5874,""en"",""pt-br"")"),"sofrimento")</f>
        <v>sofrimento</v>
      </c>
      <c r="D5874" s="1" t="str">
        <f>IFERROR(__xludf.DUMMYFUNCTION("GOOGLETRANSLATE(B5874,""en"",""pt-br"")"),"negativo")</f>
        <v>negativo</v>
      </c>
    </row>
    <row r="5875" ht="15.75" customHeight="1">
      <c r="A5875" s="2" t="s">
        <v>5872</v>
      </c>
      <c r="B5875" s="2" t="s">
        <v>3</v>
      </c>
      <c r="C5875" s="1" t="str">
        <f>IFERROR(__xludf.DUMMYFUNCTION("GOOGLETRANSLATE(A5875,""en"",""pt-br"")"),"sofre")</f>
        <v>sofre</v>
      </c>
      <c r="D5875" s="1" t="str">
        <f>IFERROR(__xludf.DUMMYFUNCTION("GOOGLETRANSLATE(B5875,""en"",""pt-br"")"),"negativo")</f>
        <v>negativo</v>
      </c>
    </row>
    <row r="5876" ht="15.75" customHeight="1">
      <c r="A5876" s="2" t="s">
        <v>5873</v>
      </c>
      <c r="B5876" s="2" t="s">
        <v>14</v>
      </c>
      <c r="C5876" s="1" t="str">
        <f>IFERROR(__xludf.DUMMYFUNCTION("GOOGLETRANSLATE(A5876,""en"",""pt-br"")"),"satisfazer")</f>
        <v>satisfazer</v>
      </c>
      <c r="D5876" s="1" t="str">
        <f>IFERROR(__xludf.DUMMYFUNCTION("GOOGLETRANSLATE(B5876,""en"",""pt-br"")"),"positivo")</f>
        <v>positivo</v>
      </c>
    </row>
    <row r="5877" ht="15.75" customHeight="1">
      <c r="A5877" s="2" t="s">
        <v>5874</v>
      </c>
      <c r="B5877" s="2" t="s">
        <v>14</v>
      </c>
      <c r="C5877" s="1" t="str">
        <f>IFERROR(__xludf.DUMMYFUNCTION("GOOGLETRANSLATE(A5877,""en"",""pt-br"")"),"bastado")</f>
        <v>bastado</v>
      </c>
      <c r="D5877" s="1" t="str">
        <f>IFERROR(__xludf.DUMMYFUNCTION("GOOGLETRANSLATE(B5877,""en"",""pt-br"")"),"positivo")</f>
        <v>positivo</v>
      </c>
    </row>
    <row r="5878" ht="15.75" customHeight="1">
      <c r="A5878" s="2" t="s">
        <v>5875</v>
      </c>
      <c r="B5878" s="2" t="s">
        <v>14</v>
      </c>
      <c r="C5878" s="1" t="str">
        <f>IFERROR(__xludf.DUMMYFUNCTION("GOOGLETRANSLATE(A5878,""en"",""pt-br"")"),"sufixos")</f>
        <v>sufixos</v>
      </c>
      <c r="D5878" s="1" t="str">
        <f>IFERROR(__xludf.DUMMYFUNCTION("GOOGLETRANSLATE(B5878,""en"",""pt-br"")"),"positivo")</f>
        <v>positivo</v>
      </c>
    </row>
    <row r="5879" ht="15.75" customHeight="1">
      <c r="A5879" s="2" t="s">
        <v>5876</v>
      </c>
      <c r="B5879" s="2" t="s">
        <v>14</v>
      </c>
      <c r="C5879" s="1" t="str">
        <f>IFERROR(__xludf.DUMMYFUNCTION("GOOGLETRANSLATE(A5879,""en"",""pt-br"")"),"suficiente")</f>
        <v>suficiente</v>
      </c>
      <c r="D5879" s="1" t="str">
        <f>IFERROR(__xludf.DUMMYFUNCTION("GOOGLETRANSLATE(B5879,""en"",""pt-br"")"),"positivo")</f>
        <v>positivo</v>
      </c>
    </row>
    <row r="5880" ht="15.75" customHeight="1">
      <c r="A5880" s="2" t="s">
        <v>5877</v>
      </c>
      <c r="B5880" s="2" t="s">
        <v>14</v>
      </c>
      <c r="C5880" s="1" t="str">
        <f>IFERROR(__xludf.DUMMYFUNCTION("GOOGLETRANSLATE(A5880,""en"",""pt-br"")"),"suficientemente")</f>
        <v>suficientemente</v>
      </c>
      <c r="D5880" s="1" t="str">
        <f>IFERROR(__xludf.DUMMYFUNCTION("GOOGLETRANSLATE(B5880,""en"",""pt-br"")"),"positivo")</f>
        <v>positivo</v>
      </c>
    </row>
    <row r="5881" ht="15.75" customHeight="1">
      <c r="A5881" s="2" t="s">
        <v>5878</v>
      </c>
      <c r="B5881" s="2" t="s">
        <v>3</v>
      </c>
      <c r="C5881" s="1" t="str">
        <f>IFERROR(__xludf.DUMMYFUNCTION("GOOGLETRANSLATE(A5881,""en"",""pt-br"")"),"sufocar")</f>
        <v>sufocar</v>
      </c>
      <c r="D5881" s="1" t="str">
        <f>IFERROR(__xludf.DUMMYFUNCTION("GOOGLETRANSLATE(B5881,""en"",""pt-br"")"),"negativo")</f>
        <v>negativo</v>
      </c>
    </row>
    <row r="5882" ht="15.75" customHeight="1">
      <c r="A5882" s="2" t="s">
        <v>5879</v>
      </c>
      <c r="B5882" s="2" t="s">
        <v>3</v>
      </c>
      <c r="C5882" s="1" t="str">
        <f>IFERROR(__xludf.DUMMYFUNCTION("GOOGLETRANSLATE(A5882,""en"",""pt-br"")"),"enfeitar")</f>
        <v>enfeitar</v>
      </c>
      <c r="D5882" s="1" t="str">
        <f>IFERROR(__xludf.DUMMYFUNCTION("GOOGLETRANSLATE(B5882,""en"",""pt-br"")"),"negativo")</f>
        <v>negativo</v>
      </c>
    </row>
    <row r="5883" ht="15.75" customHeight="1">
      <c r="A5883" s="2" t="s">
        <v>5880</v>
      </c>
      <c r="B5883" s="2" t="s">
        <v>3</v>
      </c>
      <c r="C5883" s="1" t="str">
        <f>IFERROR(__xludf.DUMMYFUNCTION("GOOGLETRANSLATE(A5883,""en"",""pt-br"")"),"açúcar-revestido")</f>
        <v>açúcar-revestido</v>
      </c>
      <c r="D5883" s="1" t="str">
        <f>IFERROR(__xludf.DUMMYFUNCTION("GOOGLETRANSLATE(B5883,""en"",""pt-br"")"),"negativo")</f>
        <v>negativo</v>
      </c>
    </row>
    <row r="5884" ht="15.75" customHeight="1">
      <c r="A5884" s="2" t="s">
        <v>5881</v>
      </c>
      <c r="B5884" s="2" t="s">
        <v>3</v>
      </c>
      <c r="C5884" s="1" t="str">
        <f>IFERROR(__xludf.DUMMYFUNCTION("GOOGLETRANSLATE(A5884,""en"",""pt-br"")"),"sugarcoated")</f>
        <v>sugarcoated</v>
      </c>
      <c r="D5884" s="1" t="str">
        <f>IFERROR(__xludf.DUMMYFUNCTION("GOOGLETRANSLATE(B5884,""en"",""pt-br"")"),"negativo")</f>
        <v>negativo</v>
      </c>
    </row>
    <row r="5885" ht="15.75" customHeight="1">
      <c r="A5885" s="2" t="s">
        <v>5882</v>
      </c>
      <c r="B5885" s="2" t="s">
        <v>3</v>
      </c>
      <c r="C5885" s="1" t="str">
        <f>IFERROR(__xludf.DUMMYFUNCTION("GOOGLETRANSLATE(A5885,""en"",""pt-br"")"),"suicida")</f>
        <v>suicida</v>
      </c>
      <c r="D5885" s="1" t="str">
        <f>IFERROR(__xludf.DUMMYFUNCTION("GOOGLETRANSLATE(B5885,""en"",""pt-br"")"),"negativo")</f>
        <v>negativo</v>
      </c>
    </row>
    <row r="5886" ht="15.75" customHeight="1">
      <c r="A5886" s="2" t="s">
        <v>5883</v>
      </c>
      <c r="B5886" s="2" t="s">
        <v>3</v>
      </c>
      <c r="C5886" s="1" t="str">
        <f>IFERROR(__xludf.DUMMYFUNCTION("GOOGLETRANSLATE(A5886,""en"",""pt-br"")"),"suicídio")</f>
        <v>suicídio</v>
      </c>
      <c r="D5886" s="1" t="str">
        <f>IFERROR(__xludf.DUMMYFUNCTION("GOOGLETRANSLATE(B5886,""en"",""pt-br"")"),"negativo")</f>
        <v>negativo</v>
      </c>
    </row>
    <row r="5887" ht="15.75" customHeight="1">
      <c r="A5887" s="2" t="s">
        <v>5884</v>
      </c>
      <c r="B5887" s="2" t="s">
        <v>14</v>
      </c>
      <c r="C5887" s="1" t="str">
        <f>IFERROR(__xludf.DUMMYFUNCTION("GOOGLETRANSLATE(A5887,""en"",""pt-br"")"),"adequado")</f>
        <v>adequado</v>
      </c>
      <c r="D5887" s="1" t="str">
        <f>IFERROR(__xludf.DUMMYFUNCTION("GOOGLETRANSLATE(B5887,""en"",""pt-br"")"),"positivo")</f>
        <v>positivo</v>
      </c>
    </row>
    <row r="5888" ht="15.75" customHeight="1">
      <c r="A5888" s="2" t="s">
        <v>5885</v>
      </c>
      <c r="B5888" s="2" t="s">
        <v>3</v>
      </c>
      <c r="C5888" s="1" t="str">
        <f>IFERROR(__xludf.DUMMYFUNCTION("GOOGLETRANSLATE(A5888,""en"",""pt-br"")"),"amuar")</f>
        <v>amuar</v>
      </c>
      <c r="D5888" s="1" t="str">
        <f>IFERROR(__xludf.DUMMYFUNCTION("GOOGLETRANSLATE(B5888,""en"",""pt-br"")"),"negativo")</f>
        <v>negativo</v>
      </c>
    </row>
    <row r="5889" ht="15.75" customHeight="1">
      <c r="A5889" s="2" t="s">
        <v>5886</v>
      </c>
      <c r="B5889" s="2" t="s">
        <v>3</v>
      </c>
      <c r="C5889" s="1" t="str">
        <f>IFERROR(__xludf.DUMMYFUNCTION("GOOGLETRANSLATE(A5889,""en"",""pt-br"")"),"carrancudo")</f>
        <v>carrancudo</v>
      </c>
      <c r="D5889" s="1" t="str">
        <f>IFERROR(__xludf.DUMMYFUNCTION("GOOGLETRANSLATE(B5889,""en"",""pt-br"")"),"negativo")</f>
        <v>negativo</v>
      </c>
    </row>
    <row r="5890" ht="15.75" customHeight="1">
      <c r="A5890" s="2" t="s">
        <v>5887</v>
      </c>
      <c r="B5890" s="2" t="s">
        <v>3</v>
      </c>
      <c r="C5890" s="1" t="str">
        <f>IFERROR(__xludf.DUMMYFUNCTION("GOOGLETRANSLATE(A5890,""en"",""pt-br"")"),"manchar")</f>
        <v>manchar</v>
      </c>
      <c r="D5890" s="1" t="str">
        <f>IFERROR(__xludf.DUMMYFUNCTION("GOOGLETRANSLATE(B5890,""en"",""pt-br"")"),"negativo")</f>
        <v>negativo</v>
      </c>
    </row>
    <row r="5891" ht="15.75" customHeight="1">
      <c r="A5891" s="2" t="s">
        <v>5888</v>
      </c>
      <c r="B5891" s="2" t="s">
        <v>14</v>
      </c>
      <c r="C5891" s="1" t="str">
        <f>IFERROR(__xludf.DUMMYFUNCTION("GOOGLETRANSLATE(A5891,""en"",""pt-br"")"),"suntuoso")</f>
        <v>suntuoso</v>
      </c>
      <c r="D5891" s="1" t="str">
        <f>IFERROR(__xludf.DUMMYFUNCTION("GOOGLETRANSLATE(B5891,""en"",""pt-br"")"),"positivo")</f>
        <v>positivo</v>
      </c>
    </row>
    <row r="5892" ht="15.75" customHeight="1">
      <c r="A5892" s="2" t="s">
        <v>5889</v>
      </c>
      <c r="B5892" s="2" t="s">
        <v>14</v>
      </c>
      <c r="C5892" s="1" t="str">
        <f>IFERROR(__xludf.DUMMYFUNCTION("GOOGLETRANSLATE(A5892,""en"",""pt-br"")"),"suntuosamente")</f>
        <v>suntuosamente</v>
      </c>
      <c r="D5892" s="1" t="str">
        <f>IFERROR(__xludf.DUMMYFUNCTION("GOOGLETRANSLATE(B5892,""en"",""pt-br"")"),"positivo")</f>
        <v>positivo</v>
      </c>
    </row>
    <row r="5893" ht="15.75" customHeight="1">
      <c r="A5893" s="2" t="s">
        <v>5890</v>
      </c>
      <c r="B5893" s="2" t="s">
        <v>14</v>
      </c>
      <c r="C5893" s="1" t="str">
        <f>IFERROR(__xludf.DUMMYFUNCTION("GOOGLETRANSLATE(A5893,""en"",""pt-br"")"),"suntuosidade")</f>
        <v>suntuosidade</v>
      </c>
      <c r="D5893" s="1" t="str">
        <f>IFERROR(__xludf.DUMMYFUNCTION("GOOGLETRANSLATE(B5893,""en"",""pt-br"")"),"positivo")</f>
        <v>positivo</v>
      </c>
    </row>
    <row r="5894" ht="15.75" customHeight="1">
      <c r="A5894" s="2" t="s">
        <v>5891</v>
      </c>
      <c r="B5894" s="2" t="s">
        <v>3</v>
      </c>
      <c r="C5894" s="1" t="str">
        <f>IFERROR(__xludf.DUMMYFUNCTION("GOOGLETRANSLATE(A5894,""en"",""pt-br"")"),"separar")</f>
        <v>separar</v>
      </c>
      <c r="D5894" s="1" t="str">
        <f>IFERROR(__xludf.DUMMYFUNCTION("GOOGLETRANSLATE(B5894,""en"",""pt-br"")"),"negativo")</f>
        <v>negativo</v>
      </c>
    </row>
    <row r="5895" ht="15.75" customHeight="1">
      <c r="A5895" s="2" t="s">
        <v>5892</v>
      </c>
      <c r="B5895" s="2" t="s">
        <v>3</v>
      </c>
      <c r="C5895" s="1" t="str">
        <f>IFERROR(__xludf.DUMMYFUNCTION("GOOGLETRANSLATE(A5895,""en"",""pt-br"")"),"afundado")</f>
        <v>afundado</v>
      </c>
      <c r="D5895" s="1" t="str">
        <f>IFERROR(__xludf.DUMMYFUNCTION("GOOGLETRANSLATE(B5895,""en"",""pt-br"")"),"negativo")</f>
        <v>negativo</v>
      </c>
    </row>
    <row r="5896" ht="15.75" customHeight="1">
      <c r="A5896" s="2" t="s">
        <v>5893</v>
      </c>
      <c r="B5896" s="2" t="s">
        <v>3</v>
      </c>
      <c r="C5896" s="1" t="str">
        <f>IFERROR(__xludf.DUMMYFUNCTION("GOOGLETRANSLATE(A5896,""en"",""pt-br"")"),"afundado")</f>
        <v>afundado</v>
      </c>
      <c r="D5896" s="1" t="str">
        <f>IFERROR(__xludf.DUMMYFUNCTION("GOOGLETRANSLATE(B5896,""en"",""pt-br"")"),"negativo")</f>
        <v>negativo</v>
      </c>
    </row>
    <row r="5897" ht="15.75" customHeight="1">
      <c r="A5897" s="2" t="s">
        <v>5894</v>
      </c>
      <c r="B5897" s="2" t="s">
        <v>14</v>
      </c>
      <c r="C5897" s="1" t="str">
        <f>IFERROR(__xludf.DUMMYFUNCTION("GOOGLETRANSLATE(A5897,""en"",""pt-br"")"),"super")</f>
        <v>super</v>
      </c>
      <c r="D5897" s="1" t="str">
        <f>IFERROR(__xludf.DUMMYFUNCTION("GOOGLETRANSLATE(B5897,""en"",""pt-br"")"),"positivo")</f>
        <v>positivo</v>
      </c>
    </row>
    <row r="5898" ht="15.75" customHeight="1">
      <c r="A5898" s="2" t="s">
        <v>5895</v>
      </c>
      <c r="B5898" s="2" t="s">
        <v>14</v>
      </c>
      <c r="C5898" s="1" t="str">
        <f>IFERROR(__xludf.DUMMYFUNCTION("GOOGLETRANSLATE(A5898,""en"",""pt-br"")"),"soberbo")</f>
        <v>soberbo</v>
      </c>
      <c r="D5898" s="1" t="str">
        <f>IFERROR(__xludf.DUMMYFUNCTION("GOOGLETRANSLATE(B5898,""en"",""pt-br"")"),"positivo")</f>
        <v>positivo</v>
      </c>
    </row>
    <row r="5899" ht="15.75" customHeight="1">
      <c r="A5899" s="2" t="s">
        <v>5896</v>
      </c>
      <c r="B5899" s="2" t="s">
        <v>14</v>
      </c>
      <c r="C5899" s="1" t="str">
        <f>IFERROR(__xludf.DUMMYFUNCTION("GOOGLETRANSLATE(A5899,""en"",""pt-br"")"),"soberbamente")</f>
        <v>soberbamente</v>
      </c>
      <c r="D5899" s="1" t="str">
        <f>IFERROR(__xludf.DUMMYFUNCTION("GOOGLETRANSLATE(B5899,""en"",""pt-br"")"),"positivo")</f>
        <v>positivo</v>
      </c>
    </row>
    <row r="5900" ht="15.75" customHeight="1">
      <c r="A5900" s="2" t="s">
        <v>5897</v>
      </c>
      <c r="B5900" s="2" t="s">
        <v>3</v>
      </c>
      <c r="C5900" s="1" t="str">
        <f>IFERROR(__xludf.DUMMYFUNCTION("GOOGLETRANSLATE(A5900,""en"",""pt-br"")"),"superficial")</f>
        <v>superficial</v>
      </c>
      <c r="D5900" s="1" t="str">
        <f>IFERROR(__xludf.DUMMYFUNCTION("GOOGLETRANSLATE(B5900,""en"",""pt-br"")"),"negativo")</f>
        <v>negativo</v>
      </c>
    </row>
    <row r="5901" ht="15.75" customHeight="1">
      <c r="A5901" s="2" t="s">
        <v>5898</v>
      </c>
      <c r="B5901" s="2" t="s">
        <v>3</v>
      </c>
      <c r="C5901" s="1" t="str">
        <f>IFERROR(__xludf.DUMMYFUNCTION("GOOGLETRANSLATE(A5901,""en"",""pt-br"")"),"superficialidade")</f>
        <v>superficialidade</v>
      </c>
      <c r="D5901" s="1" t="str">
        <f>IFERROR(__xludf.DUMMYFUNCTION("GOOGLETRANSLATE(B5901,""en"",""pt-br"")"),"negativo")</f>
        <v>negativo</v>
      </c>
    </row>
    <row r="5902" ht="15.75" customHeight="1">
      <c r="A5902" s="2" t="s">
        <v>5899</v>
      </c>
      <c r="B5902" s="2" t="s">
        <v>3</v>
      </c>
      <c r="C5902" s="1" t="str">
        <f>IFERROR(__xludf.DUMMYFUNCTION("GOOGLETRANSLATE(A5902,""en"",""pt-br"")"),"superficialmente")</f>
        <v>superficialmente</v>
      </c>
      <c r="D5902" s="1" t="str">
        <f>IFERROR(__xludf.DUMMYFUNCTION("GOOGLETRANSLATE(B5902,""en"",""pt-br"")"),"negativo")</f>
        <v>negativo</v>
      </c>
    </row>
    <row r="5903" ht="15.75" customHeight="1">
      <c r="A5903" s="2" t="s">
        <v>5900</v>
      </c>
      <c r="B5903" s="2" t="s">
        <v>3</v>
      </c>
      <c r="C5903" s="1" t="str">
        <f>IFERROR(__xludf.DUMMYFUNCTION("GOOGLETRANSLATE(A5903,""en"",""pt-br"")"),"supérfluo")</f>
        <v>supérfluo</v>
      </c>
      <c r="D5903" s="1" t="str">
        <f>IFERROR(__xludf.DUMMYFUNCTION("GOOGLETRANSLATE(B5903,""en"",""pt-br"")"),"negativo")</f>
        <v>negativo</v>
      </c>
    </row>
    <row r="5904" ht="15.75" customHeight="1">
      <c r="A5904" s="2" t="s">
        <v>5901</v>
      </c>
      <c r="B5904" s="2" t="s">
        <v>14</v>
      </c>
      <c r="C5904" s="1" t="str">
        <f>IFERROR(__xludf.DUMMYFUNCTION("GOOGLETRANSLATE(A5904,""en"",""pt-br"")"),"superior")</f>
        <v>superior</v>
      </c>
      <c r="D5904" s="1" t="str">
        <f>IFERROR(__xludf.DUMMYFUNCTION("GOOGLETRANSLATE(B5904,""en"",""pt-br"")"),"positivo")</f>
        <v>positivo</v>
      </c>
    </row>
    <row r="5905" ht="15.75" customHeight="1">
      <c r="A5905" s="2" t="s">
        <v>5902</v>
      </c>
      <c r="B5905" s="2" t="s">
        <v>14</v>
      </c>
      <c r="C5905" s="1" t="str">
        <f>IFERROR(__xludf.DUMMYFUNCTION("GOOGLETRANSLATE(A5905,""en"",""pt-br"")"),"superioridade")</f>
        <v>superioridade</v>
      </c>
      <c r="D5905" s="1" t="str">
        <f>IFERROR(__xludf.DUMMYFUNCTION("GOOGLETRANSLATE(B5905,""en"",""pt-br"")"),"positivo")</f>
        <v>positivo</v>
      </c>
    </row>
    <row r="5906" ht="15.75" customHeight="1">
      <c r="A5906" s="2" t="s">
        <v>5903</v>
      </c>
      <c r="B5906" s="2" t="s">
        <v>3</v>
      </c>
      <c r="C5906" s="1" t="str">
        <f>IFERROR(__xludf.DUMMYFUNCTION("GOOGLETRANSLATE(A5906,""en"",""pt-br"")"),"superstição")</f>
        <v>superstição</v>
      </c>
      <c r="D5906" s="1" t="str">
        <f>IFERROR(__xludf.DUMMYFUNCTION("GOOGLETRANSLATE(B5906,""en"",""pt-br"")"),"negativo")</f>
        <v>negativo</v>
      </c>
    </row>
    <row r="5907" ht="15.75" customHeight="1">
      <c r="A5907" s="2" t="s">
        <v>5904</v>
      </c>
      <c r="B5907" s="2" t="s">
        <v>3</v>
      </c>
      <c r="C5907" s="1" t="str">
        <f>IFERROR(__xludf.DUMMYFUNCTION("GOOGLETRANSLATE(A5907,""en"",""pt-br"")"),"supersticioso")</f>
        <v>supersticioso</v>
      </c>
      <c r="D5907" s="1" t="str">
        <f>IFERROR(__xludf.DUMMYFUNCTION("GOOGLETRANSLATE(B5907,""en"",""pt-br"")"),"negativo")</f>
        <v>negativo</v>
      </c>
    </row>
    <row r="5908" ht="15.75" customHeight="1">
      <c r="A5908" s="2" t="s">
        <v>5905</v>
      </c>
      <c r="B5908" s="2" t="s">
        <v>14</v>
      </c>
      <c r="C5908" s="1" t="str">
        <f>IFERROR(__xludf.DUMMYFUNCTION("GOOGLETRANSLATE(A5908,""en"",""pt-br"")"),"flexível")</f>
        <v>flexível</v>
      </c>
      <c r="D5908" s="1" t="str">
        <f>IFERROR(__xludf.DUMMYFUNCTION("GOOGLETRANSLATE(B5908,""en"",""pt-br"")"),"positivo")</f>
        <v>positivo</v>
      </c>
    </row>
    <row r="5909" ht="15.75" customHeight="1">
      <c r="A5909" s="2" t="s">
        <v>5906</v>
      </c>
      <c r="B5909" s="2" t="s">
        <v>14</v>
      </c>
      <c r="C5909" s="1" t="str">
        <f>IFERROR(__xludf.DUMMYFUNCTION("GOOGLETRANSLATE(A5909,""en"",""pt-br"")"),"Apoio, suporte")</f>
        <v>Apoio, suporte</v>
      </c>
      <c r="D5909" s="1" t="str">
        <f>IFERROR(__xludf.DUMMYFUNCTION("GOOGLETRANSLATE(B5909,""en"",""pt-br"")"),"positivo")</f>
        <v>positivo</v>
      </c>
    </row>
    <row r="5910" ht="15.75" customHeight="1">
      <c r="A5910" s="2" t="s">
        <v>5907</v>
      </c>
      <c r="B5910" s="2" t="s">
        <v>14</v>
      </c>
      <c r="C5910" s="1" t="str">
        <f>IFERROR(__xludf.DUMMYFUNCTION("GOOGLETRANSLATE(A5910,""en"",""pt-br"")"),"suportado")</f>
        <v>suportado</v>
      </c>
      <c r="D5910" s="1" t="str">
        <f>IFERROR(__xludf.DUMMYFUNCTION("GOOGLETRANSLATE(B5910,""en"",""pt-br"")"),"positivo")</f>
        <v>positivo</v>
      </c>
    </row>
    <row r="5911" ht="15.75" customHeight="1">
      <c r="A5911" s="2" t="s">
        <v>5908</v>
      </c>
      <c r="B5911" s="2" t="s">
        <v>14</v>
      </c>
      <c r="C5911" s="1" t="str">
        <f>IFERROR(__xludf.DUMMYFUNCTION("GOOGLETRANSLATE(A5911,""en"",""pt-br"")"),"suporte")</f>
        <v>suporte</v>
      </c>
      <c r="D5911" s="1" t="str">
        <f>IFERROR(__xludf.DUMMYFUNCTION("GOOGLETRANSLATE(B5911,""en"",""pt-br"")"),"positivo")</f>
        <v>positivo</v>
      </c>
    </row>
    <row r="5912" ht="15.75" customHeight="1">
      <c r="A5912" s="2" t="s">
        <v>5909</v>
      </c>
      <c r="B5912" s="2" t="s">
        <v>14</v>
      </c>
      <c r="C5912" s="1" t="str">
        <f>IFERROR(__xludf.DUMMYFUNCTION("GOOGLETRANSLATE(A5912,""en"",""pt-br"")"),"que apoia")</f>
        <v>que apoia</v>
      </c>
      <c r="D5912" s="1" t="str">
        <f>IFERROR(__xludf.DUMMYFUNCTION("GOOGLETRANSLATE(B5912,""en"",""pt-br"")"),"positivo")</f>
        <v>positivo</v>
      </c>
    </row>
    <row r="5913" ht="15.75" customHeight="1">
      <c r="A5913" s="2" t="s">
        <v>5910</v>
      </c>
      <c r="B5913" s="2" t="s">
        <v>14</v>
      </c>
      <c r="C5913" s="1" t="str">
        <f>IFERROR(__xludf.DUMMYFUNCTION("GOOGLETRANSLATE(A5913,""en"",""pt-br"")"),"apoio")</f>
        <v>apoio</v>
      </c>
      <c r="D5913" s="1" t="str">
        <f>IFERROR(__xludf.DUMMYFUNCTION("GOOGLETRANSLATE(B5913,""en"",""pt-br"")"),"positivo")</f>
        <v>positivo</v>
      </c>
    </row>
    <row r="5914" ht="15.75" customHeight="1">
      <c r="A5914" s="2" t="s">
        <v>5911</v>
      </c>
      <c r="B5914" s="2" t="s">
        <v>14</v>
      </c>
      <c r="C5914" s="1" t="str">
        <f>IFERROR(__xludf.DUMMYFUNCTION("GOOGLETRANSLATE(A5914,""en"",""pt-br"")"),"apoia")</f>
        <v>apoia</v>
      </c>
      <c r="D5914" s="1" t="str">
        <f>IFERROR(__xludf.DUMMYFUNCTION("GOOGLETRANSLATE(B5914,""en"",""pt-br"")"),"positivo")</f>
        <v>positivo</v>
      </c>
    </row>
    <row r="5915" ht="15.75" customHeight="1">
      <c r="A5915" s="2" t="s">
        <v>5912</v>
      </c>
      <c r="B5915" s="2" t="s">
        <v>3</v>
      </c>
      <c r="C5915" s="1" t="str">
        <f>IFERROR(__xludf.DUMMYFUNCTION("GOOGLETRANSLATE(A5915,""en"",""pt-br"")"),"suprimir")</f>
        <v>suprimir</v>
      </c>
      <c r="D5915" s="1" t="str">
        <f>IFERROR(__xludf.DUMMYFUNCTION("GOOGLETRANSLATE(B5915,""en"",""pt-br"")"),"negativo")</f>
        <v>negativo</v>
      </c>
    </row>
    <row r="5916" ht="15.75" customHeight="1">
      <c r="A5916" s="2" t="s">
        <v>5913</v>
      </c>
      <c r="B5916" s="2" t="s">
        <v>3</v>
      </c>
      <c r="C5916" s="1" t="str">
        <f>IFERROR(__xludf.DUMMYFUNCTION("GOOGLETRANSLATE(A5916,""en"",""pt-br"")"),"supressão")</f>
        <v>supressão</v>
      </c>
      <c r="D5916" s="1" t="str">
        <f>IFERROR(__xludf.DUMMYFUNCTION("GOOGLETRANSLATE(B5916,""en"",""pt-br"")"),"negativo")</f>
        <v>negativo</v>
      </c>
    </row>
    <row r="5917" ht="15.75" customHeight="1">
      <c r="A5917" s="2" t="s">
        <v>5914</v>
      </c>
      <c r="B5917" s="2" t="s">
        <v>14</v>
      </c>
      <c r="C5917" s="1" t="str">
        <f>IFERROR(__xludf.DUMMYFUNCTION("GOOGLETRANSLATE(A5917,""en"",""pt-br"")"),"supremacia")</f>
        <v>supremacia</v>
      </c>
      <c r="D5917" s="1" t="str">
        <f>IFERROR(__xludf.DUMMYFUNCTION("GOOGLETRANSLATE(B5917,""en"",""pt-br"")"),"positivo")</f>
        <v>positivo</v>
      </c>
    </row>
    <row r="5918" ht="15.75" customHeight="1">
      <c r="A5918" s="2" t="s">
        <v>5915</v>
      </c>
      <c r="B5918" s="2" t="s">
        <v>14</v>
      </c>
      <c r="C5918" s="1" t="str">
        <f>IFERROR(__xludf.DUMMYFUNCTION("GOOGLETRANSLATE(A5918,""en"",""pt-br"")"),"supremo")</f>
        <v>supremo</v>
      </c>
      <c r="D5918" s="1" t="str">
        <f>IFERROR(__xludf.DUMMYFUNCTION("GOOGLETRANSLATE(B5918,""en"",""pt-br"")"),"positivo")</f>
        <v>positivo</v>
      </c>
    </row>
    <row r="5919" ht="15.75" customHeight="1">
      <c r="A5919" s="2" t="s">
        <v>5916</v>
      </c>
      <c r="B5919" s="2" t="s">
        <v>14</v>
      </c>
      <c r="C5919" s="1" t="str">
        <f>IFERROR(__xludf.DUMMYFUNCTION("GOOGLETRANSLATE(A5919,""en"",""pt-br"")"),"supremamente")</f>
        <v>supremamente</v>
      </c>
      <c r="D5919" s="1" t="str">
        <f>IFERROR(__xludf.DUMMYFUNCTION("GOOGLETRANSLATE(B5919,""en"",""pt-br"")"),"positivo")</f>
        <v>positivo</v>
      </c>
    </row>
    <row r="5920" ht="15.75" customHeight="1">
      <c r="A5920" s="2" t="s">
        <v>5917</v>
      </c>
      <c r="B5920" s="2" t="s">
        <v>14</v>
      </c>
      <c r="C5920" s="1" t="str">
        <f>IFERROR(__xludf.DUMMYFUNCTION("GOOGLETRANSLATE(A5920,""en"",""pt-br"")"),"supurb")</f>
        <v>supurb</v>
      </c>
      <c r="D5920" s="1" t="str">
        <f>IFERROR(__xludf.DUMMYFUNCTION("GOOGLETRANSLATE(B5920,""en"",""pt-br"")"),"positivo")</f>
        <v>positivo</v>
      </c>
    </row>
    <row r="5921" ht="15.75" customHeight="1">
      <c r="A5921" s="2" t="s">
        <v>5918</v>
      </c>
      <c r="B5921" s="2" t="s">
        <v>14</v>
      </c>
      <c r="C5921" s="1" t="str">
        <f>IFERROR(__xludf.DUMMYFUNCTION("GOOGLETRANSLATE(A5921,""en"",""pt-br"")"),"supurbly")</f>
        <v>supurbly</v>
      </c>
      <c r="D5921" s="1" t="str">
        <f>IFERROR(__xludf.DUMMYFUNCTION("GOOGLETRANSLATE(B5921,""en"",""pt-br"")"),"positivo")</f>
        <v>positivo</v>
      </c>
    </row>
    <row r="5922" ht="15.75" customHeight="1">
      <c r="A5922" s="2" t="s">
        <v>5919</v>
      </c>
      <c r="B5922" s="2" t="s">
        <v>14</v>
      </c>
      <c r="C5922" s="1" t="str">
        <f>IFERROR(__xludf.DUMMYFUNCTION("GOOGLETRANSLATE(A5922,""en"",""pt-br"")"),"superar")</f>
        <v>superar</v>
      </c>
      <c r="D5922" s="1" t="str">
        <f>IFERROR(__xludf.DUMMYFUNCTION("GOOGLETRANSLATE(B5922,""en"",""pt-br"")"),"positivo")</f>
        <v>positivo</v>
      </c>
    </row>
    <row r="5923" ht="15.75" customHeight="1">
      <c r="A5923" s="2" t="s">
        <v>5920</v>
      </c>
      <c r="B5923" s="2" t="s">
        <v>14</v>
      </c>
      <c r="C5923" s="1" t="str">
        <f>IFERROR(__xludf.DUMMYFUNCTION("GOOGLETRANSLATE(A5923,""en"",""pt-br"")"),"superar")</f>
        <v>superar</v>
      </c>
      <c r="D5923" s="1" t="str">
        <f>IFERROR(__xludf.DUMMYFUNCTION("GOOGLETRANSLATE(B5923,""en"",""pt-br"")"),"positivo")</f>
        <v>positivo</v>
      </c>
    </row>
    <row r="5924" ht="15.75" customHeight="1">
      <c r="A5924" s="2" t="s">
        <v>5921</v>
      </c>
      <c r="B5924" s="2" t="s">
        <v>14</v>
      </c>
      <c r="C5924" s="1" t="str">
        <f>IFERROR(__xludf.DUMMYFUNCTION("GOOGLETRANSLATE(A5924,""en"",""pt-br"")"),"surreal")</f>
        <v>surreal</v>
      </c>
      <c r="D5924" s="1" t="str">
        <f>IFERROR(__xludf.DUMMYFUNCTION("GOOGLETRANSLATE(B5924,""en"",""pt-br"")"),"positivo")</f>
        <v>positivo</v>
      </c>
    </row>
    <row r="5925" ht="15.75" customHeight="1">
      <c r="A5925" s="2" t="s">
        <v>5922</v>
      </c>
      <c r="B5925" s="2" t="s">
        <v>3</v>
      </c>
      <c r="C5925" s="1" t="str">
        <f>IFERROR(__xludf.DUMMYFUNCTION("GOOGLETRANSLATE(A5925,""en"",""pt-br"")"),"entrega")</f>
        <v>entrega</v>
      </c>
      <c r="D5925" s="1" t="str">
        <f>IFERROR(__xludf.DUMMYFUNCTION("GOOGLETRANSLATE(B5925,""en"",""pt-br"")"),"negativo")</f>
        <v>negativo</v>
      </c>
    </row>
    <row r="5926" ht="15.75" customHeight="1">
      <c r="A5926" s="2" t="s">
        <v>5923</v>
      </c>
      <c r="B5926" s="2" t="s">
        <v>14</v>
      </c>
      <c r="C5926" s="1" t="str">
        <f>IFERROR(__xludf.DUMMYFUNCTION("GOOGLETRANSLATE(A5926,""en"",""pt-br"")"),"sobrevivência")</f>
        <v>sobrevivência</v>
      </c>
      <c r="D5926" s="1" t="str">
        <f>IFERROR(__xludf.DUMMYFUNCTION("GOOGLETRANSLATE(B5926,""en"",""pt-br"")"),"positivo")</f>
        <v>positivo</v>
      </c>
    </row>
    <row r="5927" ht="15.75" customHeight="1">
      <c r="A5927" s="2" t="s">
        <v>5924</v>
      </c>
      <c r="B5927" s="2" t="s">
        <v>14</v>
      </c>
      <c r="C5927" s="1" t="str">
        <f>IFERROR(__xludf.DUMMYFUNCTION("GOOGLETRANSLATE(A5927,""en"",""pt-br"")"),"sobrevivente")</f>
        <v>sobrevivente</v>
      </c>
      <c r="D5927" s="1" t="str">
        <f>IFERROR(__xludf.DUMMYFUNCTION("GOOGLETRANSLATE(B5927,""en"",""pt-br"")"),"positivo")</f>
        <v>positivo</v>
      </c>
    </row>
    <row r="5928" ht="15.75" customHeight="1">
      <c r="A5928" s="2" t="s">
        <v>5925</v>
      </c>
      <c r="B5928" s="2" t="s">
        <v>3</v>
      </c>
      <c r="C5928" s="1" t="str">
        <f>IFERROR(__xludf.DUMMYFUNCTION("GOOGLETRANSLATE(A5928,""en"",""pt-br"")"),"suscetível")</f>
        <v>suscetível</v>
      </c>
      <c r="D5928" s="1" t="str">
        <f>IFERROR(__xludf.DUMMYFUNCTION("GOOGLETRANSLATE(B5928,""en"",""pt-br"")"),"negativo")</f>
        <v>negativo</v>
      </c>
    </row>
    <row r="5929" ht="15.75" customHeight="1">
      <c r="A5929" s="2" t="s">
        <v>5926</v>
      </c>
      <c r="B5929" s="2" t="s">
        <v>3</v>
      </c>
      <c r="C5929" s="1" t="str">
        <f>IFERROR(__xludf.DUMMYFUNCTION("GOOGLETRANSLATE(A5929,""en"",""pt-br"")"),"suspeito")</f>
        <v>suspeito</v>
      </c>
      <c r="D5929" s="1" t="str">
        <f>IFERROR(__xludf.DUMMYFUNCTION("GOOGLETRANSLATE(B5929,""en"",""pt-br"")"),"negativo")</f>
        <v>negativo</v>
      </c>
    </row>
    <row r="5930" ht="15.75" customHeight="1">
      <c r="A5930" s="2" t="s">
        <v>5927</v>
      </c>
      <c r="B5930" s="2" t="s">
        <v>3</v>
      </c>
      <c r="C5930" s="1" t="str">
        <f>IFERROR(__xludf.DUMMYFUNCTION("GOOGLETRANSLATE(A5930,""en"",""pt-br"")"),"suspeita")</f>
        <v>suspeita</v>
      </c>
      <c r="D5930" s="1" t="str">
        <f>IFERROR(__xludf.DUMMYFUNCTION("GOOGLETRANSLATE(B5930,""en"",""pt-br"")"),"negativo")</f>
        <v>negativo</v>
      </c>
    </row>
    <row r="5931" ht="15.75" customHeight="1">
      <c r="A5931" s="2" t="s">
        <v>5928</v>
      </c>
      <c r="B5931" s="2" t="s">
        <v>3</v>
      </c>
      <c r="C5931" s="1" t="str">
        <f>IFERROR(__xludf.DUMMYFUNCTION("GOOGLETRANSLATE(A5931,""en"",""pt-br"")"),"suspeitas")</f>
        <v>suspeitas</v>
      </c>
      <c r="D5931" s="1" t="str">
        <f>IFERROR(__xludf.DUMMYFUNCTION("GOOGLETRANSLATE(B5931,""en"",""pt-br"")"),"negativo")</f>
        <v>negativo</v>
      </c>
    </row>
    <row r="5932" ht="15.75" customHeight="1">
      <c r="A5932" s="2" t="s">
        <v>5929</v>
      </c>
      <c r="B5932" s="2" t="s">
        <v>3</v>
      </c>
      <c r="C5932" s="1" t="str">
        <f>IFERROR(__xludf.DUMMYFUNCTION("GOOGLETRANSLATE(A5932,""en"",""pt-br"")"),"suspeito")</f>
        <v>suspeito</v>
      </c>
      <c r="D5932" s="1" t="str">
        <f>IFERROR(__xludf.DUMMYFUNCTION("GOOGLETRANSLATE(B5932,""en"",""pt-br"")"),"negativo")</f>
        <v>negativo</v>
      </c>
    </row>
    <row r="5933" ht="15.75" customHeight="1">
      <c r="A5933" s="2" t="s">
        <v>5930</v>
      </c>
      <c r="B5933" s="2" t="s">
        <v>3</v>
      </c>
      <c r="C5933" s="1" t="str">
        <f>IFERROR(__xludf.DUMMYFUNCTION("GOOGLETRANSLATE(A5933,""en"",""pt-br"")"),"desconfiado")</f>
        <v>desconfiado</v>
      </c>
      <c r="D5933" s="1" t="str">
        <f>IFERROR(__xludf.DUMMYFUNCTION("GOOGLETRANSLATE(B5933,""en"",""pt-br"")"),"negativo")</f>
        <v>negativo</v>
      </c>
    </row>
    <row r="5934" ht="15.75" customHeight="1">
      <c r="A5934" s="2" t="s">
        <v>5931</v>
      </c>
      <c r="B5934" s="2" t="s">
        <v>14</v>
      </c>
      <c r="C5934" s="1" t="str">
        <f>IFERROR(__xludf.DUMMYFUNCTION("GOOGLETRANSLATE(A5934,""en"",""pt-br"")"),"sustentabilidade")</f>
        <v>sustentabilidade</v>
      </c>
      <c r="D5934" s="1" t="str">
        <f>IFERROR(__xludf.DUMMYFUNCTION("GOOGLETRANSLATE(B5934,""en"",""pt-br"")"),"positivo")</f>
        <v>positivo</v>
      </c>
    </row>
    <row r="5935" ht="15.75" customHeight="1">
      <c r="A5935" s="2" t="s">
        <v>5932</v>
      </c>
      <c r="B5935" s="2" t="s">
        <v>14</v>
      </c>
      <c r="C5935" s="1" t="str">
        <f>IFERROR(__xludf.DUMMYFUNCTION("GOOGLETRANSLATE(A5935,""en"",""pt-br"")"),"sustentável")</f>
        <v>sustentável</v>
      </c>
      <c r="D5935" s="1" t="str">
        <f>IFERROR(__xludf.DUMMYFUNCTION("GOOGLETRANSLATE(B5935,""en"",""pt-br"")"),"positivo")</f>
        <v>positivo</v>
      </c>
    </row>
    <row r="5936" ht="15.75" customHeight="1">
      <c r="A5936" s="2" t="s">
        <v>5933</v>
      </c>
      <c r="B5936" s="2" t="s">
        <v>3</v>
      </c>
      <c r="C5936" s="1" t="str">
        <f>IFERROR(__xludf.DUMMYFUNCTION("GOOGLETRANSLATE(A5936,""en"",""pt-br"")"),"bravata")</f>
        <v>bravata</v>
      </c>
      <c r="D5936" s="1" t="str">
        <f>IFERROR(__xludf.DUMMYFUNCTION("GOOGLETRANSLATE(B5936,""en"",""pt-br"")"),"negativo")</f>
        <v>negativo</v>
      </c>
    </row>
    <row r="5937" ht="15.75" customHeight="1">
      <c r="A5937" s="2" t="s">
        <v>5934</v>
      </c>
      <c r="B5937" s="2" t="s">
        <v>3</v>
      </c>
      <c r="C5937" s="1" t="str">
        <f>IFERROR(__xludf.DUMMYFUNCTION("GOOGLETRANSLATE(A5937,""en"",""pt-br"")"),"inundado")</f>
        <v>inundado</v>
      </c>
      <c r="D5937" s="1" t="str">
        <f>IFERROR(__xludf.DUMMYFUNCTION("GOOGLETRANSLATE(B5937,""en"",""pt-br"")"),"negativo")</f>
        <v>negativo</v>
      </c>
    </row>
    <row r="5938" ht="15.75" customHeight="1">
      <c r="A5938" s="2" t="s">
        <v>5935</v>
      </c>
      <c r="B5938" s="2" t="s">
        <v>14</v>
      </c>
      <c r="C5938" s="1" t="str">
        <f>IFERROR(__xludf.DUMMYFUNCTION("GOOGLETRANSLATE(A5938,""en"",""pt-br"")"),"ostentação")</f>
        <v>ostentação</v>
      </c>
      <c r="D5938" s="1" t="str">
        <f>IFERROR(__xludf.DUMMYFUNCTION("GOOGLETRANSLATE(B5938,""en"",""pt-br"")"),"positivo")</f>
        <v>positivo</v>
      </c>
    </row>
    <row r="5939" ht="15.75" customHeight="1">
      <c r="A5939" s="2" t="s">
        <v>5936</v>
      </c>
      <c r="B5939" s="2" t="s">
        <v>14</v>
      </c>
      <c r="C5939" s="1" t="str">
        <f>IFERROR(__xludf.DUMMYFUNCTION("GOOGLETRANSLATE(A5939,""en"",""pt-br"")"),"swankier")</f>
        <v>swankier</v>
      </c>
      <c r="D5939" s="1" t="str">
        <f>IFERROR(__xludf.DUMMYFUNCTION("GOOGLETRANSLATE(B5939,""en"",""pt-br"")"),"positivo")</f>
        <v>positivo</v>
      </c>
    </row>
    <row r="5940" ht="15.75" customHeight="1">
      <c r="A5940" s="2" t="s">
        <v>5937</v>
      </c>
      <c r="B5940" s="2" t="s">
        <v>14</v>
      </c>
      <c r="C5940" s="1" t="str">
        <f>IFERROR(__xludf.DUMMYFUNCTION("GOOGLETRANSLATE(A5940,""en"",""pt-br"")"),"swankiest")</f>
        <v>swankiest</v>
      </c>
      <c r="D5940" s="1" t="str">
        <f>IFERROR(__xludf.DUMMYFUNCTION("GOOGLETRANSLATE(B5940,""en"",""pt-br"")"),"positivo")</f>
        <v>positivo</v>
      </c>
    </row>
    <row r="5941" ht="15.75" customHeight="1">
      <c r="A5941" s="2" t="s">
        <v>5938</v>
      </c>
      <c r="B5941" s="2" t="s">
        <v>14</v>
      </c>
      <c r="C5941" s="1" t="str">
        <f>IFERROR(__xludf.DUMMYFUNCTION("GOOGLETRANSLATE(A5941,""en"",""pt-br"")"),"pretensioso")</f>
        <v>pretensioso</v>
      </c>
      <c r="D5941" s="1" t="str">
        <f>IFERROR(__xludf.DUMMYFUNCTION("GOOGLETRANSLATE(B5941,""en"",""pt-br"")"),"positivo")</f>
        <v>positivo</v>
      </c>
    </row>
    <row r="5942" ht="15.75" customHeight="1">
      <c r="A5942" s="2" t="s">
        <v>5939</v>
      </c>
      <c r="B5942" s="2" t="s">
        <v>3</v>
      </c>
      <c r="C5942" s="1" t="str">
        <f>IFERROR(__xludf.DUMMYFUNCTION("GOOGLETRANSLATE(A5942,""en"",""pt-br"")"),"suado")</f>
        <v>suado</v>
      </c>
      <c r="D5942" s="1" t="str">
        <f>IFERROR(__xludf.DUMMYFUNCTION("GOOGLETRANSLATE(B5942,""en"",""pt-br"")"),"negativo")</f>
        <v>negativo</v>
      </c>
    </row>
    <row r="5943" ht="15.75" customHeight="1">
      <c r="A5943" s="2" t="s">
        <v>5940</v>
      </c>
      <c r="B5943" s="2" t="s">
        <v>14</v>
      </c>
      <c r="C5943" s="1" t="str">
        <f>IFERROR(__xludf.DUMMYFUNCTION("GOOGLETRANSLATE(A5943,""en"",""pt-br"")"),"varredura")</f>
        <v>varredura</v>
      </c>
      <c r="D5943" s="1" t="str">
        <f>IFERROR(__xludf.DUMMYFUNCTION("GOOGLETRANSLATE(B5943,""en"",""pt-br"")"),"positivo")</f>
        <v>positivo</v>
      </c>
    </row>
    <row r="5944" ht="15.75" customHeight="1">
      <c r="A5944" s="2" t="s">
        <v>5941</v>
      </c>
      <c r="B5944" s="2" t="s">
        <v>14</v>
      </c>
      <c r="C5944" s="1" t="str">
        <f>IFERROR(__xludf.DUMMYFUNCTION("GOOGLETRANSLATE(A5944,""en"",""pt-br"")"),"doce")</f>
        <v>doce</v>
      </c>
      <c r="D5944" s="1" t="str">
        <f>IFERROR(__xludf.DUMMYFUNCTION("GOOGLETRANSLATE(B5944,""en"",""pt-br"")"),"positivo")</f>
        <v>positivo</v>
      </c>
    </row>
    <row r="5945" ht="15.75" customHeight="1">
      <c r="A5945" s="2" t="s">
        <v>5942</v>
      </c>
      <c r="B5945" s="2" t="s">
        <v>14</v>
      </c>
      <c r="C5945" s="1" t="str">
        <f>IFERROR(__xludf.DUMMYFUNCTION("GOOGLETRANSLATE(A5945,""en"",""pt-br"")"),"adoçar")</f>
        <v>adoçar</v>
      </c>
      <c r="D5945" s="1" t="str">
        <f>IFERROR(__xludf.DUMMYFUNCTION("GOOGLETRANSLATE(B5945,""en"",""pt-br"")"),"positivo")</f>
        <v>positivo</v>
      </c>
    </row>
    <row r="5946" ht="15.75" customHeight="1">
      <c r="A5946" s="2" t="s">
        <v>5943</v>
      </c>
      <c r="B5946" s="2" t="s">
        <v>14</v>
      </c>
      <c r="C5946" s="1" t="str">
        <f>IFERROR(__xludf.DUMMYFUNCTION("GOOGLETRANSLATE(A5946,""en"",""pt-br"")"),"amada")</f>
        <v>amada</v>
      </c>
      <c r="D5946" s="1" t="str">
        <f>IFERROR(__xludf.DUMMYFUNCTION("GOOGLETRANSLATE(B5946,""en"",""pt-br"")"),"positivo")</f>
        <v>positivo</v>
      </c>
    </row>
    <row r="5947" ht="15.75" customHeight="1">
      <c r="A5947" s="2" t="s">
        <v>5944</v>
      </c>
      <c r="B5947" s="2" t="s">
        <v>14</v>
      </c>
      <c r="C5947" s="1" t="str">
        <f>IFERROR(__xludf.DUMMYFUNCTION("GOOGLETRANSLATE(A5947,""en"",""pt-br"")"),"docemente")</f>
        <v>docemente</v>
      </c>
      <c r="D5947" s="1" t="str">
        <f>IFERROR(__xludf.DUMMYFUNCTION("GOOGLETRANSLATE(B5947,""en"",""pt-br"")"),"positivo")</f>
        <v>positivo</v>
      </c>
    </row>
    <row r="5948" ht="15.75" customHeight="1">
      <c r="A5948" s="2" t="s">
        <v>5945</v>
      </c>
      <c r="B5948" s="2" t="s">
        <v>14</v>
      </c>
      <c r="C5948" s="1" t="str">
        <f>IFERROR(__xludf.DUMMYFUNCTION("GOOGLETRANSLATE(A5948,""en"",""pt-br"")"),"Doçura")</f>
        <v>Doçura</v>
      </c>
      <c r="D5948" s="1" t="str">
        <f>IFERROR(__xludf.DUMMYFUNCTION("GOOGLETRANSLATE(B5948,""en"",""pt-br"")"),"positivo")</f>
        <v>positivo</v>
      </c>
    </row>
    <row r="5949" ht="15.75" customHeight="1">
      <c r="A5949" s="2" t="s">
        <v>5946</v>
      </c>
      <c r="B5949" s="2" t="s">
        <v>3</v>
      </c>
      <c r="C5949" s="1" t="str">
        <f>IFERROR(__xludf.DUMMYFUNCTION("GOOGLETRANSLATE(A5949,""en"",""pt-br"")"),"inchou")</f>
        <v>inchou</v>
      </c>
      <c r="D5949" s="1" t="str">
        <f>IFERROR(__xludf.DUMMYFUNCTION("GOOGLETRANSLATE(B5949,""en"",""pt-br"")"),"negativo")</f>
        <v>negativo</v>
      </c>
    </row>
    <row r="5950" ht="15.75" customHeight="1">
      <c r="A5950" s="2" t="s">
        <v>5947</v>
      </c>
      <c r="B5950" s="2" t="s">
        <v>3</v>
      </c>
      <c r="C5950" s="1" t="str">
        <f>IFERROR(__xludf.DUMMYFUNCTION("GOOGLETRANSLATE(A5950,""en"",""pt-br"")"),"inchaço")</f>
        <v>inchaço</v>
      </c>
      <c r="D5950" s="1" t="str">
        <f>IFERROR(__xludf.DUMMYFUNCTION("GOOGLETRANSLATE(B5950,""en"",""pt-br"")"),"negativo")</f>
        <v>negativo</v>
      </c>
    </row>
    <row r="5951" ht="15.75" customHeight="1">
      <c r="A5951" s="2" t="s">
        <v>5948</v>
      </c>
      <c r="B5951" s="2" t="s">
        <v>14</v>
      </c>
      <c r="C5951" s="1" t="str">
        <f>IFERROR(__xludf.DUMMYFUNCTION("GOOGLETRANSLATE(A5951,""en"",""pt-br"")"),"rápido")</f>
        <v>rápido</v>
      </c>
      <c r="D5951" s="1" t="str">
        <f>IFERROR(__xludf.DUMMYFUNCTION("GOOGLETRANSLATE(B5951,""en"",""pt-br"")"),"positivo")</f>
        <v>positivo</v>
      </c>
    </row>
    <row r="5952" ht="15.75" customHeight="1">
      <c r="A5952" s="2" t="s">
        <v>5949</v>
      </c>
      <c r="B5952" s="2" t="s">
        <v>14</v>
      </c>
      <c r="C5952" s="1" t="str">
        <f>IFERROR(__xludf.DUMMYFUNCTION("GOOGLETRANSLATE(A5952,""en"",""pt-br"")"),"rapidez")</f>
        <v>rapidez</v>
      </c>
      <c r="D5952" s="1" t="str">
        <f>IFERROR(__xludf.DUMMYFUNCTION("GOOGLETRANSLATE(B5952,""en"",""pt-br"")"),"positivo")</f>
        <v>positivo</v>
      </c>
    </row>
    <row r="5953" ht="15.75" customHeight="1">
      <c r="A5953" s="2" t="s">
        <v>5950</v>
      </c>
      <c r="B5953" s="2" t="s">
        <v>3</v>
      </c>
      <c r="C5953" s="1" t="str">
        <f>IFERROR(__xludf.DUMMYFUNCTION("GOOGLETRANSLATE(A5953,""en"",""pt-br"")"),"embuste")</f>
        <v>embuste</v>
      </c>
      <c r="D5953" s="1" t="str">
        <f>IFERROR(__xludf.DUMMYFUNCTION("GOOGLETRANSLATE(B5953,""en"",""pt-br"")"),"negativo")</f>
        <v>negativo</v>
      </c>
    </row>
    <row r="5954" ht="15.75" customHeight="1">
      <c r="A5954" s="2" t="s">
        <v>5951</v>
      </c>
      <c r="B5954" s="2" t="s">
        <v>3</v>
      </c>
      <c r="C5954" s="1" t="str">
        <f>IFERROR(__xludf.DUMMYFUNCTION("GOOGLETRANSLATE(A5954,""en"",""pt-br"")"),"pancada forte")</f>
        <v>pancada forte</v>
      </c>
      <c r="D5954" s="1" t="str">
        <f>IFERROR(__xludf.DUMMYFUNCTION("GOOGLETRANSLATE(B5954,""en"",""pt-br"")"),"negativo")</f>
        <v>negativo</v>
      </c>
    </row>
    <row r="5955" ht="15.75" customHeight="1">
      <c r="A5955" s="2" t="s">
        <v>5952</v>
      </c>
      <c r="B5955" s="2" t="s">
        <v>3</v>
      </c>
      <c r="C5955" s="1" t="str">
        <f>IFERROR(__xludf.DUMMYFUNCTION("GOOGLETRANSLATE(A5955,""en"",""pt-br"")"),"inchado")</f>
        <v>inchado</v>
      </c>
      <c r="D5955" s="1" t="str">
        <f>IFERROR(__xludf.DUMMYFUNCTION("GOOGLETRANSLATE(B5955,""en"",""pt-br"")"),"negativo")</f>
        <v>negativo</v>
      </c>
    </row>
    <row r="5956" ht="15.75" customHeight="1">
      <c r="A5956" s="2" t="s">
        <v>5953</v>
      </c>
      <c r="B5956" s="2" t="s">
        <v>3</v>
      </c>
      <c r="C5956" s="1" t="str">
        <f>IFERROR(__xludf.DUMMYFUNCTION("GOOGLETRANSLATE(A5956,""en"",""pt-br"")"),"sintoma")</f>
        <v>sintoma</v>
      </c>
      <c r="D5956" s="1" t="str">
        <f>IFERROR(__xludf.DUMMYFUNCTION("GOOGLETRANSLATE(B5956,""en"",""pt-br"")"),"negativo")</f>
        <v>negativo</v>
      </c>
    </row>
    <row r="5957" ht="15.75" customHeight="1">
      <c r="A5957" s="2" t="s">
        <v>5954</v>
      </c>
      <c r="B5957" s="2" t="s">
        <v>3</v>
      </c>
      <c r="C5957" s="1" t="str">
        <f>IFERROR(__xludf.DUMMYFUNCTION("GOOGLETRANSLATE(A5957,""en"",""pt-br"")"),"sintomas")</f>
        <v>sintomas</v>
      </c>
      <c r="D5957" s="1" t="str">
        <f>IFERROR(__xludf.DUMMYFUNCTION("GOOGLETRANSLATE(B5957,""en"",""pt-br"")"),"negativo")</f>
        <v>negativo</v>
      </c>
    </row>
    <row r="5958" ht="15.75" customHeight="1">
      <c r="A5958" s="2" t="s">
        <v>5955</v>
      </c>
      <c r="B5958" s="2" t="s">
        <v>3</v>
      </c>
      <c r="C5958" s="1" t="str">
        <f>IFERROR(__xludf.DUMMYFUNCTION("GOOGLETRANSLATE(A5958,""en"",""pt-br"")"),"síndrome")</f>
        <v>síndrome</v>
      </c>
      <c r="D5958" s="1" t="str">
        <f>IFERROR(__xludf.DUMMYFUNCTION("GOOGLETRANSLATE(B5958,""en"",""pt-br"")"),"negativo")</f>
        <v>negativo</v>
      </c>
    </row>
    <row r="5959" ht="15.75" customHeight="1">
      <c r="A5959" s="2" t="s">
        <v>5956</v>
      </c>
      <c r="B5959" s="2" t="s">
        <v>3</v>
      </c>
      <c r="C5959" s="1" t="str">
        <f>IFERROR(__xludf.DUMMYFUNCTION("GOOGLETRANSLATE(A5959,""en"",""pt-br"")"),"tabu")</f>
        <v>tabu</v>
      </c>
      <c r="D5959" s="1" t="str">
        <f>IFERROR(__xludf.DUMMYFUNCTION("GOOGLETRANSLATE(B5959,""en"",""pt-br"")"),"negativo")</f>
        <v>negativo</v>
      </c>
    </row>
    <row r="5960" ht="15.75" customHeight="1">
      <c r="A5960" s="2" t="s">
        <v>5957</v>
      </c>
      <c r="B5960" s="2" t="s">
        <v>3</v>
      </c>
      <c r="C5960" s="1" t="str">
        <f>IFERROR(__xludf.DUMMYFUNCTION("GOOGLETRANSLATE(A5960,""en"",""pt-br"")"),"brega")</f>
        <v>brega</v>
      </c>
      <c r="D5960" s="1" t="str">
        <f>IFERROR(__xludf.DUMMYFUNCTION("GOOGLETRANSLATE(B5960,""en"",""pt-br"")"),"negativo")</f>
        <v>negativo</v>
      </c>
    </row>
    <row r="5961" ht="15.75" customHeight="1">
      <c r="A5961" s="2" t="s">
        <v>5958</v>
      </c>
      <c r="B5961" s="2" t="s">
        <v>3</v>
      </c>
      <c r="C5961" s="1" t="str">
        <f>IFERROR(__xludf.DUMMYFUNCTION("GOOGLETRANSLATE(A5961,""en"",""pt-br"")"),"mácula")</f>
        <v>mácula</v>
      </c>
      <c r="D5961" s="1" t="str">
        <f>IFERROR(__xludf.DUMMYFUNCTION("GOOGLETRANSLATE(B5961,""en"",""pt-br"")"),"negativo")</f>
        <v>negativo</v>
      </c>
    </row>
    <row r="5962" ht="15.75" customHeight="1">
      <c r="A5962" s="2" t="s">
        <v>5959</v>
      </c>
      <c r="B5962" s="2" t="s">
        <v>3</v>
      </c>
      <c r="C5962" s="1" t="str">
        <f>IFERROR(__xludf.DUMMYFUNCTION("GOOGLETRANSLATE(A5962,""en"",""pt-br"")"),"estragado")</f>
        <v>estragado</v>
      </c>
      <c r="D5962" s="1" t="str">
        <f>IFERROR(__xludf.DUMMYFUNCTION("GOOGLETRANSLATE(B5962,""en"",""pt-br"")"),"negativo")</f>
        <v>negativo</v>
      </c>
    </row>
    <row r="5963" ht="15.75" customHeight="1">
      <c r="A5963" s="2" t="s">
        <v>5960</v>
      </c>
      <c r="B5963" s="2" t="s">
        <v>14</v>
      </c>
      <c r="C5963" s="1" t="str">
        <f>IFERROR(__xludf.DUMMYFUNCTION("GOOGLETRANSLATE(A5963,""en"",""pt-br"")"),"talento")</f>
        <v>talento</v>
      </c>
      <c r="D5963" s="1" t="str">
        <f>IFERROR(__xludf.DUMMYFUNCTION("GOOGLETRANSLATE(B5963,""en"",""pt-br"")"),"positivo")</f>
        <v>positivo</v>
      </c>
    </row>
    <row r="5964" ht="15.75" customHeight="1">
      <c r="A5964" s="2" t="s">
        <v>5961</v>
      </c>
      <c r="B5964" s="2" t="s">
        <v>14</v>
      </c>
      <c r="C5964" s="1" t="str">
        <f>IFERROR(__xludf.DUMMYFUNCTION("GOOGLETRANSLATE(A5964,""en"",""pt-br"")"),"talentoso")</f>
        <v>talentoso</v>
      </c>
      <c r="D5964" s="1" t="str">
        <f>IFERROR(__xludf.DUMMYFUNCTION("GOOGLETRANSLATE(B5964,""en"",""pt-br"")"),"positivo")</f>
        <v>positivo</v>
      </c>
    </row>
    <row r="5965" ht="15.75" customHeight="1">
      <c r="A5965" s="2" t="s">
        <v>5962</v>
      </c>
      <c r="B5965" s="2" t="s">
        <v>14</v>
      </c>
      <c r="C5965" s="1" t="str">
        <f>IFERROR(__xludf.DUMMYFUNCTION("GOOGLETRANSLATE(A5965,""en"",""pt-br"")"),"talentos")</f>
        <v>talentos</v>
      </c>
      <c r="D5965" s="1" t="str">
        <f>IFERROR(__xludf.DUMMYFUNCTION("GOOGLETRANSLATE(B5965,""en"",""pt-br"")"),"positivo")</f>
        <v>positivo</v>
      </c>
    </row>
    <row r="5966" ht="15.75" customHeight="1">
      <c r="A5966" s="2" t="s">
        <v>5963</v>
      </c>
      <c r="B5966" s="2" t="s">
        <v>3</v>
      </c>
      <c r="C5966" s="1" t="str">
        <f>IFERROR(__xludf.DUMMYFUNCTION("GOOGLETRANSLATE(A5966,""en"",""pt-br"")"),"adulteração")</f>
        <v>adulteração</v>
      </c>
      <c r="D5966" s="1" t="str">
        <f>IFERROR(__xludf.DUMMYFUNCTION("GOOGLETRANSLATE(B5966,""en"",""pt-br"")"),"negativo")</f>
        <v>negativo</v>
      </c>
    </row>
    <row r="5967" ht="15.75" customHeight="1">
      <c r="A5967" s="2" t="s">
        <v>5964</v>
      </c>
      <c r="B5967" s="2" t="s">
        <v>3</v>
      </c>
      <c r="C5967" s="1" t="str">
        <f>IFERROR(__xludf.DUMMYFUNCTION("GOOGLETRANSLATE(A5967,""en"",""pt-br"")"),"emaranhamento")</f>
        <v>emaranhamento</v>
      </c>
      <c r="D5967" s="1" t="str">
        <f>IFERROR(__xludf.DUMMYFUNCTION("GOOGLETRANSLATE(B5967,""en"",""pt-br"")"),"negativo")</f>
        <v>negativo</v>
      </c>
    </row>
    <row r="5968" ht="15.75" customHeight="1">
      <c r="A5968" s="2" t="s">
        <v>5965</v>
      </c>
      <c r="B5968" s="2" t="s">
        <v>3</v>
      </c>
      <c r="C5968" s="1" t="str">
        <f>IFERROR(__xludf.DUMMYFUNCTION("GOOGLETRANSLATE(A5968,""en"",""pt-br"")"),"emaranhado")</f>
        <v>emaranhado</v>
      </c>
      <c r="D5968" s="1" t="str">
        <f>IFERROR(__xludf.DUMMYFUNCTION("GOOGLETRANSLATE(B5968,""en"",""pt-br"")"),"negativo")</f>
        <v>negativo</v>
      </c>
    </row>
    <row r="5969" ht="15.75" customHeight="1">
      <c r="A5969" s="2" t="s">
        <v>5966</v>
      </c>
      <c r="B5969" s="2" t="s">
        <v>3</v>
      </c>
      <c r="C5969" s="1" t="str">
        <f>IFERROR(__xludf.DUMMYFUNCTION("GOOGLETRANSLATE(A5969,""en"",""pt-br"")"),"emaranhados")</f>
        <v>emaranhados</v>
      </c>
      <c r="D5969" s="1" t="str">
        <f>IFERROR(__xludf.DUMMYFUNCTION("GOOGLETRANSLATE(B5969,""en"",""pt-br"")"),"negativo")</f>
        <v>negativo</v>
      </c>
    </row>
    <row r="5970" ht="15.75" customHeight="1">
      <c r="A5970" s="2" t="s">
        <v>5967</v>
      </c>
      <c r="B5970" s="2" t="s">
        <v>3</v>
      </c>
      <c r="C5970" s="1" t="str">
        <f>IFERROR(__xludf.DUMMYFUNCTION("GOOGLETRANSLATE(A5970,""en"",""pt-br"")"),"tanque")</f>
        <v>tanque</v>
      </c>
      <c r="D5970" s="1" t="str">
        <f>IFERROR(__xludf.DUMMYFUNCTION("GOOGLETRANSLATE(B5970,""en"",""pt-br"")"),"negativo")</f>
        <v>negativo</v>
      </c>
    </row>
    <row r="5971" ht="15.75" customHeight="1">
      <c r="A5971" s="2" t="s">
        <v>5968</v>
      </c>
      <c r="B5971" s="2" t="s">
        <v>3</v>
      </c>
      <c r="C5971" s="1" t="str">
        <f>IFERROR(__xludf.DUMMYFUNCTION("GOOGLETRANSLATE(A5971,""en"",""pt-br"")"),"tanked")</f>
        <v>tanked</v>
      </c>
      <c r="D5971" s="1" t="str">
        <f>IFERROR(__xludf.DUMMYFUNCTION("GOOGLETRANSLATE(B5971,""en"",""pt-br"")"),"negativo")</f>
        <v>negativo</v>
      </c>
    </row>
    <row r="5972" ht="15.75" customHeight="1">
      <c r="A5972" s="2" t="s">
        <v>5969</v>
      </c>
      <c r="B5972" s="2" t="s">
        <v>3</v>
      </c>
      <c r="C5972" s="1" t="str">
        <f>IFERROR(__xludf.DUMMYFUNCTION("GOOGLETRANSLATE(A5972,""en"",""pt-br"")"),"tanques")</f>
        <v>tanques</v>
      </c>
      <c r="D5972" s="1" t="str">
        <f>IFERROR(__xludf.DUMMYFUNCTION("GOOGLETRANSLATE(B5972,""en"",""pt-br"")"),"negativo")</f>
        <v>negativo</v>
      </c>
    </row>
    <row r="5973" ht="15.75" customHeight="1">
      <c r="A5973" s="2" t="s">
        <v>5970</v>
      </c>
      <c r="B5973" s="2" t="s">
        <v>14</v>
      </c>
      <c r="C5973" s="1" t="str">
        <f>IFERROR(__xludf.DUMMYFUNCTION("GOOGLETRANSLATE(A5973,""en"",""pt-br"")"),"atormentar")</f>
        <v>atormentar</v>
      </c>
      <c r="D5973" s="1" t="str">
        <f>IFERROR(__xludf.DUMMYFUNCTION("GOOGLETRANSLATE(B5973,""en"",""pt-br"")"),"positivo")</f>
        <v>positivo</v>
      </c>
    </row>
    <row r="5974" ht="15.75" customHeight="1">
      <c r="A5974" s="2" t="s">
        <v>5971</v>
      </c>
      <c r="B5974" s="2" t="s">
        <v>14</v>
      </c>
      <c r="C5974" s="1" t="str">
        <f>IFERROR(__xludf.DUMMYFUNCTION("GOOGLETRANSLATE(A5974,""en"",""pt-br"")"),"tentadora")</f>
        <v>tentadora</v>
      </c>
      <c r="D5974" s="1" t="str">
        <f>IFERROR(__xludf.DUMMYFUNCTION("GOOGLETRANSLATE(B5974,""en"",""pt-br"")"),"positivo")</f>
        <v>positivo</v>
      </c>
    </row>
    <row r="5975" ht="15.75" customHeight="1">
      <c r="A5975" s="2" t="s">
        <v>5972</v>
      </c>
      <c r="B5975" s="2" t="s">
        <v>14</v>
      </c>
      <c r="C5975" s="1" t="str">
        <f>IFERROR(__xludf.DUMMYFUNCTION("GOOGLETRANSLATE(A5975,""en"",""pt-br"")"),"tentadoramente")</f>
        <v>tentadoramente</v>
      </c>
      <c r="D5975" s="1" t="str">
        <f>IFERROR(__xludf.DUMMYFUNCTION("GOOGLETRANSLATE(B5975,""en"",""pt-br"")"),"positivo")</f>
        <v>positivo</v>
      </c>
    </row>
    <row r="5976" ht="15.75" customHeight="1">
      <c r="A5976" s="2" t="s">
        <v>5973</v>
      </c>
      <c r="B5976" s="2" t="s">
        <v>3</v>
      </c>
      <c r="C5976" s="1" t="str">
        <f>IFERROR(__xludf.DUMMYFUNCTION("GOOGLETRANSLATE(A5976,""en"",""pt-br"")"),"petulância")</f>
        <v>petulância</v>
      </c>
      <c r="D5976" s="1" t="str">
        <f>IFERROR(__xludf.DUMMYFUNCTION("GOOGLETRANSLATE(B5976,""en"",""pt-br"")"),"negativo")</f>
        <v>negativo</v>
      </c>
    </row>
    <row r="5977" ht="15.75" customHeight="1">
      <c r="A5977" s="2" t="s">
        <v>5974</v>
      </c>
      <c r="B5977" s="2" t="s">
        <v>3</v>
      </c>
      <c r="C5977" s="1" t="str">
        <f>IFERROR(__xludf.DUMMYFUNCTION("GOOGLETRANSLATE(A5977,""en"",""pt-br"")"),"tardio")</f>
        <v>tardio</v>
      </c>
      <c r="D5977" s="1" t="str">
        <f>IFERROR(__xludf.DUMMYFUNCTION("GOOGLETRANSLATE(B5977,""en"",""pt-br"")"),"negativo")</f>
        <v>negativo</v>
      </c>
    </row>
    <row r="5978" ht="15.75" customHeight="1">
      <c r="A5978" s="2" t="s">
        <v>5975</v>
      </c>
      <c r="B5978" s="2" t="s">
        <v>3</v>
      </c>
      <c r="C5978" s="1" t="str">
        <f>IFERROR(__xludf.DUMMYFUNCTION("GOOGLETRANSLATE(A5978,""en"",""pt-br"")"),"manchar")</f>
        <v>manchar</v>
      </c>
      <c r="D5978" s="1" t="str">
        <f>IFERROR(__xludf.DUMMYFUNCTION("GOOGLETRANSLATE(B5978,""en"",""pt-br"")"),"negativo")</f>
        <v>negativo</v>
      </c>
    </row>
    <row r="5979" ht="15.75" customHeight="1">
      <c r="A5979" s="2" t="s">
        <v>5976</v>
      </c>
      <c r="B5979" s="2" t="s">
        <v>3</v>
      </c>
      <c r="C5979" s="1" t="str">
        <f>IFERROR(__xludf.DUMMYFUNCTION("GOOGLETRANSLATE(A5979,""en"",""pt-br"")"),"manchada")</f>
        <v>manchada</v>
      </c>
      <c r="D5979" s="1" t="str">
        <f>IFERROR(__xludf.DUMMYFUNCTION("GOOGLETRANSLATE(B5979,""en"",""pt-br"")"),"negativo")</f>
        <v>negativo</v>
      </c>
    </row>
    <row r="5980" ht="15.75" customHeight="1">
      <c r="A5980" s="2" t="s">
        <v>5977</v>
      </c>
      <c r="B5980" s="2" t="s">
        <v>3</v>
      </c>
      <c r="C5980" s="1" t="str">
        <f>IFERROR(__xludf.DUMMYFUNCTION("GOOGLETRANSLATE(A5980,""en"",""pt-br"")"),"tarnishes")</f>
        <v>tarnishes</v>
      </c>
      <c r="D5980" s="1" t="str">
        <f>IFERROR(__xludf.DUMMYFUNCTION("GOOGLETRANSLATE(B5980,""en"",""pt-br"")"),"negativo")</f>
        <v>negativo</v>
      </c>
    </row>
    <row r="5981" ht="15.75" customHeight="1">
      <c r="A5981" s="2" t="s">
        <v>5978</v>
      </c>
      <c r="B5981" s="2" t="s">
        <v>3</v>
      </c>
      <c r="C5981" s="1" t="str">
        <f>IFERROR(__xludf.DUMMYFUNCTION("GOOGLETRANSLATE(A5981,""en"",""pt-br"")"),"manchando")</f>
        <v>manchando</v>
      </c>
      <c r="D5981" s="1" t="str">
        <f>IFERROR(__xludf.DUMMYFUNCTION("GOOGLETRANSLATE(B5981,""en"",""pt-br"")"),"negativo")</f>
        <v>negativo</v>
      </c>
    </row>
    <row r="5982" ht="15.75" customHeight="1">
      <c r="A5982" s="2" t="s">
        <v>5979</v>
      </c>
      <c r="B5982" s="2" t="s">
        <v>3</v>
      </c>
      <c r="C5982" s="1" t="str">
        <f>IFERROR(__xludf.DUMMYFUNCTION("GOOGLETRANSLATE(A5982,""en"",""pt-br"")"),"esfarrapado")</f>
        <v>esfarrapado</v>
      </c>
      <c r="D5982" s="1" t="str">
        <f>IFERROR(__xludf.DUMMYFUNCTION("GOOGLETRANSLATE(B5982,""en"",""pt-br"")"),"negativo")</f>
        <v>negativo</v>
      </c>
    </row>
    <row r="5983" ht="15.75" customHeight="1">
      <c r="A5983" s="2" t="s">
        <v>5980</v>
      </c>
      <c r="B5983" s="2" t="s">
        <v>3</v>
      </c>
      <c r="C5983" s="1" t="str">
        <f>IFERROR(__xludf.DUMMYFUNCTION("GOOGLETRANSLATE(A5983,""en"",""pt-br"")"),"insulto")</f>
        <v>insulto</v>
      </c>
      <c r="D5983" s="1" t="str">
        <f>IFERROR(__xludf.DUMMYFUNCTION("GOOGLETRANSLATE(B5983,""en"",""pt-br"")"),"negativo")</f>
        <v>negativo</v>
      </c>
    </row>
    <row r="5984" ht="15.75" customHeight="1">
      <c r="A5984" s="2" t="s">
        <v>5981</v>
      </c>
      <c r="B5984" s="2" t="s">
        <v>3</v>
      </c>
      <c r="C5984" s="1" t="str">
        <f>IFERROR(__xludf.DUMMYFUNCTION("GOOGLETRANSLATE(A5984,""en"",""pt-br"")"),"insultos")</f>
        <v>insultos</v>
      </c>
      <c r="D5984" s="1" t="str">
        <f>IFERROR(__xludf.DUMMYFUNCTION("GOOGLETRANSLATE(B5984,""en"",""pt-br"")"),"negativo")</f>
        <v>negativo</v>
      </c>
    </row>
    <row r="5985" ht="15.75" customHeight="1">
      <c r="A5985" s="2" t="s">
        <v>5982</v>
      </c>
      <c r="B5985" s="2" t="s">
        <v>3</v>
      </c>
      <c r="C5985" s="1" t="str">
        <f>IFERROR(__xludf.DUMMYFUNCTION("GOOGLETRANSLATE(A5985,""en"",""pt-br"")"),"tauntingly")</f>
        <v>tauntingly</v>
      </c>
      <c r="D5985" s="1" t="str">
        <f>IFERROR(__xludf.DUMMYFUNCTION("GOOGLETRANSLATE(B5985,""en"",""pt-br"")"),"negativo")</f>
        <v>negativo</v>
      </c>
    </row>
    <row r="5986" ht="15.75" customHeight="1">
      <c r="A5986" s="2" t="s">
        <v>5983</v>
      </c>
      <c r="B5986" s="2" t="s">
        <v>3</v>
      </c>
      <c r="C5986" s="1" t="str">
        <f>IFERROR(__xludf.DUMMYFUNCTION("GOOGLETRANSLATE(A5986,""en"",""pt-br"")"),"provocações")</f>
        <v>provocações</v>
      </c>
      <c r="D5986" s="1" t="str">
        <f>IFERROR(__xludf.DUMMYFUNCTION("GOOGLETRANSLATE(B5986,""en"",""pt-br"")"),"negativo")</f>
        <v>negativo</v>
      </c>
    </row>
    <row r="5987" ht="15.75" customHeight="1">
      <c r="A5987" s="2" t="s">
        <v>5984</v>
      </c>
      <c r="B5987" s="2" t="s">
        <v>3</v>
      </c>
      <c r="C5987" s="1" t="str">
        <f>IFERROR(__xludf.DUMMYFUNCTION("GOOGLETRANSLATE(A5987,""en"",""pt-br"")"),"tenso")</f>
        <v>tenso</v>
      </c>
      <c r="D5987" s="1" t="str">
        <f>IFERROR(__xludf.DUMMYFUNCTION("GOOGLETRANSLATE(B5987,""en"",""pt-br"")"),"negativo")</f>
        <v>negativo</v>
      </c>
    </row>
    <row r="5988" ht="15.75" customHeight="1">
      <c r="A5988" s="2" t="s">
        <v>5985</v>
      </c>
      <c r="B5988" s="2" t="s">
        <v>3</v>
      </c>
      <c r="C5988" s="1" t="str">
        <f>IFERROR(__xludf.DUMMYFUNCTION("GOOGLETRANSLATE(A5988,""en"",""pt-br"")"),"espalhafatoso")</f>
        <v>espalhafatoso</v>
      </c>
      <c r="D5988" s="1" t="str">
        <f>IFERROR(__xludf.DUMMYFUNCTION("GOOGLETRANSLATE(B5988,""en"",""pt-br"")"),"negativo")</f>
        <v>negativo</v>
      </c>
    </row>
    <row r="5989" ht="15.75" customHeight="1">
      <c r="A5989" s="2" t="s">
        <v>5986</v>
      </c>
      <c r="B5989" s="2" t="s">
        <v>3</v>
      </c>
      <c r="C5989" s="1" t="str">
        <f>IFERROR(__xludf.DUMMYFUNCTION("GOOGLETRANSLATE(A5989,""en"",""pt-br"")"),"taxação")</f>
        <v>taxação</v>
      </c>
      <c r="D5989" s="1" t="str">
        <f>IFERROR(__xludf.DUMMYFUNCTION("GOOGLETRANSLATE(B5989,""en"",""pt-br"")"),"negativo")</f>
        <v>negativo</v>
      </c>
    </row>
    <row r="5990" ht="15.75" customHeight="1">
      <c r="A5990" s="2" t="s">
        <v>5987</v>
      </c>
      <c r="B5990" s="2" t="s">
        <v>3</v>
      </c>
      <c r="C5990" s="1" t="str">
        <f>IFERROR(__xludf.DUMMYFUNCTION("GOOGLETRANSLATE(A5990,""en"",""pt-br"")"),"provocação")</f>
        <v>provocação</v>
      </c>
      <c r="D5990" s="1" t="str">
        <f>IFERROR(__xludf.DUMMYFUNCTION("GOOGLETRANSLATE(B5990,""en"",""pt-br"")"),"negativo")</f>
        <v>negativo</v>
      </c>
    </row>
    <row r="5991" ht="15.75" customHeight="1">
      <c r="A5991" s="2" t="s">
        <v>5988</v>
      </c>
      <c r="B5991" s="2" t="s">
        <v>3</v>
      </c>
      <c r="C5991" s="1" t="str">
        <f>IFERROR(__xludf.DUMMYFUNCTION("GOOGLETRANSLATE(A5991,""en"",""pt-br"")"),"provocativamente")</f>
        <v>provocativamente</v>
      </c>
      <c r="D5991" s="1" t="str">
        <f>IFERROR(__xludf.DUMMYFUNCTION("GOOGLETRANSLATE(B5991,""en"",""pt-br"")"),"negativo")</f>
        <v>negativo</v>
      </c>
    </row>
    <row r="5992" ht="15.75" customHeight="1">
      <c r="A5992" s="2" t="s">
        <v>5989</v>
      </c>
      <c r="B5992" s="2" t="s">
        <v>3</v>
      </c>
      <c r="C5992" s="1" t="str">
        <f>IFERROR(__xludf.DUMMYFUNCTION("GOOGLETRANSLATE(A5992,""en"",""pt-br"")"),"tedioso")</f>
        <v>tedioso</v>
      </c>
      <c r="D5992" s="1" t="str">
        <f>IFERROR(__xludf.DUMMYFUNCTION("GOOGLETRANSLATE(B5992,""en"",""pt-br"")"),"negativo")</f>
        <v>negativo</v>
      </c>
    </row>
    <row r="5993" ht="15.75" customHeight="1">
      <c r="A5993" s="2" t="s">
        <v>5990</v>
      </c>
      <c r="B5993" s="2" t="s">
        <v>3</v>
      </c>
      <c r="C5993" s="1" t="str">
        <f>IFERROR(__xludf.DUMMYFUNCTION("GOOGLETRANSLATE(A5993,""en"",""pt-br"")"),"tediosamente")</f>
        <v>tediosamente</v>
      </c>
      <c r="D5993" s="1" t="str">
        <f>IFERROR(__xludf.DUMMYFUNCTION("GOOGLETRANSLATE(B5993,""en"",""pt-br"")"),"negativo")</f>
        <v>negativo</v>
      </c>
    </row>
    <row r="5994" ht="15.75" customHeight="1">
      <c r="A5994" s="2" t="s">
        <v>5991</v>
      </c>
      <c r="B5994" s="2" t="s">
        <v>3</v>
      </c>
      <c r="C5994" s="1" t="str">
        <f>IFERROR(__xludf.DUMMYFUNCTION("GOOGLETRANSLATE(A5994,""en"",""pt-br"")"),"temeridade")</f>
        <v>temeridade</v>
      </c>
      <c r="D5994" s="1" t="str">
        <f>IFERROR(__xludf.DUMMYFUNCTION("GOOGLETRANSLATE(B5994,""en"",""pt-br"")"),"negativo")</f>
        <v>negativo</v>
      </c>
    </row>
    <row r="5995" ht="15.75" customHeight="1">
      <c r="A5995" s="2" t="s">
        <v>5992</v>
      </c>
      <c r="B5995" s="2" t="s">
        <v>3</v>
      </c>
      <c r="C5995" s="1" t="str">
        <f>IFERROR(__xludf.DUMMYFUNCTION("GOOGLETRANSLATE(A5995,""en"",""pt-br"")"),"temperamento")</f>
        <v>temperamento</v>
      </c>
      <c r="D5995" s="1" t="str">
        <f>IFERROR(__xludf.DUMMYFUNCTION("GOOGLETRANSLATE(B5995,""en"",""pt-br"")"),"negativo")</f>
        <v>negativo</v>
      </c>
    </row>
    <row r="5996" ht="15.75" customHeight="1">
      <c r="A5996" s="2" t="s">
        <v>5993</v>
      </c>
      <c r="B5996" s="2" t="s">
        <v>3</v>
      </c>
      <c r="C5996" s="1" t="str">
        <f>IFERROR(__xludf.DUMMYFUNCTION("GOOGLETRANSLATE(A5996,""en"",""pt-br"")"),"tempestade")</f>
        <v>tempestade</v>
      </c>
      <c r="D5996" s="1" t="str">
        <f>IFERROR(__xludf.DUMMYFUNCTION("GOOGLETRANSLATE(B5996,""en"",""pt-br"")"),"negativo")</f>
        <v>negativo</v>
      </c>
    </row>
    <row r="5997" ht="15.75" customHeight="1">
      <c r="A5997" s="2" t="s">
        <v>5994</v>
      </c>
      <c r="B5997" s="2" t="s">
        <v>14</v>
      </c>
      <c r="C5997" s="1" t="str">
        <f>IFERROR(__xludf.DUMMYFUNCTION("GOOGLETRANSLATE(A5997,""en"",""pt-br"")"),"tentado")</f>
        <v>tentado</v>
      </c>
      <c r="D5997" s="1" t="str">
        <f>IFERROR(__xludf.DUMMYFUNCTION("GOOGLETRANSLATE(B5997,""en"",""pt-br"")"),"positivo")</f>
        <v>positivo</v>
      </c>
    </row>
    <row r="5998" ht="15.75" customHeight="1">
      <c r="A5998" s="2" t="s">
        <v>5995</v>
      </c>
      <c r="B5998" s="2" t="s">
        <v>3</v>
      </c>
      <c r="C5998" s="1" t="str">
        <f>IFERROR(__xludf.DUMMYFUNCTION("GOOGLETRANSLATE(A5998,""en"",""pt-br"")"),"tentação")</f>
        <v>tentação</v>
      </c>
      <c r="D5998" s="1" t="str">
        <f>IFERROR(__xludf.DUMMYFUNCTION("GOOGLETRANSLATE(B5998,""en"",""pt-br"")"),"negativo")</f>
        <v>negativo</v>
      </c>
    </row>
    <row r="5999" ht="15.75" customHeight="1">
      <c r="A5999" s="2" t="s">
        <v>5996</v>
      </c>
      <c r="B5999" s="2" t="s">
        <v>14</v>
      </c>
      <c r="C5999" s="1" t="str">
        <f>IFERROR(__xludf.DUMMYFUNCTION("GOOGLETRANSLATE(A5999,""en"",""pt-br"")"),"tentador")</f>
        <v>tentador</v>
      </c>
      <c r="D5999" s="1" t="str">
        <f>IFERROR(__xludf.DUMMYFUNCTION("GOOGLETRANSLATE(B5999,""en"",""pt-br"")"),"positivo")</f>
        <v>positivo</v>
      </c>
    </row>
    <row r="6000" ht="15.75" customHeight="1">
      <c r="A6000" s="2" t="s">
        <v>5997</v>
      </c>
      <c r="B6000" s="2" t="s">
        <v>14</v>
      </c>
      <c r="C6000" s="1" t="str">
        <f>IFERROR(__xludf.DUMMYFUNCTION("GOOGLETRANSLATE(A6000,""en"",""pt-br"")"),"tentadoramente")</f>
        <v>tentadoramente</v>
      </c>
      <c r="D6000" s="1" t="str">
        <f>IFERROR(__xludf.DUMMYFUNCTION("GOOGLETRANSLATE(B6000,""en"",""pt-br"")"),"positivo")</f>
        <v>positivo</v>
      </c>
    </row>
    <row r="6001" ht="15.75" customHeight="1">
      <c r="A6001" s="2" t="s">
        <v>5998</v>
      </c>
      <c r="B6001" s="2" t="s">
        <v>14</v>
      </c>
      <c r="C6001" s="1" t="str">
        <f>IFERROR(__xludf.DUMMYFUNCTION("GOOGLETRANSLATE(A6001,""en"",""pt-br"")"),"persistente")</f>
        <v>persistente</v>
      </c>
      <c r="D6001" s="1" t="str">
        <f>IFERROR(__xludf.DUMMYFUNCTION("GOOGLETRANSLATE(B6001,""en"",""pt-br"")"),"positivo")</f>
        <v>positivo</v>
      </c>
    </row>
    <row r="6002" ht="15.75" customHeight="1">
      <c r="A6002" s="2" t="s">
        <v>5999</v>
      </c>
      <c r="B6002" s="2" t="s">
        <v>14</v>
      </c>
      <c r="C6002" s="1" t="str">
        <f>IFERROR(__xludf.DUMMYFUNCTION("GOOGLETRANSLATE(A6002,""en"",""pt-br"")"),"tenazmente")</f>
        <v>tenazmente</v>
      </c>
      <c r="D6002" s="1" t="str">
        <f>IFERROR(__xludf.DUMMYFUNCTION("GOOGLETRANSLATE(B6002,""en"",""pt-br"")"),"positivo")</f>
        <v>positivo</v>
      </c>
    </row>
    <row r="6003" ht="15.75" customHeight="1">
      <c r="A6003" s="2" t="s">
        <v>6000</v>
      </c>
      <c r="B6003" s="2" t="s">
        <v>14</v>
      </c>
      <c r="C6003" s="1" t="str">
        <f>IFERROR(__xludf.DUMMYFUNCTION("GOOGLETRANSLATE(A6003,""en"",""pt-br"")"),"tenacidade")</f>
        <v>tenacidade</v>
      </c>
      <c r="D6003" s="1" t="str">
        <f>IFERROR(__xludf.DUMMYFUNCTION("GOOGLETRANSLATE(B6003,""en"",""pt-br"")"),"positivo")</f>
        <v>positivo</v>
      </c>
    </row>
    <row r="6004" ht="15.75" customHeight="1">
      <c r="A6004" s="2" t="s">
        <v>6001</v>
      </c>
      <c r="B6004" s="2" t="s">
        <v>14</v>
      </c>
      <c r="C6004" s="1" t="str">
        <f>IFERROR(__xludf.DUMMYFUNCTION("GOOGLETRANSLATE(A6004,""en"",""pt-br"")"),"tenro")</f>
        <v>tenro</v>
      </c>
      <c r="D6004" s="1" t="str">
        <f>IFERROR(__xludf.DUMMYFUNCTION("GOOGLETRANSLATE(B6004,""en"",""pt-br"")"),"positivo")</f>
        <v>positivo</v>
      </c>
    </row>
    <row r="6005" ht="15.75" customHeight="1">
      <c r="A6005" s="2" t="s">
        <v>6002</v>
      </c>
      <c r="B6005" s="2" t="s">
        <v>14</v>
      </c>
      <c r="C6005" s="1" t="str">
        <f>IFERROR(__xludf.DUMMYFUNCTION("GOOGLETRANSLATE(A6005,""en"",""pt-br"")"),"ternamente")</f>
        <v>ternamente</v>
      </c>
      <c r="D6005" s="1" t="str">
        <f>IFERROR(__xludf.DUMMYFUNCTION("GOOGLETRANSLATE(B6005,""en"",""pt-br"")"),"positivo")</f>
        <v>positivo</v>
      </c>
    </row>
    <row r="6006" ht="15.75" customHeight="1">
      <c r="A6006" s="2" t="s">
        <v>6003</v>
      </c>
      <c r="B6006" s="2" t="s">
        <v>3</v>
      </c>
      <c r="C6006" s="1" t="str">
        <f>IFERROR(__xludf.DUMMYFUNCTION("GOOGLETRANSLATE(A6006,""en"",""pt-br"")"),"ternura")</f>
        <v>ternura</v>
      </c>
      <c r="D6006" s="1" t="str">
        <f>IFERROR(__xludf.DUMMYFUNCTION("GOOGLETRANSLATE(B6006,""en"",""pt-br"")"),"negativo")</f>
        <v>negativo</v>
      </c>
    </row>
    <row r="6007" ht="15.75" customHeight="1">
      <c r="A6007" s="2" t="s">
        <v>6004</v>
      </c>
      <c r="B6007" s="2" t="s">
        <v>3</v>
      </c>
      <c r="C6007" s="1" t="str">
        <f>IFERROR(__xludf.DUMMYFUNCTION("GOOGLETRANSLATE(A6007,""en"",""pt-br"")"),"tenso")</f>
        <v>tenso</v>
      </c>
      <c r="D6007" s="1" t="str">
        <f>IFERROR(__xludf.DUMMYFUNCTION("GOOGLETRANSLATE(B6007,""en"",""pt-br"")"),"negativo")</f>
        <v>negativo</v>
      </c>
    </row>
    <row r="6008" ht="15.75" customHeight="1">
      <c r="A6008" s="2" t="s">
        <v>6005</v>
      </c>
      <c r="B6008" s="2" t="s">
        <v>3</v>
      </c>
      <c r="C6008" s="1" t="str">
        <f>IFERROR(__xludf.DUMMYFUNCTION("GOOGLETRANSLATE(A6008,""en"",""pt-br"")"),"tensão")</f>
        <v>tensão</v>
      </c>
      <c r="D6008" s="1" t="str">
        <f>IFERROR(__xludf.DUMMYFUNCTION("GOOGLETRANSLATE(B6008,""en"",""pt-br"")"),"negativo")</f>
        <v>negativo</v>
      </c>
    </row>
    <row r="6009" ht="15.75" customHeight="1">
      <c r="A6009" s="2" t="s">
        <v>6006</v>
      </c>
      <c r="B6009" s="2" t="s">
        <v>3</v>
      </c>
      <c r="C6009" s="1" t="str">
        <f>IFERROR(__xludf.DUMMYFUNCTION("GOOGLETRANSLATE(A6009,""en"",""pt-br"")"),"experimental")</f>
        <v>experimental</v>
      </c>
      <c r="D6009" s="1" t="str">
        <f>IFERROR(__xludf.DUMMYFUNCTION("GOOGLETRANSLATE(B6009,""en"",""pt-br"")"),"negativo")</f>
        <v>negativo</v>
      </c>
    </row>
    <row r="6010" ht="15.75" customHeight="1">
      <c r="A6010" s="2" t="s">
        <v>6007</v>
      </c>
      <c r="B6010" s="2" t="s">
        <v>3</v>
      </c>
      <c r="C6010" s="1" t="str">
        <f>IFERROR(__xludf.DUMMYFUNCTION("GOOGLETRANSLATE(A6010,""en"",""pt-br"")"),"tentativamente")</f>
        <v>tentativamente</v>
      </c>
      <c r="D6010" s="1" t="str">
        <f>IFERROR(__xludf.DUMMYFUNCTION("GOOGLETRANSLATE(B6010,""en"",""pt-br"")"),"negativo")</f>
        <v>negativo</v>
      </c>
    </row>
    <row r="6011" ht="15.75" customHeight="1">
      <c r="A6011" s="2" t="s">
        <v>6008</v>
      </c>
      <c r="B6011" s="2" t="s">
        <v>3</v>
      </c>
      <c r="C6011" s="1" t="str">
        <f>IFERROR(__xludf.DUMMYFUNCTION("GOOGLETRANSLATE(A6011,""en"",""pt-br"")"),"ténue")</f>
        <v>ténue</v>
      </c>
      <c r="D6011" s="1" t="str">
        <f>IFERROR(__xludf.DUMMYFUNCTION("GOOGLETRANSLATE(B6011,""en"",""pt-br"")"),"negativo")</f>
        <v>negativo</v>
      </c>
    </row>
    <row r="6012" ht="15.75" customHeight="1">
      <c r="A6012" s="2" t="s">
        <v>6009</v>
      </c>
      <c r="B6012" s="2" t="s">
        <v>3</v>
      </c>
      <c r="C6012" s="1" t="str">
        <f>IFERROR(__xludf.DUMMYFUNCTION("GOOGLETRANSLATE(A6012,""en"",""pt-br"")"),"tenuously")</f>
        <v>tenuously</v>
      </c>
      <c r="D6012" s="1" t="str">
        <f>IFERROR(__xludf.DUMMYFUNCTION("GOOGLETRANSLATE(B6012,""en"",""pt-br"")"),"negativo")</f>
        <v>negativo</v>
      </c>
    </row>
    <row r="6013" ht="15.75" customHeight="1">
      <c r="A6013" s="2" t="s">
        <v>6010</v>
      </c>
      <c r="B6013" s="2" t="s">
        <v>3</v>
      </c>
      <c r="C6013" s="1" t="str">
        <f>IFERROR(__xludf.DUMMYFUNCTION("GOOGLETRANSLATE(A6013,""en"",""pt-br"")"),"tépido")</f>
        <v>tépido</v>
      </c>
      <c r="D6013" s="1" t="str">
        <f>IFERROR(__xludf.DUMMYFUNCTION("GOOGLETRANSLATE(B6013,""en"",""pt-br"")"),"negativo")</f>
        <v>negativo</v>
      </c>
    </row>
    <row r="6014" ht="15.75" customHeight="1">
      <c r="A6014" s="2" t="s">
        <v>6011</v>
      </c>
      <c r="B6014" s="2" t="s">
        <v>3</v>
      </c>
      <c r="C6014" s="1" t="str">
        <f>IFERROR(__xludf.DUMMYFUNCTION("GOOGLETRANSLATE(A6014,""en"",""pt-br"")"),"Terrível")</f>
        <v>Terrível</v>
      </c>
      <c r="D6014" s="1" t="str">
        <f>IFERROR(__xludf.DUMMYFUNCTION("GOOGLETRANSLATE(B6014,""en"",""pt-br"")"),"negativo")</f>
        <v>negativo</v>
      </c>
    </row>
    <row r="6015" ht="15.75" customHeight="1">
      <c r="A6015" s="2" t="s">
        <v>6012</v>
      </c>
      <c r="B6015" s="2" t="s">
        <v>3</v>
      </c>
      <c r="C6015" s="1" t="str">
        <f>IFERROR(__xludf.DUMMYFUNCTION("GOOGLETRANSLATE(A6015,""en"",""pt-br"")"),"terribleness")</f>
        <v>terribleness</v>
      </c>
      <c r="D6015" s="1" t="str">
        <f>IFERROR(__xludf.DUMMYFUNCTION("GOOGLETRANSLATE(B6015,""en"",""pt-br"")"),"negativo")</f>
        <v>negativo</v>
      </c>
    </row>
    <row r="6016" ht="15.75" customHeight="1">
      <c r="A6016" s="2" t="s">
        <v>6013</v>
      </c>
      <c r="B6016" s="2" t="s">
        <v>3</v>
      </c>
      <c r="C6016" s="1" t="str">
        <f>IFERROR(__xludf.DUMMYFUNCTION("GOOGLETRANSLATE(A6016,""en"",""pt-br"")"),"terrivelmente")</f>
        <v>terrivelmente</v>
      </c>
      <c r="D6016" s="1" t="str">
        <f>IFERROR(__xludf.DUMMYFUNCTION("GOOGLETRANSLATE(B6016,""en"",""pt-br"")"),"negativo")</f>
        <v>negativo</v>
      </c>
    </row>
    <row r="6017" ht="15.75" customHeight="1">
      <c r="A6017" s="2" t="s">
        <v>6014</v>
      </c>
      <c r="B6017" s="2" t="s">
        <v>14</v>
      </c>
      <c r="C6017" s="1" t="str">
        <f>IFERROR(__xludf.DUMMYFUNCTION("GOOGLETRANSLATE(A6017,""en"",""pt-br"")"),"formidável")</f>
        <v>formidável</v>
      </c>
      <c r="D6017" s="1" t="str">
        <f>IFERROR(__xludf.DUMMYFUNCTION("GOOGLETRANSLATE(B6017,""en"",""pt-br"")"),"positivo")</f>
        <v>positivo</v>
      </c>
    </row>
    <row r="6018" ht="15.75" customHeight="1">
      <c r="A6018" s="2" t="s">
        <v>6015</v>
      </c>
      <c r="B6018" s="2" t="s">
        <v>14</v>
      </c>
      <c r="C6018" s="1" t="str">
        <f>IFERROR(__xludf.DUMMYFUNCTION("GOOGLETRANSLATE(A6018,""en"",""pt-br"")"),"terrifically")</f>
        <v>terrifically</v>
      </c>
      <c r="D6018" s="1" t="str">
        <f>IFERROR(__xludf.DUMMYFUNCTION("GOOGLETRANSLATE(B6018,""en"",""pt-br"")"),"positivo")</f>
        <v>positivo</v>
      </c>
    </row>
    <row r="6019" ht="15.75" customHeight="1">
      <c r="A6019" s="2" t="s">
        <v>6016</v>
      </c>
      <c r="B6019" s="2" t="s">
        <v>3</v>
      </c>
      <c r="C6019" s="1" t="str">
        <f>IFERROR(__xludf.DUMMYFUNCTION("GOOGLETRANSLATE(A6019,""en"",""pt-br"")"),"terror")</f>
        <v>terror</v>
      </c>
      <c r="D6019" s="1" t="str">
        <f>IFERROR(__xludf.DUMMYFUNCTION("GOOGLETRANSLATE(B6019,""en"",""pt-br"")"),"negativo")</f>
        <v>negativo</v>
      </c>
    </row>
    <row r="6020" ht="15.75" customHeight="1">
      <c r="A6020" s="2" t="s">
        <v>6017</v>
      </c>
      <c r="B6020" s="2" t="s">
        <v>3</v>
      </c>
      <c r="C6020" s="1" t="str">
        <f>IFERROR(__xludf.DUMMYFUNCTION("GOOGLETRANSLATE(A6020,""en"",""pt-br"")"),"terror-gênica")</f>
        <v>terror-gênica</v>
      </c>
      <c r="D6020" s="1" t="str">
        <f>IFERROR(__xludf.DUMMYFUNCTION("GOOGLETRANSLATE(B6020,""en"",""pt-br"")"),"negativo")</f>
        <v>negativo</v>
      </c>
    </row>
    <row r="6021" ht="15.75" customHeight="1">
      <c r="A6021" s="2" t="s">
        <v>6018</v>
      </c>
      <c r="B6021" s="2" t="s">
        <v>3</v>
      </c>
      <c r="C6021" s="1" t="str">
        <f>IFERROR(__xludf.DUMMYFUNCTION("GOOGLETRANSLATE(A6021,""en"",""pt-br"")"),"terrorismo")</f>
        <v>terrorismo</v>
      </c>
      <c r="D6021" s="1" t="str">
        <f>IFERROR(__xludf.DUMMYFUNCTION("GOOGLETRANSLATE(B6021,""en"",""pt-br"")"),"negativo")</f>
        <v>negativo</v>
      </c>
    </row>
    <row r="6022" ht="15.75" customHeight="1">
      <c r="A6022" s="2" t="s">
        <v>6019</v>
      </c>
      <c r="B6022" s="2" t="s">
        <v>3</v>
      </c>
      <c r="C6022" s="1" t="str">
        <f>IFERROR(__xludf.DUMMYFUNCTION("GOOGLETRANSLATE(A6022,""en"",""pt-br"")"),"aterrorizar")</f>
        <v>aterrorizar</v>
      </c>
      <c r="D6022" s="1" t="str">
        <f>IFERROR(__xludf.DUMMYFUNCTION("GOOGLETRANSLATE(B6022,""en"",""pt-br"")"),"negativo")</f>
        <v>negativo</v>
      </c>
    </row>
    <row r="6023" ht="15.75" customHeight="1">
      <c r="A6023" s="2" t="s">
        <v>6020</v>
      </c>
      <c r="B6023" s="2" t="s">
        <v>3</v>
      </c>
      <c r="C6023" s="1" t="str">
        <f>IFERROR(__xludf.DUMMYFUNCTION("GOOGLETRANSLATE(A6023,""en"",""pt-br"")"),"com irritação")</f>
        <v>com irritação</v>
      </c>
      <c r="D6023" s="1" t="str">
        <f>IFERROR(__xludf.DUMMYFUNCTION("GOOGLETRANSLATE(B6023,""en"",""pt-br"")"),"negativo")</f>
        <v>negativo</v>
      </c>
    </row>
    <row r="6024" ht="15.75" customHeight="1">
      <c r="A6024" s="2" t="s">
        <v>6021</v>
      </c>
      <c r="B6024" s="2" t="s">
        <v>3</v>
      </c>
      <c r="C6024" s="1" t="str">
        <f>IFERROR(__xludf.DUMMYFUNCTION("GOOGLETRANSLATE(A6024,""en"",""pt-br"")"),"irritável")</f>
        <v>irritável</v>
      </c>
      <c r="D6024" s="1" t="str">
        <f>IFERROR(__xludf.DUMMYFUNCTION("GOOGLETRANSLATE(B6024,""en"",""pt-br"")"),"negativo")</f>
        <v>negativo</v>
      </c>
    </row>
    <row r="6025" ht="15.75" customHeight="1">
      <c r="A6025" s="2" t="s">
        <v>6022</v>
      </c>
      <c r="B6025" s="2" t="s">
        <v>3</v>
      </c>
      <c r="C6025" s="1" t="str">
        <f>IFERROR(__xludf.DUMMYFUNCTION("GOOGLETRANSLATE(A6025,""en"",""pt-br"")"),"tetchily")</f>
        <v>tetchily</v>
      </c>
      <c r="D6025" s="1" t="str">
        <f>IFERROR(__xludf.DUMMYFUNCTION("GOOGLETRANSLATE(B6025,""en"",""pt-br"")"),"negativo")</f>
        <v>negativo</v>
      </c>
    </row>
    <row r="6026" ht="15.75" customHeight="1">
      <c r="A6026" s="2" t="s">
        <v>6023</v>
      </c>
      <c r="B6026" s="2" t="s">
        <v>3</v>
      </c>
      <c r="C6026" s="1" t="str">
        <f>IFERROR(__xludf.DUMMYFUNCTION("GOOGLETRANSLATE(A6026,""en"",""pt-br"")"),"irritado")</f>
        <v>irritado</v>
      </c>
      <c r="D6026" s="1" t="str">
        <f>IFERROR(__xludf.DUMMYFUNCTION("GOOGLETRANSLATE(B6026,""en"",""pt-br"")"),"negativo")</f>
        <v>negativo</v>
      </c>
    </row>
    <row r="6027" ht="15.75" customHeight="1">
      <c r="A6027" s="2" t="s">
        <v>6024</v>
      </c>
      <c r="B6027" s="2" t="s">
        <v>14</v>
      </c>
      <c r="C6027" s="1" t="str">
        <f>IFERROR(__xludf.DUMMYFUNCTION("GOOGLETRANSLATE(A6027,""en"",""pt-br"")"),"obrigado")</f>
        <v>obrigado</v>
      </c>
      <c r="D6027" s="1" t="str">
        <f>IFERROR(__xludf.DUMMYFUNCTION("GOOGLETRANSLATE(B6027,""en"",""pt-br"")"),"positivo")</f>
        <v>positivo</v>
      </c>
    </row>
    <row r="6028" ht="15.75" customHeight="1">
      <c r="A6028" s="2" t="s">
        <v>6025</v>
      </c>
      <c r="B6028" s="2" t="s">
        <v>14</v>
      </c>
      <c r="C6028" s="1" t="str">
        <f>IFERROR(__xludf.DUMMYFUNCTION("GOOGLETRANSLATE(A6028,""en"",""pt-br"")"),"grato")</f>
        <v>grato</v>
      </c>
      <c r="D6028" s="1" t="str">
        <f>IFERROR(__xludf.DUMMYFUNCTION("GOOGLETRANSLATE(B6028,""en"",""pt-br"")"),"positivo")</f>
        <v>positivo</v>
      </c>
    </row>
    <row r="6029" ht="15.75" customHeight="1">
      <c r="A6029" s="2" t="s">
        <v>6026</v>
      </c>
      <c r="B6029" s="2" t="s">
        <v>3</v>
      </c>
      <c r="C6029" s="1" t="str">
        <f>IFERROR(__xludf.DUMMYFUNCTION("GOOGLETRANSLATE(A6029,""en"",""pt-br"")"),"mal agradecido")</f>
        <v>mal agradecido</v>
      </c>
      <c r="D6029" s="1" t="str">
        <f>IFERROR(__xludf.DUMMYFUNCTION("GOOGLETRANSLATE(B6029,""en"",""pt-br"")"),"negativo")</f>
        <v>negativo</v>
      </c>
    </row>
    <row r="6030" ht="15.75" customHeight="1">
      <c r="A6030" s="2" t="s">
        <v>6027</v>
      </c>
      <c r="B6030" s="2" t="s">
        <v>3</v>
      </c>
      <c r="C6030" s="1" t="str">
        <f>IFERROR(__xludf.DUMMYFUNCTION("GOOGLETRANSLATE(A6030,""en"",""pt-br"")"),"mais grosso")</f>
        <v>mais grosso</v>
      </c>
      <c r="D6030" s="1" t="str">
        <f>IFERROR(__xludf.DUMMYFUNCTION("GOOGLETRANSLATE(B6030,""en"",""pt-br"")"),"negativo")</f>
        <v>negativo</v>
      </c>
    </row>
    <row r="6031" ht="15.75" customHeight="1">
      <c r="A6031" s="2" t="s">
        <v>6028</v>
      </c>
      <c r="B6031" s="2" t="s">
        <v>14</v>
      </c>
      <c r="C6031" s="1" t="str">
        <f>IFERROR(__xludf.DUMMYFUNCTION("GOOGLETRANSLATE(A6031,""en"",""pt-br"")"),"mais fino")</f>
        <v>mais fino</v>
      </c>
      <c r="D6031" s="1" t="str">
        <f>IFERROR(__xludf.DUMMYFUNCTION("GOOGLETRANSLATE(B6031,""en"",""pt-br"")"),"positivo")</f>
        <v>positivo</v>
      </c>
    </row>
    <row r="6032" ht="15.75" customHeight="1">
      <c r="A6032" s="2" t="s">
        <v>6029</v>
      </c>
      <c r="B6032" s="2" t="s">
        <v>3</v>
      </c>
      <c r="C6032" s="1" t="str">
        <f>IFERROR(__xludf.DUMMYFUNCTION("GOOGLETRANSLATE(A6032,""en"",""pt-br"")"),"sede")</f>
        <v>sede</v>
      </c>
      <c r="D6032" s="1" t="str">
        <f>IFERROR(__xludf.DUMMYFUNCTION("GOOGLETRANSLATE(B6032,""en"",""pt-br"")"),"negativo")</f>
        <v>negativo</v>
      </c>
    </row>
    <row r="6033" ht="15.75" customHeight="1">
      <c r="A6033" s="2" t="s">
        <v>6030</v>
      </c>
      <c r="B6033" s="2" t="s">
        <v>3</v>
      </c>
      <c r="C6033" s="1" t="str">
        <f>IFERROR(__xludf.DUMMYFUNCTION("GOOGLETRANSLATE(A6033,""en"",""pt-br"")"),"espinhoso")</f>
        <v>espinhoso</v>
      </c>
      <c r="D6033" s="1" t="str">
        <f>IFERROR(__xludf.DUMMYFUNCTION("GOOGLETRANSLATE(B6033,""en"",""pt-br"")"),"negativo")</f>
        <v>negativo</v>
      </c>
    </row>
    <row r="6034" ht="15.75" customHeight="1">
      <c r="A6034" s="2" t="s">
        <v>6031</v>
      </c>
      <c r="B6034" s="2" t="s">
        <v>14</v>
      </c>
      <c r="C6034" s="1" t="str">
        <f>IFERROR(__xludf.DUMMYFUNCTION("GOOGLETRANSLATE(A6034,""en"",""pt-br"")"),"pensativo")</f>
        <v>pensativo</v>
      </c>
      <c r="D6034" s="1" t="str">
        <f>IFERROR(__xludf.DUMMYFUNCTION("GOOGLETRANSLATE(B6034,""en"",""pt-br"")"),"positivo")</f>
        <v>positivo</v>
      </c>
    </row>
    <row r="6035" ht="15.75" customHeight="1">
      <c r="A6035" s="2" t="s">
        <v>6032</v>
      </c>
      <c r="B6035" s="2" t="s">
        <v>14</v>
      </c>
      <c r="C6035" s="1" t="str">
        <f>IFERROR(__xludf.DUMMYFUNCTION("GOOGLETRANSLATE(A6035,""en"",""pt-br"")"),"pensativo")</f>
        <v>pensativo</v>
      </c>
      <c r="D6035" s="1" t="str">
        <f>IFERROR(__xludf.DUMMYFUNCTION("GOOGLETRANSLATE(B6035,""en"",""pt-br"")"),"positivo")</f>
        <v>positivo</v>
      </c>
    </row>
    <row r="6036" ht="15.75" customHeight="1">
      <c r="A6036" s="2" t="s">
        <v>6033</v>
      </c>
      <c r="B6036" s="2" t="s">
        <v>14</v>
      </c>
      <c r="C6036" s="1" t="str">
        <f>IFERROR(__xludf.DUMMYFUNCTION("GOOGLETRANSLATE(A6036,""en"",""pt-br"")"),"Consideração")</f>
        <v>Consideração</v>
      </c>
      <c r="D6036" s="1" t="str">
        <f>IFERROR(__xludf.DUMMYFUNCTION("GOOGLETRANSLATE(B6036,""en"",""pt-br"")"),"positivo")</f>
        <v>positivo</v>
      </c>
    </row>
    <row r="6037" ht="15.75" customHeight="1">
      <c r="A6037" s="2" t="s">
        <v>6034</v>
      </c>
      <c r="B6037" s="2" t="s">
        <v>3</v>
      </c>
      <c r="C6037" s="1" t="str">
        <f>IFERROR(__xludf.DUMMYFUNCTION("GOOGLETRANSLATE(A6037,""en"",""pt-br"")"),"irrefletido")</f>
        <v>irrefletido</v>
      </c>
      <c r="D6037" s="1" t="str">
        <f>IFERROR(__xludf.DUMMYFUNCTION("GOOGLETRANSLATE(B6037,""en"",""pt-br"")"),"negativo")</f>
        <v>negativo</v>
      </c>
    </row>
    <row r="6038" ht="15.75" customHeight="1">
      <c r="A6038" s="2" t="s">
        <v>6035</v>
      </c>
      <c r="B6038" s="2" t="s">
        <v>3</v>
      </c>
      <c r="C6038" s="1" t="str">
        <f>IFERROR(__xludf.DUMMYFUNCTION("GOOGLETRANSLATE(A6038,""en"",""pt-br"")"),"impensadamente")</f>
        <v>impensadamente</v>
      </c>
      <c r="D6038" s="1" t="str">
        <f>IFERROR(__xludf.DUMMYFUNCTION("GOOGLETRANSLATE(B6038,""en"",""pt-br"")"),"negativo")</f>
        <v>negativo</v>
      </c>
    </row>
    <row r="6039" ht="15.75" customHeight="1">
      <c r="A6039" s="2" t="s">
        <v>6036</v>
      </c>
      <c r="B6039" s="2" t="s">
        <v>3</v>
      </c>
      <c r="C6039" s="1" t="str">
        <f>IFERROR(__xludf.DUMMYFUNCTION("GOOGLETRANSLATE(A6039,""en"",""pt-br"")"),"irreflexão")</f>
        <v>irreflexão</v>
      </c>
      <c r="D6039" s="1" t="str">
        <f>IFERROR(__xludf.DUMMYFUNCTION("GOOGLETRANSLATE(B6039,""en"",""pt-br"")"),"negativo")</f>
        <v>negativo</v>
      </c>
    </row>
    <row r="6040" ht="15.75" customHeight="1">
      <c r="A6040" s="2" t="s">
        <v>6037</v>
      </c>
      <c r="B6040" s="2" t="s">
        <v>3</v>
      </c>
      <c r="C6040" s="1" t="str">
        <f>IFERROR(__xludf.DUMMYFUNCTION("GOOGLETRANSLATE(A6040,""en"",""pt-br"")"),"lixo")</f>
        <v>lixo</v>
      </c>
      <c r="D6040" s="1" t="str">
        <f>IFERROR(__xludf.DUMMYFUNCTION("GOOGLETRANSLATE(B6040,""en"",""pt-br"")"),"negativo")</f>
        <v>negativo</v>
      </c>
    </row>
    <row r="6041" ht="15.75" customHeight="1">
      <c r="A6041" s="2" t="s">
        <v>6038</v>
      </c>
      <c r="B6041" s="2" t="s">
        <v>3</v>
      </c>
      <c r="C6041" s="1" t="str">
        <f>IFERROR(__xludf.DUMMYFUNCTION("GOOGLETRANSLATE(A6041,""en"",""pt-br"")"),"ameaça")</f>
        <v>ameaça</v>
      </c>
      <c r="D6041" s="1" t="str">
        <f>IFERROR(__xludf.DUMMYFUNCTION("GOOGLETRANSLATE(B6041,""en"",""pt-br"")"),"negativo")</f>
        <v>negativo</v>
      </c>
    </row>
    <row r="6042" ht="15.75" customHeight="1">
      <c r="A6042" s="2" t="s">
        <v>6039</v>
      </c>
      <c r="B6042" s="2" t="s">
        <v>3</v>
      </c>
      <c r="C6042" s="1" t="str">
        <f>IFERROR(__xludf.DUMMYFUNCTION("GOOGLETRANSLATE(A6042,""en"",""pt-br"")"),"ameaçar")</f>
        <v>ameaçar</v>
      </c>
      <c r="D6042" s="1" t="str">
        <f>IFERROR(__xludf.DUMMYFUNCTION("GOOGLETRANSLATE(B6042,""en"",""pt-br"")"),"negativo")</f>
        <v>negativo</v>
      </c>
    </row>
    <row r="6043" ht="15.75" customHeight="1">
      <c r="A6043" s="2" t="s">
        <v>6040</v>
      </c>
      <c r="B6043" s="2" t="s">
        <v>3</v>
      </c>
      <c r="C6043" s="1" t="str">
        <f>IFERROR(__xludf.DUMMYFUNCTION("GOOGLETRANSLATE(A6043,""en"",""pt-br"")"),"ameaçador")</f>
        <v>ameaçador</v>
      </c>
      <c r="D6043" s="1" t="str">
        <f>IFERROR(__xludf.DUMMYFUNCTION("GOOGLETRANSLATE(B6043,""en"",""pt-br"")"),"negativo")</f>
        <v>negativo</v>
      </c>
    </row>
    <row r="6044" ht="15.75" customHeight="1">
      <c r="A6044" s="2" t="s">
        <v>6041</v>
      </c>
      <c r="B6044" s="2" t="s">
        <v>3</v>
      </c>
      <c r="C6044" s="1" t="str">
        <f>IFERROR(__xludf.DUMMYFUNCTION("GOOGLETRANSLATE(A6044,""en"",""pt-br"")"),"ameaças")</f>
        <v>ameaças</v>
      </c>
      <c r="D6044" s="1" t="str">
        <f>IFERROR(__xludf.DUMMYFUNCTION("GOOGLETRANSLATE(B6044,""en"",""pt-br"")"),"negativo")</f>
        <v>negativo</v>
      </c>
    </row>
    <row r="6045" ht="15.75" customHeight="1">
      <c r="A6045" s="2" t="s">
        <v>6042</v>
      </c>
      <c r="B6045" s="2" t="s">
        <v>3</v>
      </c>
      <c r="C6045" s="1" t="str">
        <f>IFERROR(__xludf.DUMMYFUNCTION("GOOGLETRANSLATE(A6045,""en"",""pt-br"")"),"trindade")</f>
        <v>trindade</v>
      </c>
      <c r="D6045" s="1" t="str">
        <f>IFERROR(__xludf.DUMMYFUNCTION("GOOGLETRANSLATE(B6045,""en"",""pt-br"")"),"negativo")</f>
        <v>negativo</v>
      </c>
    </row>
    <row r="6046" ht="15.75" customHeight="1">
      <c r="A6046" s="2" t="s">
        <v>6043</v>
      </c>
      <c r="B6046" s="2" t="s">
        <v>14</v>
      </c>
      <c r="C6046" s="1" t="str">
        <f>IFERROR(__xludf.DUMMYFUNCTION("GOOGLETRANSLATE(A6046,""en"",""pt-br"")"),"parcimônia")</f>
        <v>parcimônia</v>
      </c>
      <c r="D6046" s="1" t="str">
        <f>IFERROR(__xludf.DUMMYFUNCTION("GOOGLETRANSLATE(B6046,""en"",""pt-br"")"),"positivo")</f>
        <v>positivo</v>
      </c>
    </row>
    <row r="6047" ht="15.75" customHeight="1">
      <c r="A6047" s="2" t="s">
        <v>6044</v>
      </c>
      <c r="B6047" s="2" t="s">
        <v>14</v>
      </c>
      <c r="C6047" s="1" t="str">
        <f>IFERROR(__xludf.DUMMYFUNCTION("GOOGLETRANSLATE(A6047,""en"",""pt-br"")"),"parcimonioso")</f>
        <v>parcimonioso</v>
      </c>
      <c r="D6047" s="1" t="str">
        <f>IFERROR(__xludf.DUMMYFUNCTION("GOOGLETRANSLATE(B6047,""en"",""pt-br"")"),"positivo")</f>
        <v>positivo</v>
      </c>
    </row>
    <row r="6048" ht="15.75" customHeight="1">
      <c r="A6048" s="2" t="s">
        <v>6045</v>
      </c>
      <c r="B6048" s="2" t="s">
        <v>14</v>
      </c>
      <c r="C6048" s="1" t="str">
        <f>IFERROR(__xludf.DUMMYFUNCTION("GOOGLETRANSLATE(A6048,""en"",""pt-br"")"),"emoção")</f>
        <v>emoção</v>
      </c>
      <c r="D6048" s="1" t="str">
        <f>IFERROR(__xludf.DUMMYFUNCTION("GOOGLETRANSLATE(B6048,""en"",""pt-br"")"),"positivo")</f>
        <v>positivo</v>
      </c>
    </row>
    <row r="6049" ht="15.75" customHeight="1">
      <c r="A6049" s="2" t="s">
        <v>6046</v>
      </c>
      <c r="B6049" s="2" t="s">
        <v>14</v>
      </c>
      <c r="C6049" s="1" t="str">
        <f>IFERROR(__xludf.DUMMYFUNCTION("GOOGLETRANSLATE(A6049,""en"",""pt-br"")"),"emocionados")</f>
        <v>emocionados</v>
      </c>
      <c r="D6049" s="1" t="str">
        <f>IFERROR(__xludf.DUMMYFUNCTION("GOOGLETRANSLATE(B6049,""en"",""pt-br"")"),"positivo")</f>
        <v>positivo</v>
      </c>
    </row>
    <row r="6050" ht="15.75" customHeight="1">
      <c r="A6050" s="2" t="s">
        <v>6047</v>
      </c>
      <c r="B6050" s="2" t="s">
        <v>14</v>
      </c>
      <c r="C6050" s="1" t="str">
        <f>IFERROR(__xludf.DUMMYFUNCTION("GOOGLETRANSLATE(A6050,""en"",""pt-br"")"),"emocionante")</f>
        <v>emocionante</v>
      </c>
      <c r="D6050" s="1" t="str">
        <f>IFERROR(__xludf.DUMMYFUNCTION("GOOGLETRANSLATE(B6050,""en"",""pt-br"")"),"positivo")</f>
        <v>positivo</v>
      </c>
    </row>
    <row r="6051" ht="15.75" customHeight="1">
      <c r="A6051" s="2" t="s">
        <v>6048</v>
      </c>
      <c r="B6051" s="2" t="s">
        <v>14</v>
      </c>
      <c r="C6051" s="1" t="str">
        <f>IFERROR(__xludf.DUMMYFUNCTION("GOOGLETRANSLATE(A6051,""en"",""pt-br"")"),"thrillingly")</f>
        <v>thrillingly</v>
      </c>
      <c r="D6051" s="1" t="str">
        <f>IFERROR(__xludf.DUMMYFUNCTION("GOOGLETRANSLATE(B6051,""en"",""pt-br"")"),"positivo")</f>
        <v>positivo</v>
      </c>
    </row>
    <row r="6052" ht="15.75" customHeight="1">
      <c r="A6052" s="2" t="s">
        <v>6049</v>
      </c>
      <c r="B6052" s="2" t="s">
        <v>14</v>
      </c>
      <c r="C6052" s="1" t="str">
        <f>IFERROR(__xludf.DUMMYFUNCTION("GOOGLETRANSLATE(A6052,""en"",""pt-br"")"),"emoções")</f>
        <v>emoções</v>
      </c>
      <c r="D6052" s="1" t="str">
        <f>IFERROR(__xludf.DUMMYFUNCTION("GOOGLETRANSLATE(B6052,""en"",""pt-br"")"),"positivo")</f>
        <v>positivo</v>
      </c>
    </row>
    <row r="6053" ht="15.75" customHeight="1">
      <c r="A6053" s="2" t="s">
        <v>6050</v>
      </c>
      <c r="B6053" s="2" t="s">
        <v>14</v>
      </c>
      <c r="C6053" s="1" t="str">
        <f>IFERROR(__xludf.DUMMYFUNCTION("GOOGLETRANSLATE(A6053,""en"",""pt-br"")"),"prosperar")</f>
        <v>prosperar</v>
      </c>
      <c r="D6053" s="1" t="str">
        <f>IFERROR(__xludf.DUMMYFUNCTION("GOOGLETRANSLATE(B6053,""en"",""pt-br"")"),"positivo")</f>
        <v>positivo</v>
      </c>
    </row>
    <row r="6054" ht="15.75" customHeight="1">
      <c r="A6054" s="2" t="s">
        <v>6051</v>
      </c>
      <c r="B6054" s="2" t="s">
        <v>14</v>
      </c>
      <c r="C6054" s="1" t="str">
        <f>IFERROR(__xludf.DUMMYFUNCTION("GOOGLETRANSLATE(A6054,""en"",""pt-br"")"),"prosperando")</f>
        <v>prosperando</v>
      </c>
      <c r="D6054" s="1" t="str">
        <f>IFERROR(__xludf.DUMMYFUNCTION("GOOGLETRANSLATE(B6054,""en"",""pt-br"")"),"positivo")</f>
        <v>positivo</v>
      </c>
    </row>
    <row r="6055" ht="15.75" customHeight="1">
      <c r="A6055" s="2" t="s">
        <v>6052</v>
      </c>
      <c r="B6055" s="2" t="s">
        <v>3</v>
      </c>
      <c r="C6055" s="1" t="str">
        <f>IFERROR(__xludf.DUMMYFUNCTION("GOOGLETRANSLATE(A6055,""en"",""pt-br"")"),"pulsar")</f>
        <v>pulsar</v>
      </c>
      <c r="D6055" s="1" t="str">
        <f>IFERROR(__xludf.DUMMYFUNCTION("GOOGLETRANSLATE(B6055,""en"",""pt-br"")"),"negativo")</f>
        <v>negativo</v>
      </c>
    </row>
    <row r="6056" ht="15.75" customHeight="1">
      <c r="A6056" s="2" t="s">
        <v>6053</v>
      </c>
      <c r="B6056" s="2" t="s">
        <v>3</v>
      </c>
      <c r="C6056" s="1" t="str">
        <f>IFERROR(__xludf.DUMMYFUNCTION("GOOGLETRANSLATE(A6056,""en"",""pt-br"")"),"latejava")</f>
        <v>latejava</v>
      </c>
      <c r="D6056" s="1" t="str">
        <f>IFERROR(__xludf.DUMMYFUNCTION("GOOGLETRANSLATE(B6056,""en"",""pt-br"")"),"negativo")</f>
        <v>negativo</v>
      </c>
    </row>
    <row r="6057" ht="15.75" customHeight="1">
      <c r="A6057" s="2" t="s">
        <v>6054</v>
      </c>
      <c r="B6057" s="2" t="s">
        <v>3</v>
      </c>
      <c r="C6057" s="1" t="str">
        <f>IFERROR(__xludf.DUMMYFUNCTION("GOOGLETRANSLATE(A6057,""en"",""pt-br"")"),"latejante")</f>
        <v>latejante</v>
      </c>
      <c r="D6057" s="1" t="str">
        <f>IFERROR(__xludf.DUMMYFUNCTION("GOOGLETRANSLATE(B6057,""en"",""pt-br"")"),"negativo")</f>
        <v>negativo</v>
      </c>
    </row>
    <row r="6058" ht="15.75" customHeight="1">
      <c r="A6058" s="2" t="s">
        <v>6055</v>
      </c>
      <c r="B6058" s="2" t="s">
        <v>3</v>
      </c>
      <c r="C6058" s="1" t="str">
        <f>IFERROR(__xludf.DUMMYFUNCTION("GOOGLETRANSLATE(A6058,""en"",""pt-br"")"),"throbs")</f>
        <v>throbs</v>
      </c>
      <c r="D6058" s="1" t="str">
        <f>IFERROR(__xludf.DUMMYFUNCTION("GOOGLETRANSLATE(B6058,""en"",""pt-br"")"),"negativo")</f>
        <v>negativo</v>
      </c>
    </row>
    <row r="6059" ht="15.75" customHeight="1">
      <c r="A6059" s="2" t="s">
        <v>6056</v>
      </c>
      <c r="B6059" s="2" t="s">
        <v>3</v>
      </c>
      <c r="C6059" s="1" t="str">
        <f>IFERROR(__xludf.DUMMYFUNCTION("GOOGLETRANSLATE(A6059,""en"",""pt-br"")"),"regulador de pressão")</f>
        <v>regulador de pressão</v>
      </c>
      <c r="D6059" s="1" t="str">
        <f>IFERROR(__xludf.DUMMYFUNCTION("GOOGLETRANSLATE(B6059,""en"",""pt-br"")"),"negativo")</f>
        <v>negativo</v>
      </c>
    </row>
    <row r="6060" ht="15.75" customHeight="1">
      <c r="A6060" s="2" t="s">
        <v>6057</v>
      </c>
      <c r="B6060" s="2" t="s">
        <v>3</v>
      </c>
      <c r="C6060" s="1" t="str">
        <f>IFERROR(__xludf.DUMMYFUNCTION("GOOGLETRANSLATE(A6060,""en"",""pt-br"")"),"bandido")</f>
        <v>bandido</v>
      </c>
      <c r="D6060" s="1" t="str">
        <f>IFERROR(__xludf.DUMMYFUNCTION("GOOGLETRANSLATE(B6060,""en"",""pt-br"")"),"negativo")</f>
        <v>negativo</v>
      </c>
    </row>
    <row r="6061" ht="15.75" customHeight="1">
      <c r="A6061" s="2" t="s">
        <v>6058</v>
      </c>
      <c r="B6061" s="2" t="s">
        <v>3</v>
      </c>
      <c r="C6061" s="1" t="str">
        <f>IFERROR(__xludf.DUMMYFUNCTION("GOOGLETRANSLATE(A6061,""en"",""pt-br"")"),"polegar para baixo")</f>
        <v>polegar para baixo</v>
      </c>
      <c r="D6061" s="1" t="str">
        <f>IFERROR(__xludf.DUMMYFUNCTION("GOOGLETRANSLATE(B6061,""en"",""pt-br"")"),"negativo")</f>
        <v>negativo</v>
      </c>
    </row>
    <row r="6062" ht="15.75" customHeight="1">
      <c r="A6062" s="2" t="s">
        <v>6059</v>
      </c>
      <c r="B6062" s="2" t="s">
        <v>14</v>
      </c>
      <c r="C6062" s="1" t="str">
        <f>IFERROR(__xludf.DUMMYFUNCTION("GOOGLETRANSLATE(A6062,""en"",""pt-br"")"),"thumb-up")</f>
        <v>thumb-up</v>
      </c>
      <c r="D6062" s="1" t="str">
        <f>IFERROR(__xludf.DUMMYFUNCTION("GOOGLETRANSLATE(B6062,""en"",""pt-br"")"),"positivo")</f>
        <v>positivo</v>
      </c>
    </row>
    <row r="6063" ht="15.75" customHeight="1">
      <c r="A6063" s="2" t="s">
        <v>6060</v>
      </c>
      <c r="B6063" s="2" t="s">
        <v>3</v>
      </c>
      <c r="C6063" s="1" t="str">
        <f>IFERROR(__xludf.DUMMYFUNCTION("GOOGLETRANSLATE(A6063,""en"",""pt-br"")"),"polegares para baixo")</f>
        <v>polegares para baixo</v>
      </c>
      <c r="D6063" s="1" t="str">
        <f>IFERROR(__xludf.DUMMYFUNCTION("GOOGLETRANSLATE(B6063,""en"",""pt-br"")"),"negativo")</f>
        <v>negativo</v>
      </c>
    </row>
    <row r="6064" ht="15.75" customHeight="1">
      <c r="A6064" s="2" t="s">
        <v>6061</v>
      </c>
      <c r="B6064" s="2" t="s">
        <v>14</v>
      </c>
      <c r="C6064" s="1" t="str">
        <f>IFERROR(__xludf.DUMMYFUNCTION("GOOGLETRANSLATE(A6064,""en"",""pt-br"")"),"afirmativo")</f>
        <v>afirmativo</v>
      </c>
      <c r="D6064" s="1" t="str">
        <f>IFERROR(__xludf.DUMMYFUNCTION("GOOGLETRANSLATE(B6064,""en"",""pt-br"")"),"positivo")</f>
        <v>positivo</v>
      </c>
    </row>
    <row r="6065" ht="15.75" customHeight="1">
      <c r="A6065" s="2" t="s">
        <v>6062</v>
      </c>
      <c r="B6065" s="2" t="s">
        <v>3</v>
      </c>
      <c r="C6065" s="1" t="str">
        <f>IFERROR(__xludf.DUMMYFUNCTION("GOOGLETRANSLATE(A6065,""en"",""pt-br"")"),"frustrar")</f>
        <v>frustrar</v>
      </c>
      <c r="D6065" s="1" t="str">
        <f>IFERROR(__xludf.DUMMYFUNCTION("GOOGLETRANSLATE(B6065,""en"",""pt-br"")"),"negativo")</f>
        <v>negativo</v>
      </c>
    </row>
    <row r="6066" ht="15.75" customHeight="1">
      <c r="A6066" s="2" t="s">
        <v>6063</v>
      </c>
      <c r="B6066" s="2" t="s">
        <v>14</v>
      </c>
      <c r="C6066" s="1" t="str">
        <f>IFERROR(__xludf.DUMMYFUNCTION("GOOGLETRANSLATE(A6066,""en"",""pt-br"")"),"cócegas")</f>
        <v>cócegas</v>
      </c>
      <c r="D6066" s="1" t="str">
        <f>IFERROR(__xludf.DUMMYFUNCTION("GOOGLETRANSLATE(B6066,""en"",""pt-br"")"),"positivo")</f>
        <v>positivo</v>
      </c>
    </row>
    <row r="6067" ht="15.75" customHeight="1">
      <c r="A6067" s="2" t="s">
        <v>6064</v>
      </c>
      <c r="B6067" s="2" t="s">
        <v>14</v>
      </c>
      <c r="C6067" s="1" t="str">
        <f>IFERROR(__xludf.DUMMYFUNCTION("GOOGLETRANSLATE(A6067,""en"",""pt-br"")"),"arrumado")</f>
        <v>arrumado</v>
      </c>
      <c r="D6067" s="1" t="str">
        <f>IFERROR(__xludf.DUMMYFUNCTION("GOOGLETRANSLATE(B6067,""en"",""pt-br"")"),"positivo")</f>
        <v>positivo</v>
      </c>
    </row>
    <row r="6068" ht="15.75" customHeight="1">
      <c r="A6068" s="2" t="s">
        <v>6065</v>
      </c>
      <c r="B6068" s="2" t="s">
        <v>3</v>
      </c>
      <c r="C6068" s="1" t="str">
        <f>IFERROR(__xludf.DUMMYFUNCTION("GOOGLETRANSLATE(A6068,""en"",""pt-br"")"),"demorado")</f>
        <v>demorado</v>
      </c>
      <c r="D6068" s="1" t="str">
        <f>IFERROR(__xludf.DUMMYFUNCTION("GOOGLETRANSLATE(B6068,""en"",""pt-br"")"),"negativo")</f>
        <v>negativo</v>
      </c>
    </row>
    <row r="6069" ht="15.75" customHeight="1">
      <c r="A6069" s="2" t="s">
        <v>6066</v>
      </c>
      <c r="B6069" s="2" t="s">
        <v>14</v>
      </c>
      <c r="C6069" s="1" t="str">
        <f>IFERROR(__xludf.DUMMYFUNCTION("GOOGLETRANSLATE(A6069,""en"",""pt-br"")"),"Honrada")</f>
        <v>Honrada</v>
      </c>
      <c r="D6069" s="1" t="str">
        <f>IFERROR(__xludf.DUMMYFUNCTION("GOOGLETRANSLATE(B6069,""en"",""pt-br"")"),"positivo")</f>
        <v>positivo</v>
      </c>
    </row>
    <row r="6070" ht="15.75" customHeight="1">
      <c r="A6070" s="2" t="s">
        <v>6067</v>
      </c>
      <c r="B6070" s="2" t="s">
        <v>14</v>
      </c>
      <c r="C6070" s="1" t="str">
        <f>IFERROR(__xludf.DUMMYFUNCTION("GOOGLETRANSLATE(A6070,""en"",""pt-br"")"),"oportuno")</f>
        <v>oportuno</v>
      </c>
      <c r="D6070" s="1" t="str">
        <f>IFERROR(__xludf.DUMMYFUNCTION("GOOGLETRANSLATE(B6070,""en"",""pt-br"")"),"positivo")</f>
        <v>positivo</v>
      </c>
    </row>
    <row r="6071" ht="15.75" customHeight="1">
      <c r="A6071" s="2" t="s">
        <v>6068</v>
      </c>
      <c r="B6071" s="2" t="s">
        <v>3</v>
      </c>
      <c r="C6071" s="1" t="str">
        <f>IFERROR(__xludf.DUMMYFUNCTION("GOOGLETRANSLATE(A6071,""en"",""pt-br"")"),"tímido")</f>
        <v>tímido</v>
      </c>
      <c r="D6071" s="1" t="str">
        <f>IFERROR(__xludf.DUMMYFUNCTION("GOOGLETRANSLATE(B6071,""en"",""pt-br"")"),"negativo")</f>
        <v>negativo</v>
      </c>
    </row>
    <row r="6072" ht="15.75" customHeight="1">
      <c r="A6072" s="2" t="s">
        <v>6069</v>
      </c>
      <c r="B6072" s="2" t="s">
        <v>3</v>
      </c>
      <c r="C6072" s="1" t="str">
        <f>IFERROR(__xludf.DUMMYFUNCTION("GOOGLETRANSLATE(A6072,""en"",""pt-br"")"),"timidez")</f>
        <v>timidez</v>
      </c>
      <c r="D6072" s="1" t="str">
        <f>IFERROR(__xludf.DUMMYFUNCTION("GOOGLETRANSLATE(B6072,""en"",""pt-br"")"),"negativo")</f>
        <v>negativo</v>
      </c>
    </row>
    <row r="6073" ht="15.75" customHeight="1">
      <c r="A6073" s="2" t="s">
        <v>6070</v>
      </c>
      <c r="B6073" s="2" t="s">
        <v>3</v>
      </c>
      <c r="C6073" s="1" t="str">
        <f>IFERROR(__xludf.DUMMYFUNCTION("GOOGLETRANSLATE(A6073,""en"",""pt-br"")"),"timidamente")</f>
        <v>timidamente</v>
      </c>
      <c r="D6073" s="1" t="str">
        <f>IFERROR(__xludf.DUMMYFUNCTION("GOOGLETRANSLATE(B6073,""en"",""pt-br"")"),"negativo")</f>
        <v>negativo</v>
      </c>
    </row>
    <row r="6074" ht="15.75" customHeight="1">
      <c r="A6074" s="2" t="s">
        <v>6071</v>
      </c>
      <c r="B6074" s="2" t="s">
        <v>3</v>
      </c>
      <c r="C6074" s="1" t="str">
        <f>IFERROR(__xludf.DUMMYFUNCTION("GOOGLETRANSLATE(A6074,""en"",""pt-br"")"),"timidness")</f>
        <v>timidness</v>
      </c>
      <c r="D6074" s="1" t="str">
        <f>IFERROR(__xludf.DUMMYFUNCTION("GOOGLETRANSLATE(B6074,""en"",""pt-br"")"),"negativo")</f>
        <v>negativo</v>
      </c>
    </row>
    <row r="6075" ht="15.75" customHeight="1">
      <c r="A6075" s="2" t="s">
        <v>6072</v>
      </c>
      <c r="B6075" s="2" t="s">
        <v>3</v>
      </c>
      <c r="C6075" s="1" t="str">
        <f>IFERROR(__xludf.DUMMYFUNCTION("GOOGLETRANSLATE(A6075,""en"",""pt-br"")"),"muito pequeno")</f>
        <v>muito pequeno</v>
      </c>
      <c r="D6075" s="1" t="str">
        <f>IFERROR(__xludf.DUMMYFUNCTION("GOOGLETRANSLATE(B6075,""en"",""pt-br"")"),"negativo")</f>
        <v>negativo</v>
      </c>
    </row>
    <row r="6076" ht="15.75" customHeight="1">
      <c r="A6076" s="2" t="s">
        <v>6073</v>
      </c>
      <c r="B6076" s="2" t="s">
        <v>14</v>
      </c>
      <c r="C6076" s="1" t="str">
        <f>IFERROR(__xludf.DUMMYFUNCTION("GOOGLETRANSLATE(A6076,""en"",""pt-br"")"),"formigar")</f>
        <v>formigar</v>
      </c>
      <c r="D6076" s="1" t="str">
        <f>IFERROR(__xludf.DUMMYFUNCTION("GOOGLETRANSLATE(B6076,""en"",""pt-br"")"),"positivo")</f>
        <v>positivo</v>
      </c>
    </row>
    <row r="6077" ht="15.75" customHeight="1">
      <c r="A6077" s="2" t="s">
        <v>6074</v>
      </c>
      <c r="B6077" s="2" t="s">
        <v>3</v>
      </c>
      <c r="C6077" s="1" t="str">
        <f>IFERROR(__xludf.DUMMYFUNCTION("GOOGLETRANSLATE(A6077,""en"",""pt-br"")"),"formigava")</f>
        <v>formigava</v>
      </c>
      <c r="D6077" s="1" t="str">
        <f>IFERROR(__xludf.DUMMYFUNCTION("GOOGLETRANSLATE(B6077,""en"",""pt-br"")"),"negativo")</f>
        <v>negativo</v>
      </c>
    </row>
    <row r="6078" ht="15.75" customHeight="1">
      <c r="A6078" s="2" t="s">
        <v>6075</v>
      </c>
      <c r="B6078" s="2" t="s">
        <v>3</v>
      </c>
      <c r="C6078" s="1" t="str">
        <f>IFERROR(__xludf.DUMMYFUNCTION("GOOGLETRANSLATE(A6078,""en"",""pt-br"")"),"formigamento")</f>
        <v>formigamento</v>
      </c>
      <c r="D6078" s="1" t="str">
        <f>IFERROR(__xludf.DUMMYFUNCTION("GOOGLETRANSLATE(B6078,""en"",""pt-br"")"),"negativo")</f>
        <v>negativo</v>
      </c>
    </row>
    <row r="6079" ht="15.75" customHeight="1">
      <c r="A6079" s="2" t="s">
        <v>6076</v>
      </c>
      <c r="B6079" s="2" t="s">
        <v>3</v>
      </c>
      <c r="C6079" s="1" t="str">
        <f>IFERROR(__xludf.DUMMYFUNCTION("GOOGLETRANSLATE(A6079,""en"",""pt-br"")"),"cansado")</f>
        <v>cansado</v>
      </c>
      <c r="D6079" s="1" t="str">
        <f>IFERROR(__xludf.DUMMYFUNCTION("GOOGLETRANSLATE(B6079,""en"",""pt-br"")"),"negativo")</f>
        <v>negativo</v>
      </c>
    </row>
    <row r="6080" ht="15.75" customHeight="1">
      <c r="A6080" s="2" t="s">
        <v>6077</v>
      </c>
      <c r="B6080" s="2" t="s">
        <v>3</v>
      </c>
      <c r="C6080" s="1" t="str">
        <f>IFERROR(__xludf.DUMMYFUNCTION("GOOGLETRANSLATE(A6080,""en"",""pt-br"")"),"cansativo")</f>
        <v>cansativo</v>
      </c>
      <c r="D6080" s="1" t="str">
        <f>IFERROR(__xludf.DUMMYFUNCTION("GOOGLETRANSLATE(B6080,""en"",""pt-br"")"),"negativo")</f>
        <v>negativo</v>
      </c>
    </row>
    <row r="6081" ht="15.75" customHeight="1">
      <c r="A6081" s="2" t="s">
        <v>6078</v>
      </c>
      <c r="B6081" s="2" t="s">
        <v>3</v>
      </c>
      <c r="C6081" s="1" t="str">
        <f>IFERROR(__xludf.DUMMYFUNCTION("GOOGLETRANSLATE(A6081,""en"",""pt-br"")"),"cansativo")</f>
        <v>cansativo</v>
      </c>
      <c r="D6081" s="1" t="str">
        <f>IFERROR(__xludf.DUMMYFUNCTION("GOOGLETRANSLATE(B6081,""en"",""pt-br"")"),"negativo")</f>
        <v>negativo</v>
      </c>
    </row>
    <row r="6082" ht="15.75" customHeight="1">
      <c r="A6082" s="2" t="s">
        <v>6079</v>
      </c>
      <c r="B6082" s="2" t="s">
        <v>3</v>
      </c>
      <c r="C6082" s="1" t="str">
        <f>IFERROR(__xludf.DUMMYFUNCTION("GOOGLETRANSLATE(A6082,""en"",""pt-br"")"),"tiringly")</f>
        <v>tiringly</v>
      </c>
      <c r="D6082" s="1" t="str">
        <f>IFERROR(__xludf.DUMMYFUNCTION("GOOGLETRANSLATE(B6082,""en"",""pt-br"")"),"negativo")</f>
        <v>negativo</v>
      </c>
    </row>
    <row r="6083" ht="15.75" customHeight="1">
      <c r="A6083" s="2" t="s">
        <v>6080</v>
      </c>
      <c r="B6083" s="2" t="s">
        <v>14</v>
      </c>
      <c r="C6083" s="1" t="str">
        <f>IFERROR(__xludf.DUMMYFUNCTION("GOOGLETRANSLATE(A6083,""en"",""pt-br"")"),"deleitar")</f>
        <v>deleitar</v>
      </c>
      <c r="D6083" s="1" t="str">
        <f>IFERROR(__xludf.DUMMYFUNCTION("GOOGLETRANSLATE(B6083,""en"",""pt-br"")"),"positivo")</f>
        <v>positivo</v>
      </c>
    </row>
    <row r="6084" ht="15.75" customHeight="1">
      <c r="A6084" s="2" t="s">
        <v>6081</v>
      </c>
      <c r="B6084" s="2" t="s">
        <v>14</v>
      </c>
      <c r="C6084" s="1" t="str">
        <f>IFERROR(__xludf.DUMMYFUNCTION("GOOGLETRANSLATE(A6084,""en"",""pt-br"")"),"excitante")</f>
        <v>excitante</v>
      </c>
      <c r="D6084" s="1" t="str">
        <f>IFERROR(__xludf.DUMMYFUNCTION("GOOGLETRANSLATE(B6084,""en"",""pt-br"")"),"positivo")</f>
        <v>positivo</v>
      </c>
    </row>
    <row r="6085" ht="15.75" customHeight="1">
      <c r="A6085" s="2" t="s">
        <v>6082</v>
      </c>
      <c r="B6085" s="2" t="s">
        <v>14</v>
      </c>
      <c r="C6085" s="1" t="str">
        <f>IFERROR(__xludf.DUMMYFUNCTION("GOOGLETRANSLATE(A6085,""en"",""pt-br"")"),"titillatingly")</f>
        <v>titillatingly</v>
      </c>
      <c r="D6085" s="1" t="str">
        <f>IFERROR(__xludf.DUMMYFUNCTION("GOOGLETRANSLATE(B6085,""en"",""pt-br"")"),"positivo")</f>
        <v>positivo</v>
      </c>
    </row>
    <row r="6086" ht="15.75" customHeight="1">
      <c r="A6086" s="2" t="s">
        <v>6083</v>
      </c>
      <c r="B6086" s="2" t="s">
        <v>14</v>
      </c>
      <c r="C6086" s="1" t="str">
        <f>IFERROR(__xludf.DUMMYFUNCTION("GOOGLETRANSLATE(A6086,""en"",""pt-br"")"),"União")</f>
        <v>União</v>
      </c>
      <c r="D6086" s="1" t="str">
        <f>IFERROR(__xludf.DUMMYFUNCTION("GOOGLETRANSLATE(B6086,""en"",""pt-br"")"),"positivo")</f>
        <v>positivo</v>
      </c>
    </row>
    <row r="6087" ht="15.75" customHeight="1">
      <c r="A6087" s="2" t="s">
        <v>6084</v>
      </c>
      <c r="B6087" s="2" t="s">
        <v>3</v>
      </c>
      <c r="C6087" s="1" t="str">
        <f>IFERROR(__xludf.DUMMYFUNCTION("GOOGLETRANSLATE(A6087,""en"",""pt-br"")"),"labuta")</f>
        <v>labuta</v>
      </c>
      <c r="D6087" s="1" t="str">
        <f>IFERROR(__xludf.DUMMYFUNCTION("GOOGLETRANSLATE(B6087,""en"",""pt-br"")"),"negativo")</f>
        <v>negativo</v>
      </c>
    </row>
    <row r="6088" ht="15.75" customHeight="1">
      <c r="A6088" s="2" t="s">
        <v>6085</v>
      </c>
      <c r="B6088" s="2" t="s">
        <v>14</v>
      </c>
      <c r="C6088" s="1" t="str">
        <f>IFERROR(__xludf.DUMMYFUNCTION("GOOGLETRANSLATE(A6088,""en"",""pt-br"")"),"tolerável")</f>
        <v>tolerável</v>
      </c>
      <c r="D6088" s="1" t="str">
        <f>IFERROR(__xludf.DUMMYFUNCTION("GOOGLETRANSLATE(B6088,""en"",""pt-br"")"),"positivo")</f>
        <v>positivo</v>
      </c>
    </row>
    <row r="6089" ht="15.75" customHeight="1">
      <c r="A6089" s="2" t="s">
        <v>6086</v>
      </c>
      <c r="B6089" s="2" t="s">
        <v>3</v>
      </c>
      <c r="C6089" s="1" t="str">
        <f>IFERROR(__xludf.DUMMYFUNCTION("GOOGLETRANSLATE(A6089,""en"",""pt-br"")"),"Pedágio")</f>
        <v>Pedágio</v>
      </c>
      <c r="D6089" s="1" t="str">
        <f>IFERROR(__xludf.DUMMYFUNCTION("GOOGLETRANSLATE(B6089,""en"",""pt-br"")"),"negativo")</f>
        <v>negativo</v>
      </c>
    </row>
    <row r="6090" ht="15.75" customHeight="1">
      <c r="A6090" s="2" t="s">
        <v>6087</v>
      </c>
      <c r="B6090" s="2" t="s">
        <v>14</v>
      </c>
      <c r="C6090" s="1" t="str">
        <f>IFERROR(__xludf.DUMMYFUNCTION("GOOGLETRANSLATE(A6090,""en"",""pt-br"")"),"grátis")</f>
        <v>grátis</v>
      </c>
      <c r="D6090" s="1" t="str">
        <f>IFERROR(__xludf.DUMMYFUNCTION("GOOGLETRANSLATE(B6090,""en"",""pt-br"")"),"positivo")</f>
        <v>positivo</v>
      </c>
    </row>
    <row r="6091" ht="15.75" customHeight="1">
      <c r="A6091" s="2" t="s">
        <v>6088</v>
      </c>
      <c r="B6091" s="2" t="s">
        <v>14</v>
      </c>
      <c r="C6091" s="1" t="str">
        <f>IFERROR(__xludf.DUMMYFUNCTION("GOOGLETRANSLATE(A6091,""en"",""pt-br"")"),"topo")</f>
        <v>topo</v>
      </c>
      <c r="D6091" s="1" t="str">
        <f>IFERROR(__xludf.DUMMYFUNCTION("GOOGLETRANSLATE(B6091,""en"",""pt-br"")"),"positivo")</f>
        <v>positivo</v>
      </c>
    </row>
    <row r="6092" ht="15.75" customHeight="1">
      <c r="A6092" s="2" t="s">
        <v>6089</v>
      </c>
      <c r="B6092" s="2" t="s">
        <v>3</v>
      </c>
      <c r="C6092" s="1" t="str">
        <f>IFERROR(__xludf.DUMMYFUNCTION("GOOGLETRANSLATE(A6092,""en"",""pt-br"")"),"desequilibrado")</f>
        <v>desequilibrado</v>
      </c>
      <c r="D6092" s="1" t="str">
        <f>IFERROR(__xludf.DUMMYFUNCTION("GOOGLETRANSLATE(B6092,""en"",""pt-br"")"),"negativo")</f>
        <v>negativo</v>
      </c>
    </row>
    <row r="6093" ht="15.75" customHeight="1">
      <c r="A6093" s="2" t="s">
        <v>6090</v>
      </c>
      <c r="B6093" s="2" t="s">
        <v>14</v>
      </c>
      <c r="C6093" s="1" t="str">
        <f>IFERROR(__xludf.DUMMYFUNCTION("GOOGLETRANSLATE(A6093,""en"",""pt-br"")"),"Top de linha")</f>
        <v>Top de linha</v>
      </c>
      <c r="D6093" s="1" t="str">
        <f>IFERROR(__xludf.DUMMYFUNCTION("GOOGLETRANSLATE(B6093,""en"",""pt-br"")"),"positivo")</f>
        <v>positivo</v>
      </c>
    </row>
    <row r="6094" ht="15.75" customHeight="1">
      <c r="A6094" s="2" t="s">
        <v>6091</v>
      </c>
      <c r="B6094" s="2" t="s">
        <v>14</v>
      </c>
      <c r="C6094" s="1" t="str">
        <f>IFERROR(__xludf.DUMMYFUNCTION("GOOGLETRANSLATE(A6094,""en"",""pt-br"")"),"qualidade máxima")</f>
        <v>qualidade máxima</v>
      </c>
      <c r="D6094" s="1" t="str">
        <f>IFERROR(__xludf.DUMMYFUNCTION("GOOGLETRANSLATE(B6094,""en"",""pt-br"")"),"positivo")</f>
        <v>positivo</v>
      </c>
    </row>
    <row r="6095" ht="15.75" customHeight="1">
      <c r="A6095" s="2" t="s">
        <v>6092</v>
      </c>
      <c r="B6095" s="2" t="s">
        <v>14</v>
      </c>
      <c r="C6095" s="1" t="str">
        <f>IFERROR(__xludf.DUMMYFUNCTION("GOOGLETRANSLATE(A6095,""en"",""pt-br"")"),"Top de linha")</f>
        <v>Top de linha</v>
      </c>
      <c r="D6095" s="1" t="str">
        <f>IFERROR(__xludf.DUMMYFUNCTION("GOOGLETRANSLATE(B6095,""en"",""pt-br"")"),"positivo")</f>
        <v>positivo</v>
      </c>
    </row>
    <row r="6096" ht="15.75" customHeight="1">
      <c r="A6096" s="2" t="s">
        <v>6093</v>
      </c>
      <c r="B6096" s="2" t="s">
        <v>3</v>
      </c>
      <c r="C6096" s="1" t="str">
        <f>IFERROR(__xludf.DUMMYFUNCTION("GOOGLETRANSLATE(A6096,""en"",""pt-br"")"),"tombar")</f>
        <v>tombar</v>
      </c>
      <c r="D6096" s="1" t="str">
        <f>IFERROR(__xludf.DUMMYFUNCTION("GOOGLETRANSLATE(B6096,""en"",""pt-br"")"),"negativo")</f>
        <v>negativo</v>
      </c>
    </row>
    <row r="6097" ht="15.75" customHeight="1">
      <c r="A6097" s="2" t="s">
        <v>6094</v>
      </c>
      <c r="B6097" s="2" t="s">
        <v>14</v>
      </c>
      <c r="C6097" s="1" t="str">
        <f>IFERROR(__xludf.DUMMYFUNCTION("GOOGLETRANSLATE(A6097,""en"",""pt-br"")"),"topos")</f>
        <v>topos</v>
      </c>
      <c r="D6097" s="1" t="str">
        <f>IFERROR(__xludf.DUMMYFUNCTION("GOOGLETRANSLATE(B6097,""en"",""pt-br"")"),"positivo")</f>
        <v>positivo</v>
      </c>
    </row>
    <row r="6098" ht="15.75" customHeight="1">
      <c r="A6098" s="2" t="s">
        <v>6095</v>
      </c>
      <c r="B6098" s="2" t="s">
        <v>3</v>
      </c>
      <c r="C6098" s="1" t="str">
        <f>IFERROR(__xludf.DUMMYFUNCTION("GOOGLETRANSLATE(A6098,""en"",""pt-br"")"),"tormento")</f>
        <v>tormento</v>
      </c>
      <c r="D6098" s="1" t="str">
        <f>IFERROR(__xludf.DUMMYFUNCTION("GOOGLETRANSLATE(B6098,""en"",""pt-br"")"),"negativo")</f>
        <v>negativo</v>
      </c>
    </row>
    <row r="6099" ht="15.75" customHeight="1">
      <c r="A6099" s="2" t="s">
        <v>6096</v>
      </c>
      <c r="B6099" s="2" t="s">
        <v>3</v>
      </c>
      <c r="C6099" s="1" t="str">
        <f>IFERROR(__xludf.DUMMYFUNCTION("GOOGLETRANSLATE(A6099,""en"",""pt-br"")"),"Tormented")</f>
        <v>Tormented</v>
      </c>
      <c r="D6099" s="1" t="str">
        <f>IFERROR(__xludf.DUMMYFUNCTION("GOOGLETRANSLATE(B6099,""en"",""pt-br"")"),"negativo")</f>
        <v>negativo</v>
      </c>
    </row>
    <row r="6100" ht="15.75" customHeight="1">
      <c r="A6100" s="2" t="s">
        <v>6097</v>
      </c>
      <c r="B6100" s="2" t="s">
        <v>3</v>
      </c>
      <c r="C6100" s="1" t="str">
        <f>IFERROR(__xludf.DUMMYFUNCTION("GOOGLETRANSLATE(A6100,""en"",""pt-br"")"),"torrente")</f>
        <v>torrente</v>
      </c>
      <c r="D6100" s="1" t="str">
        <f>IFERROR(__xludf.DUMMYFUNCTION("GOOGLETRANSLATE(B6100,""en"",""pt-br"")"),"negativo")</f>
        <v>negativo</v>
      </c>
    </row>
    <row r="6101" ht="15.75" customHeight="1">
      <c r="A6101" s="2" t="s">
        <v>6098</v>
      </c>
      <c r="B6101" s="2" t="s">
        <v>3</v>
      </c>
      <c r="C6101" s="1" t="str">
        <f>IFERROR(__xludf.DUMMYFUNCTION("GOOGLETRANSLATE(A6101,""en"",""pt-br"")"),"tortuoso")</f>
        <v>tortuoso</v>
      </c>
      <c r="D6101" s="1" t="str">
        <f>IFERROR(__xludf.DUMMYFUNCTION("GOOGLETRANSLATE(B6101,""en"",""pt-br"")"),"negativo")</f>
        <v>negativo</v>
      </c>
    </row>
    <row r="6102" ht="15.75" customHeight="1">
      <c r="A6102" s="2" t="s">
        <v>6099</v>
      </c>
      <c r="B6102" s="2" t="s">
        <v>3</v>
      </c>
      <c r="C6102" s="1" t="str">
        <f>IFERROR(__xludf.DUMMYFUNCTION("GOOGLETRANSLATE(A6102,""en"",""pt-br"")"),"tortura")</f>
        <v>tortura</v>
      </c>
      <c r="D6102" s="1" t="str">
        <f>IFERROR(__xludf.DUMMYFUNCTION("GOOGLETRANSLATE(B6102,""en"",""pt-br"")"),"negativo")</f>
        <v>negativo</v>
      </c>
    </row>
    <row r="6103" ht="15.75" customHeight="1">
      <c r="A6103" s="2" t="s">
        <v>6100</v>
      </c>
      <c r="B6103" s="2" t="s">
        <v>3</v>
      </c>
      <c r="C6103" s="1" t="str">
        <f>IFERROR(__xludf.DUMMYFUNCTION("GOOGLETRANSLATE(A6103,""en"",""pt-br"")"),"torturada")</f>
        <v>torturada</v>
      </c>
      <c r="D6103" s="1" t="str">
        <f>IFERROR(__xludf.DUMMYFUNCTION("GOOGLETRANSLATE(B6103,""en"",""pt-br"")"),"negativo")</f>
        <v>negativo</v>
      </c>
    </row>
    <row r="6104" ht="15.75" customHeight="1">
      <c r="A6104" s="2" t="s">
        <v>6101</v>
      </c>
      <c r="B6104" s="2" t="s">
        <v>3</v>
      </c>
      <c r="C6104" s="1" t="str">
        <f>IFERROR(__xludf.DUMMYFUNCTION("GOOGLETRANSLATE(A6104,""en"",""pt-br"")"),"torturas")</f>
        <v>torturas</v>
      </c>
      <c r="D6104" s="1" t="str">
        <f>IFERROR(__xludf.DUMMYFUNCTION("GOOGLETRANSLATE(B6104,""en"",""pt-br"")"),"negativo")</f>
        <v>negativo</v>
      </c>
    </row>
    <row r="6105" ht="15.75" customHeight="1">
      <c r="A6105" s="2" t="s">
        <v>6102</v>
      </c>
      <c r="B6105" s="2" t="s">
        <v>3</v>
      </c>
      <c r="C6105" s="1" t="str">
        <f>IFERROR(__xludf.DUMMYFUNCTION("GOOGLETRANSLATE(A6105,""en"",""pt-br"")"),"tortura")</f>
        <v>tortura</v>
      </c>
      <c r="D6105" s="1" t="str">
        <f>IFERROR(__xludf.DUMMYFUNCTION("GOOGLETRANSLATE(B6105,""en"",""pt-br"")"),"negativo")</f>
        <v>negativo</v>
      </c>
    </row>
    <row r="6106" ht="15.75" customHeight="1">
      <c r="A6106" s="2" t="s">
        <v>6103</v>
      </c>
      <c r="B6106" s="2" t="s">
        <v>3</v>
      </c>
      <c r="C6106" s="1" t="str">
        <f>IFERROR(__xludf.DUMMYFUNCTION("GOOGLETRANSLATE(A6106,""en"",""pt-br"")"),"tortuoso")</f>
        <v>tortuoso</v>
      </c>
      <c r="D6106" s="1" t="str">
        <f>IFERROR(__xludf.DUMMYFUNCTION("GOOGLETRANSLATE(B6106,""en"",""pt-br"")"),"negativo")</f>
        <v>negativo</v>
      </c>
    </row>
    <row r="6107" ht="15.75" customHeight="1">
      <c r="A6107" s="2" t="s">
        <v>6104</v>
      </c>
      <c r="B6107" s="2" t="s">
        <v>3</v>
      </c>
      <c r="C6107" s="1" t="str">
        <f>IFERROR(__xludf.DUMMYFUNCTION("GOOGLETRANSLATE(A6107,""en"",""pt-br"")"),"torturously")</f>
        <v>torturously</v>
      </c>
      <c r="D6107" s="1" t="str">
        <f>IFERROR(__xludf.DUMMYFUNCTION("GOOGLETRANSLATE(B6107,""en"",""pt-br"")"),"negativo")</f>
        <v>negativo</v>
      </c>
    </row>
    <row r="6108" ht="15.75" customHeight="1">
      <c r="A6108" s="2" t="s">
        <v>6105</v>
      </c>
      <c r="B6108" s="2" t="s">
        <v>3</v>
      </c>
      <c r="C6108" s="1" t="str">
        <f>IFERROR(__xludf.DUMMYFUNCTION("GOOGLETRANSLATE(A6108,""en"",""pt-br"")"),"totalitário")</f>
        <v>totalitário</v>
      </c>
      <c r="D6108" s="1" t="str">
        <f>IFERROR(__xludf.DUMMYFUNCTION("GOOGLETRANSLATE(B6108,""en"",""pt-br"")"),"negativo")</f>
        <v>negativo</v>
      </c>
    </row>
    <row r="6109" ht="15.75" customHeight="1">
      <c r="A6109" s="2" t="s">
        <v>6106</v>
      </c>
      <c r="B6109" s="2" t="s">
        <v>3</v>
      </c>
      <c r="C6109" s="1" t="str">
        <f>IFERROR(__xludf.DUMMYFUNCTION("GOOGLETRANSLATE(A6109,""en"",""pt-br"")"),"melindroso")</f>
        <v>melindroso</v>
      </c>
      <c r="D6109" s="1" t="str">
        <f>IFERROR(__xludf.DUMMYFUNCTION("GOOGLETRANSLATE(B6109,""en"",""pt-br"")"),"negativo")</f>
        <v>negativo</v>
      </c>
    </row>
    <row r="6110" ht="15.75" customHeight="1">
      <c r="A6110" s="2" t="s">
        <v>6107</v>
      </c>
      <c r="B6110" s="2" t="s">
        <v>14</v>
      </c>
      <c r="C6110" s="1" t="str">
        <f>IFERROR(__xludf.DUMMYFUNCTION("GOOGLETRANSLATE(A6110,""en"",""pt-br"")"),"difícil")</f>
        <v>difícil</v>
      </c>
      <c r="D6110" s="1" t="str">
        <f>IFERROR(__xludf.DUMMYFUNCTION("GOOGLETRANSLATE(B6110,""en"",""pt-br"")"),"positivo")</f>
        <v>positivo</v>
      </c>
    </row>
    <row r="6111" ht="15.75" customHeight="1">
      <c r="A6111" s="2" t="s">
        <v>6108</v>
      </c>
      <c r="B6111" s="2" t="s">
        <v>14</v>
      </c>
      <c r="C6111" s="1" t="str">
        <f>IFERROR(__xludf.DUMMYFUNCTION("GOOGLETRANSLATE(A6111,""en"",""pt-br"")"),"mais resistente")</f>
        <v>mais resistente</v>
      </c>
      <c r="D6111" s="1" t="str">
        <f>IFERROR(__xludf.DUMMYFUNCTION("GOOGLETRANSLATE(B6111,""en"",""pt-br"")"),"positivo")</f>
        <v>positivo</v>
      </c>
    </row>
    <row r="6112" ht="15.75" customHeight="1">
      <c r="A6112" s="2" t="s">
        <v>6109</v>
      </c>
      <c r="B6112" s="2" t="s">
        <v>14</v>
      </c>
      <c r="C6112" s="1" t="str">
        <f>IFERROR(__xludf.DUMMYFUNCTION("GOOGLETRANSLATE(A6112,""en"",""pt-br"")"),"mais difícil")</f>
        <v>mais difícil</v>
      </c>
      <c r="D6112" s="1" t="str">
        <f>IFERROR(__xludf.DUMMYFUNCTION("GOOGLETRANSLATE(B6112,""en"",""pt-br"")"),"positivo")</f>
        <v>positivo</v>
      </c>
    </row>
    <row r="6113" ht="15.75" customHeight="1">
      <c r="A6113" s="2" t="s">
        <v>6110</v>
      </c>
      <c r="B6113" s="2" t="s">
        <v>3</v>
      </c>
      <c r="C6113" s="1" t="str">
        <f>IFERROR(__xludf.DUMMYFUNCTION("GOOGLETRANSLATE(A6113,""en"",""pt-br"")"),"dureza")</f>
        <v>dureza</v>
      </c>
      <c r="D6113" s="1" t="str">
        <f>IFERROR(__xludf.DUMMYFUNCTION("GOOGLETRANSLATE(B6113,""en"",""pt-br"")"),"negativo")</f>
        <v>negativo</v>
      </c>
    </row>
    <row r="6114" ht="15.75" customHeight="1">
      <c r="A6114" s="2" t="s">
        <v>6111</v>
      </c>
      <c r="B6114" s="2" t="s">
        <v>3</v>
      </c>
      <c r="C6114" s="1" t="str">
        <f>IFERROR(__xludf.DUMMYFUNCTION("GOOGLETRANSLATE(A6114,""en"",""pt-br"")"),"tout")</f>
        <v>tout</v>
      </c>
      <c r="D6114" s="1" t="str">
        <f>IFERROR(__xludf.DUMMYFUNCTION("GOOGLETRANSLATE(B6114,""en"",""pt-br"")"),"negativo")</f>
        <v>negativo</v>
      </c>
    </row>
    <row r="6115" ht="15.75" customHeight="1">
      <c r="A6115" s="2" t="s">
        <v>6112</v>
      </c>
      <c r="B6115" s="2" t="s">
        <v>3</v>
      </c>
      <c r="C6115" s="1" t="str">
        <f>IFERROR(__xludf.DUMMYFUNCTION("GOOGLETRANSLATE(A6115,""en"",""pt-br"")"),"elogiado")</f>
        <v>elogiado</v>
      </c>
      <c r="D6115" s="1" t="str">
        <f>IFERROR(__xludf.DUMMYFUNCTION("GOOGLETRANSLATE(B6115,""en"",""pt-br"")"),"negativo")</f>
        <v>negativo</v>
      </c>
    </row>
    <row r="6116" ht="15.75" customHeight="1">
      <c r="A6116" s="2" t="s">
        <v>6113</v>
      </c>
      <c r="B6116" s="2" t="s">
        <v>3</v>
      </c>
      <c r="C6116" s="1" t="str">
        <f>IFERROR(__xludf.DUMMYFUNCTION("GOOGLETRANSLATE(A6116,""en"",""pt-br"")"),"touts")</f>
        <v>touts</v>
      </c>
      <c r="D6116" s="1" t="str">
        <f>IFERROR(__xludf.DUMMYFUNCTION("GOOGLETRANSLATE(B6116,""en"",""pt-br"")"),"negativo")</f>
        <v>negativo</v>
      </c>
    </row>
    <row r="6117" ht="15.75" customHeight="1">
      <c r="A6117" s="2" t="s">
        <v>6114</v>
      </c>
      <c r="B6117" s="2" t="s">
        <v>3</v>
      </c>
      <c r="C6117" s="1" t="str">
        <f>IFERROR(__xludf.DUMMYFUNCTION("GOOGLETRANSLATE(A6117,""en"",""pt-br"")"),"tóxico")</f>
        <v>tóxico</v>
      </c>
      <c r="D6117" s="1" t="str">
        <f>IFERROR(__xludf.DUMMYFUNCTION("GOOGLETRANSLATE(B6117,""en"",""pt-br"")"),"negativo")</f>
        <v>negativo</v>
      </c>
    </row>
    <row r="6118" ht="15.75" customHeight="1">
      <c r="A6118" s="2" t="s">
        <v>6115</v>
      </c>
      <c r="B6118" s="2" t="s">
        <v>14</v>
      </c>
      <c r="C6118" s="1" t="str">
        <f>IFERROR(__xludf.DUMMYFUNCTION("GOOGLETRANSLATE(A6118,""en"",""pt-br"")"),"tração")</f>
        <v>tração</v>
      </c>
      <c r="D6118" s="1" t="str">
        <f>IFERROR(__xludf.DUMMYFUNCTION("GOOGLETRANSLATE(B6118,""en"",""pt-br"")"),"positivo")</f>
        <v>positivo</v>
      </c>
    </row>
    <row r="6119" ht="15.75" customHeight="1">
      <c r="A6119" s="2" t="s">
        <v>6116</v>
      </c>
      <c r="B6119" s="2" t="s">
        <v>3</v>
      </c>
      <c r="C6119" s="1" t="str">
        <f>IFERROR(__xludf.DUMMYFUNCTION("GOOGLETRANSLATE(A6119,""en"",""pt-br"")"),"difamar")</f>
        <v>difamar</v>
      </c>
      <c r="D6119" s="1" t="str">
        <f>IFERROR(__xludf.DUMMYFUNCTION("GOOGLETRANSLATE(B6119,""en"",""pt-br"")"),"negativo")</f>
        <v>negativo</v>
      </c>
    </row>
    <row r="6120" ht="15.75" customHeight="1">
      <c r="A6120" s="2" t="s">
        <v>6117</v>
      </c>
      <c r="B6120" s="2" t="s">
        <v>3</v>
      </c>
      <c r="C6120" s="1" t="str">
        <f>IFERROR(__xludf.DUMMYFUNCTION("GOOGLETRANSLATE(A6120,""en"",""pt-br"")"),"tragédia")</f>
        <v>tragédia</v>
      </c>
      <c r="D6120" s="1" t="str">
        <f>IFERROR(__xludf.DUMMYFUNCTION("GOOGLETRANSLATE(B6120,""en"",""pt-br"")"),"negativo")</f>
        <v>negativo</v>
      </c>
    </row>
    <row r="6121" ht="15.75" customHeight="1">
      <c r="A6121" s="2" t="s">
        <v>6118</v>
      </c>
      <c r="B6121" s="2" t="s">
        <v>3</v>
      </c>
      <c r="C6121" s="1" t="str">
        <f>IFERROR(__xludf.DUMMYFUNCTION("GOOGLETRANSLATE(A6121,""en"",""pt-br"")"),"trágico")</f>
        <v>trágico</v>
      </c>
      <c r="D6121" s="1" t="str">
        <f>IFERROR(__xludf.DUMMYFUNCTION("GOOGLETRANSLATE(B6121,""en"",""pt-br"")"),"negativo")</f>
        <v>negativo</v>
      </c>
    </row>
    <row r="6122" ht="15.75" customHeight="1">
      <c r="A6122" s="2" t="s">
        <v>6119</v>
      </c>
      <c r="B6122" s="2" t="s">
        <v>3</v>
      </c>
      <c r="C6122" s="1" t="str">
        <f>IFERROR(__xludf.DUMMYFUNCTION("GOOGLETRANSLATE(A6122,""en"",""pt-br"")"),"tragicamente")</f>
        <v>tragicamente</v>
      </c>
      <c r="D6122" s="1" t="str">
        <f>IFERROR(__xludf.DUMMYFUNCTION("GOOGLETRANSLATE(B6122,""en"",""pt-br"")"),"negativo")</f>
        <v>negativo</v>
      </c>
    </row>
    <row r="6123" ht="15.75" customHeight="1">
      <c r="A6123" s="2" t="s">
        <v>6120</v>
      </c>
      <c r="B6123" s="2" t="s">
        <v>3</v>
      </c>
      <c r="C6123" s="1" t="str">
        <f>IFERROR(__xludf.DUMMYFUNCTION("GOOGLETRANSLATE(A6123,""en"",""pt-br"")"),"traidor")</f>
        <v>traidor</v>
      </c>
      <c r="D6123" s="1" t="str">
        <f>IFERROR(__xludf.DUMMYFUNCTION("GOOGLETRANSLATE(B6123,""en"",""pt-br"")"),"negativo")</f>
        <v>negativo</v>
      </c>
    </row>
    <row r="6124" ht="15.75" customHeight="1">
      <c r="A6124" s="2" t="s">
        <v>6121</v>
      </c>
      <c r="B6124" s="2" t="s">
        <v>3</v>
      </c>
      <c r="C6124" s="1" t="str">
        <f>IFERROR(__xludf.DUMMYFUNCTION("GOOGLETRANSLATE(A6124,""en"",""pt-br"")"),"traidor")</f>
        <v>traidor</v>
      </c>
      <c r="D6124" s="1" t="str">
        <f>IFERROR(__xludf.DUMMYFUNCTION("GOOGLETRANSLATE(B6124,""en"",""pt-br"")"),"negativo")</f>
        <v>negativo</v>
      </c>
    </row>
    <row r="6125" ht="15.75" customHeight="1">
      <c r="A6125" s="2" t="s">
        <v>6122</v>
      </c>
      <c r="B6125" s="2" t="s">
        <v>3</v>
      </c>
      <c r="C6125" s="1" t="str">
        <f>IFERROR(__xludf.DUMMYFUNCTION("GOOGLETRANSLATE(A6125,""en"",""pt-br"")"),"traiçoeiramente")</f>
        <v>traiçoeiramente</v>
      </c>
      <c r="D6125" s="1" t="str">
        <f>IFERROR(__xludf.DUMMYFUNCTION("GOOGLETRANSLATE(B6125,""en"",""pt-br"")"),"negativo")</f>
        <v>negativo</v>
      </c>
    </row>
    <row r="6126" ht="15.75" customHeight="1">
      <c r="A6126" s="2" t="s">
        <v>6123</v>
      </c>
      <c r="B6126" s="2" t="s">
        <v>3</v>
      </c>
      <c r="C6126" s="1" t="str">
        <f>IFERROR(__xludf.DUMMYFUNCTION("GOOGLETRANSLATE(A6126,""en"",""pt-br"")"),"vagabundo")</f>
        <v>vagabundo</v>
      </c>
      <c r="D6126" s="1" t="str">
        <f>IFERROR(__xludf.DUMMYFUNCTION("GOOGLETRANSLATE(B6126,""en"",""pt-br"")"),"negativo")</f>
        <v>negativo</v>
      </c>
    </row>
    <row r="6127" ht="15.75" customHeight="1">
      <c r="A6127" s="2" t="s">
        <v>6124</v>
      </c>
      <c r="B6127" s="2" t="s">
        <v>3</v>
      </c>
      <c r="C6127" s="1" t="str">
        <f>IFERROR(__xludf.DUMMYFUNCTION("GOOGLETRANSLATE(A6127,""en"",""pt-br"")"),"atropelar")</f>
        <v>atropelar</v>
      </c>
      <c r="D6127" s="1" t="str">
        <f>IFERROR(__xludf.DUMMYFUNCTION("GOOGLETRANSLATE(B6127,""en"",""pt-br"")"),"negativo")</f>
        <v>negativo</v>
      </c>
    </row>
    <row r="6128" ht="15.75" customHeight="1">
      <c r="A6128" s="2" t="s">
        <v>6125</v>
      </c>
      <c r="B6128" s="2" t="s">
        <v>14</v>
      </c>
      <c r="C6128" s="1" t="str">
        <f>IFERROR(__xludf.DUMMYFUNCTION("GOOGLETRANSLATE(A6128,""en"",""pt-br"")"),"tranquilo")</f>
        <v>tranquilo</v>
      </c>
      <c r="D6128" s="1" t="str">
        <f>IFERROR(__xludf.DUMMYFUNCTION("GOOGLETRANSLATE(B6128,""en"",""pt-br"")"),"positivo")</f>
        <v>positivo</v>
      </c>
    </row>
    <row r="6129" ht="15.75" customHeight="1">
      <c r="A6129" s="2" t="s">
        <v>6126</v>
      </c>
      <c r="B6129" s="2" t="s">
        <v>14</v>
      </c>
      <c r="C6129" s="1" t="str">
        <f>IFERROR(__xludf.DUMMYFUNCTION("GOOGLETRANSLATE(A6129,""en"",""pt-br"")"),"tranqüilidade")</f>
        <v>tranqüilidade</v>
      </c>
      <c r="D6129" s="1" t="str">
        <f>IFERROR(__xludf.DUMMYFUNCTION("GOOGLETRANSLATE(B6129,""en"",""pt-br"")"),"positivo")</f>
        <v>positivo</v>
      </c>
    </row>
    <row r="6130" ht="15.75" customHeight="1">
      <c r="A6130" s="2" t="s">
        <v>6127</v>
      </c>
      <c r="B6130" s="2" t="s">
        <v>3</v>
      </c>
      <c r="C6130" s="1" t="str">
        <f>IFERROR(__xludf.DUMMYFUNCTION("GOOGLETRANSLATE(A6130,""en"",""pt-br"")"),"transgredir")</f>
        <v>transgredir</v>
      </c>
      <c r="D6130" s="1" t="str">
        <f>IFERROR(__xludf.DUMMYFUNCTION("GOOGLETRANSLATE(B6130,""en"",""pt-br"")"),"negativo")</f>
        <v>negativo</v>
      </c>
    </row>
    <row r="6131" ht="15.75" customHeight="1">
      <c r="A6131" s="2" t="s">
        <v>6128</v>
      </c>
      <c r="B6131" s="2" t="s">
        <v>3</v>
      </c>
      <c r="C6131" s="1" t="str">
        <f>IFERROR(__xludf.DUMMYFUNCTION("GOOGLETRANSLATE(A6131,""en"",""pt-br"")"),"transgressão")</f>
        <v>transgressão</v>
      </c>
      <c r="D6131" s="1" t="str">
        <f>IFERROR(__xludf.DUMMYFUNCTION("GOOGLETRANSLATE(B6131,""en"",""pt-br"")"),"negativo")</f>
        <v>negativo</v>
      </c>
    </row>
    <row r="6132" ht="15.75" customHeight="1">
      <c r="A6132" s="2" t="s">
        <v>6129</v>
      </c>
      <c r="B6132" s="2" t="s">
        <v>14</v>
      </c>
      <c r="C6132" s="1" t="str">
        <f>IFERROR(__xludf.DUMMYFUNCTION("GOOGLETRANSLATE(A6132,""en"",""pt-br"")"),"transparente")</f>
        <v>transparente</v>
      </c>
      <c r="D6132" s="1" t="str">
        <f>IFERROR(__xludf.DUMMYFUNCTION("GOOGLETRANSLATE(B6132,""en"",""pt-br"")"),"positivo")</f>
        <v>positivo</v>
      </c>
    </row>
    <row r="6133" ht="15.75" customHeight="1">
      <c r="A6133" s="2" t="s">
        <v>6130</v>
      </c>
      <c r="B6133" s="2" t="s">
        <v>3</v>
      </c>
      <c r="C6133" s="1" t="str">
        <f>IFERROR(__xludf.DUMMYFUNCTION("GOOGLETRANSLATE(A6133,""en"",""pt-br"")"),"armadilha")</f>
        <v>armadilha</v>
      </c>
      <c r="D6133" s="1" t="str">
        <f>IFERROR(__xludf.DUMMYFUNCTION("GOOGLETRANSLATE(B6133,""en"",""pt-br"")"),"negativo")</f>
        <v>negativo</v>
      </c>
    </row>
    <row r="6134" ht="15.75" customHeight="1">
      <c r="A6134" s="2" t="s">
        <v>6131</v>
      </c>
      <c r="B6134" s="2" t="s">
        <v>3</v>
      </c>
      <c r="C6134" s="1" t="str">
        <f>IFERROR(__xludf.DUMMYFUNCTION("GOOGLETRANSLATE(A6134,""en"",""pt-br"")"),"Traped")</f>
        <v>Traped</v>
      </c>
      <c r="D6134" s="1" t="str">
        <f>IFERROR(__xludf.DUMMYFUNCTION("GOOGLETRANSLATE(B6134,""en"",""pt-br"")"),"negativo")</f>
        <v>negativo</v>
      </c>
    </row>
    <row r="6135" ht="15.75" customHeight="1">
      <c r="A6135" s="2" t="s">
        <v>6132</v>
      </c>
      <c r="B6135" s="2" t="s">
        <v>3</v>
      </c>
      <c r="C6135" s="1" t="str">
        <f>IFERROR(__xludf.DUMMYFUNCTION("GOOGLETRANSLATE(A6135,""en"",""pt-br"")"),"preso")</f>
        <v>preso</v>
      </c>
      <c r="D6135" s="1" t="str">
        <f>IFERROR(__xludf.DUMMYFUNCTION("GOOGLETRANSLATE(B6135,""en"",""pt-br"")"),"negativo")</f>
        <v>negativo</v>
      </c>
    </row>
    <row r="6136" ht="15.75" customHeight="1">
      <c r="A6136" s="2" t="s">
        <v>6133</v>
      </c>
      <c r="B6136" s="2" t="s">
        <v>3</v>
      </c>
      <c r="C6136" s="1" t="str">
        <f>IFERROR(__xludf.DUMMYFUNCTION("GOOGLETRANSLATE(A6136,""en"",""pt-br"")"),"Lixo")</f>
        <v>Lixo</v>
      </c>
      <c r="D6136" s="1" t="str">
        <f>IFERROR(__xludf.DUMMYFUNCTION("GOOGLETRANSLATE(B6136,""en"",""pt-br"")"),"negativo")</f>
        <v>negativo</v>
      </c>
    </row>
    <row r="6137" ht="15.75" customHeight="1">
      <c r="A6137" s="2" t="s">
        <v>6134</v>
      </c>
      <c r="B6137" s="2" t="s">
        <v>3</v>
      </c>
      <c r="C6137" s="1" t="str">
        <f>IFERROR(__xludf.DUMMYFUNCTION("GOOGLETRANSLATE(A6137,""en"",""pt-br"")"),"destruído")</f>
        <v>destruído</v>
      </c>
      <c r="D6137" s="1" t="str">
        <f>IFERROR(__xludf.DUMMYFUNCTION("GOOGLETRANSLATE(B6137,""en"",""pt-br"")"),"negativo")</f>
        <v>negativo</v>
      </c>
    </row>
    <row r="6138" ht="15.75" customHeight="1">
      <c r="A6138" s="2" t="s">
        <v>6135</v>
      </c>
      <c r="B6138" s="2" t="s">
        <v>3</v>
      </c>
      <c r="C6138" s="1" t="str">
        <f>IFERROR(__xludf.DUMMYFUNCTION("GOOGLETRANSLATE(A6138,""en"",""pt-br"")"),"inútil")</f>
        <v>inútil</v>
      </c>
      <c r="D6138" s="1" t="str">
        <f>IFERROR(__xludf.DUMMYFUNCTION("GOOGLETRANSLATE(B6138,""en"",""pt-br"")"),"negativo")</f>
        <v>negativo</v>
      </c>
    </row>
    <row r="6139" ht="15.75" customHeight="1">
      <c r="A6139" s="2" t="s">
        <v>6136</v>
      </c>
      <c r="B6139" s="2" t="s">
        <v>3</v>
      </c>
      <c r="C6139" s="1" t="str">
        <f>IFERROR(__xludf.DUMMYFUNCTION("GOOGLETRANSLATE(A6139,""en"",""pt-br"")"),"trauma")</f>
        <v>trauma</v>
      </c>
      <c r="D6139" s="1" t="str">
        <f>IFERROR(__xludf.DUMMYFUNCTION("GOOGLETRANSLATE(B6139,""en"",""pt-br"")"),"negativo")</f>
        <v>negativo</v>
      </c>
    </row>
    <row r="6140" ht="15.75" customHeight="1">
      <c r="A6140" s="2" t="s">
        <v>6137</v>
      </c>
      <c r="B6140" s="2" t="s">
        <v>3</v>
      </c>
      <c r="C6140" s="1" t="str">
        <f>IFERROR(__xludf.DUMMYFUNCTION("GOOGLETRANSLATE(A6140,""en"",""pt-br"")"),"traumático")</f>
        <v>traumático</v>
      </c>
      <c r="D6140" s="1" t="str">
        <f>IFERROR(__xludf.DUMMYFUNCTION("GOOGLETRANSLATE(B6140,""en"",""pt-br"")"),"negativo")</f>
        <v>negativo</v>
      </c>
    </row>
    <row r="6141" ht="15.75" customHeight="1">
      <c r="A6141" s="2" t="s">
        <v>6138</v>
      </c>
      <c r="B6141" s="2" t="s">
        <v>3</v>
      </c>
      <c r="C6141" s="1" t="str">
        <f>IFERROR(__xludf.DUMMYFUNCTION("GOOGLETRANSLATE(A6141,""en"",""pt-br"")"),"traumaticamente")</f>
        <v>traumaticamente</v>
      </c>
      <c r="D6141" s="1" t="str">
        <f>IFERROR(__xludf.DUMMYFUNCTION("GOOGLETRANSLATE(B6141,""en"",""pt-br"")"),"negativo")</f>
        <v>negativo</v>
      </c>
    </row>
    <row r="6142" ht="15.75" customHeight="1">
      <c r="A6142" s="2" t="s">
        <v>6139</v>
      </c>
      <c r="B6142" s="2" t="s">
        <v>3</v>
      </c>
      <c r="C6142" s="1" t="str">
        <f>IFERROR(__xludf.DUMMYFUNCTION("GOOGLETRANSLATE(A6142,""en"",""pt-br"")"),"traumatizar")</f>
        <v>traumatizar</v>
      </c>
      <c r="D6142" s="1" t="str">
        <f>IFERROR(__xludf.DUMMYFUNCTION("GOOGLETRANSLATE(B6142,""en"",""pt-br"")"),"negativo")</f>
        <v>negativo</v>
      </c>
    </row>
    <row r="6143" ht="15.75" customHeight="1">
      <c r="A6143" s="2" t="s">
        <v>6140</v>
      </c>
      <c r="B6143" s="2" t="s">
        <v>3</v>
      </c>
      <c r="C6143" s="1" t="str">
        <f>IFERROR(__xludf.DUMMYFUNCTION("GOOGLETRANSLATE(A6143,""en"",""pt-br"")"),"traumatizado")</f>
        <v>traumatizado</v>
      </c>
      <c r="D6143" s="1" t="str">
        <f>IFERROR(__xludf.DUMMYFUNCTION("GOOGLETRANSLATE(B6143,""en"",""pt-br"")"),"negativo")</f>
        <v>negativo</v>
      </c>
    </row>
    <row r="6144" ht="15.75" customHeight="1">
      <c r="A6144" s="2" t="s">
        <v>6141</v>
      </c>
      <c r="B6144" s="2" t="s">
        <v>3</v>
      </c>
      <c r="C6144" s="1" t="str">
        <f>IFERROR(__xludf.DUMMYFUNCTION("GOOGLETRANSLATE(A6144,""en"",""pt-br"")"),"travestis")</f>
        <v>travestis</v>
      </c>
      <c r="D6144" s="1" t="str">
        <f>IFERROR(__xludf.DUMMYFUNCTION("GOOGLETRANSLATE(B6144,""en"",""pt-br"")"),"negativo")</f>
        <v>negativo</v>
      </c>
    </row>
    <row r="6145" ht="15.75" customHeight="1">
      <c r="A6145" s="2" t="s">
        <v>6142</v>
      </c>
      <c r="B6145" s="2" t="s">
        <v>3</v>
      </c>
      <c r="C6145" s="1" t="str">
        <f>IFERROR(__xludf.DUMMYFUNCTION("GOOGLETRANSLATE(A6145,""en"",""pt-br"")"),"caricatura")</f>
        <v>caricatura</v>
      </c>
      <c r="D6145" s="1" t="str">
        <f>IFERROR(__xludf.DUMMYFUNCTION("GOOGLETRANSLATE(B6145,""en"",""pt-br"")"),"negativo")</f>
        <v>negativo</v>
      </c>
    </row>
    <row r="6146" ht="15.75" customHeight="1">
      <c r="A6146" s="2" t="s">
        <v>6143</v>
      </c>
      <c r="B6146" s="2" t="s">
        <v>3</v>
      </c>
      <c r="C6146" s="1" t="str">
        <f>IFERROR(__xludf.DUMMYFUNCTION("GOOGLETRANSLATE(A6146,""en"",""pt-br"")"),"traiçoeiro")</f>
        <v>traiçoeiro</v>
      </c>
      <c r="D6146" s="1" t="str">
        <f>IFERROR(__xludf.DUMMYFUNCTION("GOOGLETRANSLATE(B6146,""en"",""pt-br"")"),"negativo")</f>
        <v>negativo</v>
      </c>
    </row>
    <row r="6147" ht="15.75" customHeight="1">
      <c r="A6147" s="2" t="s">
        <v>6144</v>
      </c>
      <c r="B6147" s="2" t="s">
        <v>3</v>
      </c>
      <c r="C6147" s="1" t="str">
        <f>IFERROR(__xludf.DUMMYFUNCTION("GOOGLETRANSLATE(A6147,""en"",""pt-br"")"),"traiçoeiramente")</f>
        <v>traiçoeiramente</v>
      </c>
      <c r="D6147" s="1" t="str">
        <f>IFERROR(__xludf.DUMMYFUNCTION("GOOGLETRANSLATE(B6147,""en"",""pt-br"")"),"negativo")</f>
        <v>negativo</v>
      </c>
    </row>
    <row r="6148" ht="15.75" customHeight="1">
      <c r="A6148" s="2" t="s">
        <v>6145</v>
      </c>
      <c r="B6148" s="2" t="s">
        <v>3</v>
      </c>
      <c r="C6148" s="1" t="str">
        <f>IFERROR(__xludf.DUMMYFUNCTION("GOOGLETRANSLATE(A6148,""en"",""pt-br"")"),"traição")</f>
        <v>traição</v>
      </c>
      <c r="D6148" s="1" t="str">
        <f>IFERROR(__xludf.DUMMYFUNCTION("GOOGLETRANSLATE(B6148,""en"",""pt-br"")"),"negativo")</f>
        <v>negativo</v>
      </c>
    </row>
    <row r="6149" ht="15.75" customHeight="1">
      <c r="A6149" s="2" t="s">
        <v>6146</v>
      </c>
      <c r="B6149" s="2" t="s">
        <v>3</v>
      </c>
      <c r="C6149" s="1" t="str">
        <f>IFERROR(__xludf.DUMMYFUNCTION("GOOGLETRANSLATE(A6149,""en"",""pt-br"")"),"traição")</f>
        <v>traição</v>
      </c>
      <c r="D6149" s="1" t="str">
        <f>IFERROR(__xludf.DUMMYFUNCTION("GOOGLETRANSLATE(B6149,""en"",""pt-br"")"),"negativo")</f>
        <v>negativo</v>
      </c>
    </row>
    <row r="6150" ht="15.75" customHeight="1">
      <c r="A6150" s="2" t="s">
        <v>6147</v>
      </c>
      <c r="B6150" s="2" t="s">
        <v>3</v>
      </c>
      <c r="C6150" s="1" t="str">
        <f>IFERROR(__xludf.DUMMYFUNCTION("GOOGLETRANSLATE(A6150,""en"",""pt-br"")"),"traiçoeiro")</f>
        <v>traiçoeiro</v>
      </c>
      <c r="D6150" s="1" t="str">
        <f>IFERROR(__xludf.DUMMYFUNCTION("GOOGLETRANSLATE(B6150,""en"",""pt-br"")"),"negativo")</f>
        <v>negativo</v>
      </c>
    </row>
    <row r="6151" ht="15.75" customHeight="1">
      <c r="A6151" s="2" t="s">
        <v>6148</v>
      </c>
      <c r="B6151" s="2" t="s">
        <v>14</v>
      </c>
      <c r="C6151" s="1" t="str">
        <f>IFERROR(__xludf.DUMMYFUNCTION("GOOGLETRANSLATE(A6151,""en"",""pt-br"")"),"Tesouro")</f>
        <v>Tesouro</v>
      </c>
      <c r="D6151" s="1" t="str">
        <f>IFERROR(__xludf.DUMMYFUNCTION("GOOGLETRANSLATE(B6151,""en"",""pt-br"")"),"positivo")</f>
        <v>positivo</v>
      </c>
    </row>
    <row r="6152" ht="15.75" customHeight="1">
      <c r="A6152" s="2" t="s">
        <v>6149</v>
      </c>
      <c r="B6152" s="2" t="s">
        <v>14</v>
      </c>
      <c r="C6152" s="1" t="str">
        <f>IFERROR(__xludf.DUMMYFUNCTION("GOOGLETRANSLATE(A6152,""en"",""pt-br"")"),"Tremendo")</f>
        <v>Tremendo</v>
      </c>
      <c r="D6152" s="1" t="str">
        <f>IFERROR(__xludf.DUMMYFUNCTION("GOOGLETRANSLATE(B6152,""en"",""pt-br"")"),"positivo")</f>
        <v>positivo</v>
      </c>
    </row>
    <row r="6153" ht="15.75" customHeight="1">
      <c r="A6153" s="2" t="s">
        <v>6150</v>
      </c>
      <c r="B6153" s="2" t="s">
        <v>14</v>
      </c>
      <c r="C6153" s="1" t="str">
        <f>IFERROR(__xludf.DUMMYFUNCTION("GOOGLETRANSLATE(A6153,""en"",""pt-br"")"),"na moda")</f>
        <v>na moda</v>
      </c>
      <c r="D6153" s="1" t="str">
        <f>IFERROR(__xludf.DUMMYFUNCTION("GOOGLETRANSLATE(B6153,""en"",""pt-br"")"),"positivo")</f>
        <v>positivo</v>
      </c>
    </row>
    <row r="6154" ht="15.75" customHeight="1">
      <c r="A6154" s="2" t="s">
        <v>6151</v>
      </c>
      <c r="B6154" s="2" t="s">
        <v>3</v>
      </c>
      <c r="C6154" s="1" t="str">
        <f>IFERROR(__xludf.DUMMYFUNCTION("GOOGLETRANSLATE(A6154,""en"",""pt-br"")"),"truque")</f>
        <v>truque</v>
      </c>
      <c r="D6154" s="1" t="str">
        <f>IFERROR(__xludf.DUMMYFUNCTION("GOOGLETRANSLATE(B6154,""en"",""pt-br"")"),"negativo")</f>
        <v>negativo</v>
      </c>
    </row>
    <row r="6155" ht="15.75" customHeight="1">
      <c r="A6155" s="2" t="s">
        <v>6152</v>
      </c>
      <c r="B6155" s="2" t="s">
        <v>3</v>
      </c>
      <c r="C6155" s="1" t="str">
        <f>IFERROR(__xludf.DUMMYFUNCTION("GOOGLETRANSLATE(A6155,""en"",""pt-br"")"),"Enganado")</f>
        <v>Enganado</v>
      </c>
      <c r="D6155" s="1" t="str">
        <f>IFERROR(__xludf.DUMMYFUNCTION("GOOGLETRANSLATE(B6155,""en"",""pt-br"")"),"negativo")</f>
        <v>negativo</v>
      </c>
    </row>
    <row r="6156" ht="15.75" customHeight="1">
      <c r="A6156" s="2" t="s">
        <v>6153</v>
      </c>
      <c r="B6156" s="2" t="s">
        <v>3</v>
      </c>
      <c r="C6156" s="1" t="str">
        <f>IFERROR(__xludf.DUMMYFUNCTION("GOOGLETRANSLATE(A6156,""en"",""pt-br"")"),"trapaça")</f>
        <v>trapaça</v>
      </c>
      <c r="D6156" s="1" t="str">
        <f>IFERROR(__xludf.DUMMYFUNCTION("GOOGLETRANSLATE(B6156,""en"",""pt-br"")"),"negativo")</f>
        <v>negativo</v>
      </c>
    </row>
    <row r="6157" ht="15.75" customHeight="1">
      <c r="A6157" s="2" t="s">
        <v>6154</v>
      </c>
      <c r="B6157" s="2" t="s">
        <v>3</v>
      </c>
      <c r="C6157" s="1" t="str">
        <f>IFERROR(__xludf.DUMMYFUNCTION("GOOGLETRANSLATE(A6157,""en"",""pt-br"")"),"complicado")</f>
        <v>complicado</v>
      </c>
      <c r="D6157" s="1" t="str">
        <f>IFERROR(__xludf.DUMMYFUNCTION("GOOGLETRANSLATE(B6157,""en"",""pt-br"")"),"negativo")</f>
        <v>negativo</v>
      </c>
    </row>
    <row r="6158" ht="15.75" customHeight="1">
      <c r="A6158" s="2" t="s">
        <v>6155</v>
      </c>
      <c r="B6158" s="2" t="s">
        <v>14</v>
      </c>
      <c r="C6158" s="1" t="str">
        <f>IFERROR(__xludf.DUMMYFUNCTION("GOOGLETRANSLATE(A6158,""en"",""pt-br"")"),"triunfo")</f>
        <v>triunfo</v>
      </c>
      <c r="D6158" s="1" t="str">
        <f>IFERROR(__xludf.DUMMYFUNCTION("GOOGLETRANSLATE(B6158,""en"",""pt-br"")"),"positivo")</f>
        <v>positivo</v>
      </c>
    </row>
    <row r="6159" ht="15.75" customHeight="1">
      <c r="A6159" s="2" t="s">
        <v>6156</v>
      </c>
      <c r="B6159" s="2" t="s">
        <v>14</v>
      </c>
      <c r="C6159" s="1" t="str">
        <f>IFERROR(__xludf.DUMMYFUNCTION("GOOGLETRANSLATE(A6159,""en"",""pt-br"")"),"triunfal")</f>
        <v>triunfal</v>
      </c>
      <c r="D6159" s="1" t="str">
        <f>IFERROR(__xludf.DUMMYFUNCTION("GOOGLETRANSLATE(B6159,""en"",""pt-br"")"),"positivo")</f>
        <v>positivo</v>
      </c>
    </row>
    <row r="6160" ht="15.75" customHeight="1">
      <c r="A6160" s="2" t="s">
        <v>6157</v>
      </c>
      <c r="B6160" s="2" t="s">
        <v>14</v>
      </c>
      <c r="C6160" s="1" t="str">
        <f>IFERROR(__xludf.DUMMYFUNCTION("GOOGLETRANSLATE(A6160,""en"",""pt-br"")"),"triunfante")</f>
        <v>triunfante</v>
      </c>
      <c r="D6160" s="1" t="str">
        <f>IFERROR(__xludf.DUMMYFUNCTION("GOOGLETRANSLATE(B6160,""en"",""pt-br"")"),"positivo")</f>
        <v>positivo</v>
      </c>
    </row>
    <row r="6161" ht="15.75" customHeight="1">
      <c r="A6161" s="2" t="s">
        <v>6158</v>
      </c>
      <c r="B6161" s="2" t="s">
        <v>14</v>
      </c>
      <c r="C6161" s="1" t="str">
        <f>IFERROR(__xludf.DUMMYFUNCTION("GOOGLETRANSLATE(A6161,""en"",""pt-br"")"),"triunfantemente")</f>
        <v>triunfantemente</v>
      </c>
      <c r="D6161" s="1" t="str">
        <f>IFERROR(__xludf.DUMMYFUNCTION("GOOGLETRANSLATE(B6161,""en"",""pt-br"")"),"positivo")</f>
        <v>positivo</v>
      </c>
    </row>
    <row r="6162" ht="15.75" customHeight="1">
      <c r="A6162" s="2" t="s">
        <v>6159</v>
      </c>
      <c r="B6162" s="2" t="s">
        <v>3</v>
      </c>
      <c r="C6162" s="1" t="str">
        <f>IFERROR(__xludf.DUMMYFUNCTION("GOOGLETRANSLATE(A6162,""en"",""pt-br"")"),"trivial")</f>
        <v>trivial</v>
      </c>
      <c r="D6162" s="1" t="str">
        <f>IFERROR(__xludf.DUMMYFUNCTION("GOOGLETRANSLATE(B6162,""en"",""pt-br"")"),"negativo")</f>
        <v>negativo</v>
      </c>
    </row>
    <row r="6163" ht="15.75" customHeight="1">
      <c r="A6163" s="2" t="s">
        <v>6160</v>
      </c>
      <c r="B6163" s="2" t="s">
        <v>3</v>
      </c>
      <c r="C6163" s="1" t="str">
        <f>IFERROR(__xludf.DUMMYFUNCTION("GOOGLETRANSLATE(A6163,""en"",""pt-br"")"),"banalizar")</f>
        <v>banalizar</v>
      </c>
      <c r="D6163" s="1" t="str">
        <f>IFERROR(__xludf.DUMMYFUNCTION("GOOGLETRANSLATE(B6163,""en"",""pt-br"")"),"negativo")</f>
        <v>negativo</v>
      </c>
    </row>
    <row r="6164" ht="15.75" customHeight="1">
      <c r="A6164" s="2" t="s">
        <v>6161</v>
      </c>
      <c r="B6164" s="2" t="s">
        <v>14</v>
      </c>
      <c r="C6164" s="1" t="str">
        <f>IFERROR(__xludf.DUMMYFUNCTION("GOOGLETRANSLATE(A6164,""en"",""pt-br"")"),"trivialmente")</f>
        <v>trivialmente</v>
      </c>
      <c r="D6164" s="1" t="str">
        <f>IFERROR(__xludf.DUMMYFUNCTION("GOOGLETRANSLATE(B6164,""en"",""pt-br"")"),"positivo")</f>
        <v>positivo</v>
      </c>
    </row>
    <row r="6165" ht="15.75" customHeight="1">
      <c r="A6165" s="2" t="s">
        <v>6162</v>
      </c>
      <c r="B6165" s="2" t="s">
        <v>14</v>
      </c>
      <c r="C6165" s="1" t="str">
        <f>IFERROR(__xludf.DUMMYFUNCTION("GOOGLETRANSLATE(A6165,""en"",""pt-br"")"),"troféu")</f>
        <v>troféu</v>
      </c>
      <c r="D6165" s="1" t="str">
        <f>IFERROR(__xludf.DUMMYFUNCTION("GOOGLETRANSLATE(B6165,""en"",""pt-br"")"),"positivo")</f>
        <v>positivo</v>
      </c>
    </row>
    <row r="6166" ht="15.75" customHeight="1">
      <c r="A6166" s="2" t="s">
        <v>6163</v>
      </c>
      <c r="B6166" s="2" t="s">
        <v>3</v>
      </c>
      <c r="C6166" s="1" t="str">
        <f>IFERROR(__xludf.DUMMYFUNCTION("GOOGLETRANSLATE(A6166,""en"",""pt-br"")"),"problema")</f>
        <v>problema</v>
      </c>
      <c r="D6166" s="1" t="str">
        <f>IFERROR(__xludf.DUMMYFUNCTION("GOOGLETRANSLATE(B6166,""en"",""pt-br"")"),"negativo")</f>
        <v>negativo</v>
      </c>
    </row>
    <row r="6167" ht="15.75" customHeight="1">
      <c r="A6167" s="2" t="s">
        <v>6164</v>
      </c>
      <c r="B6167" s="2" t="s">
        <v>14</v>
      </c>
      <c r="C6167" s="1" t="str">
        <f>IFERROR(__xludf.DUMMYFUNCTION("GOOGLETRANSLATE(A6167,""en"",""pt-br"")"),"sem problemas")</f>
        <v>sem problemas</v>
      </c>
      <c r="D6167" s="1" t="str">
        <f>IFERROR(__xludf.DUMMYFUNCTION("GOOGLETRANSLATE(B6167,""en"",""pt-br"")"),"positivo")</f>
        <v>positivo</v>
      </c>
    </row>
    <row r="6168" ht="15.75" customHeight="1">
      <c r="A6168" s="2" t="s">
        <v>6165</v>
      </c>
      <c r="B6168" s="2" t="s">
        <v>3</v>
      </c>
      <c r="C6168" s="1" t="str">
        <f>IFERROR(__xludf.DUMMYFUNCTION("GOOGLETRANSLATE(A6168,""en"",""pt-br"")"),"perturbado")</f>
        <v>perturbado</v>
      </c>
      <c r="D6168" s="1" t="str">
        <f>IFERROR(__xludf.DUMMYFUNCTION("GOOGLETRANSLATE(B6168,""en"",""pt-br"")"),"negativo")</f>
        <v>negativo</v>
      </c>
    </row>
    <row r="6169" ht="15.75" customHeight="1">
      <c r="A6169" s="2" t="s">
        <v>6166</v>
      </c>
      <c r="B6169" s="2" t="s">
        <v>3</v>
      </c>
      <c r="C6169" s="1" t="str">
        <f>IFERROR(__xludf.DUMMYFUNCTION("GOOGLETRANSLATE(A6169,""en"",""pt-br"")"),"perturbador")</f>
        <v>perturbador</v>
      </c>
      <c r="D6169" s="1" t="str">
        <f>IFERROR(__xludf.DUMMYFUNCTION("GOOGLETRANSLATE(B6169,""en"",""pt-br"")"),"negativo")</f>
        <v>negativo</v>
      </c>
    </row>
    <row r="6170" ht="15.75" customHeight="1">
      <c r="A6170" s="2" t="s">
        <v>6167</v>
      </c>
      <c r="B6170" s="2" t="s">
        <v>3</v>
      </c>
      <c r="C6170" s="1" t="str">
        <f>IFERROR(__xludf.DUMMYFUNCTION("GOOGLETRANSLATE(A6170,""en"",""pt-br"")"),"problemas")</f>
        <v>problemas</v>
      </c>
      <c r="D6170" s="1" t="str">
        <f>IFERROR(__xludf.DUMMYFUNCTION("GOOGLETRANSLATE(B6170,""en"",""pt-br"")"),"negativo")</f>
        <v>negativo</v>
      </c>
    </row>
    <row r="6171" ht="15.75" customHeight="1">
      <c r="A6171" s="2" t="s">
        <v>6168</v>
      </c>
      <c r="B6171" s="2" t="s">
        <v>3</v>
      </c>
      <c r="C6171" s="1" t="str">
        <f>IFERROR(__xludf.DUMMYFUNCTION("GOOGLETRANSLATE(A6171,""en"",""pt-br"")"),"perturbador")</f>
        <v>perturbador</v>
      </c>
      <c r="D6171" s="1" t="str">
        <f>IFERROR(__xludf.DUMMYFUNCTION("GOOGLETRANSLATE(B6171,""en"",""pt-br"")"),"negativo")</f>
        <v>negativo</v>
      </c>
    </row>
    <row r="6172" ht="15.75" customHeight="1">
      <c r="A6172" s="2" t="s">
        <v>6169</v>
      </c>
      <c r="B6172" s="2" t="s">
        <v>3</v>
      </c>
      <c r="C6172" s="1" t="str">
        <f>IFERROR(__xludf.DUMMYFUNCTION("GOOGLETRANSLATE(A6172,""en"",""pt-br"")"),"troublesomely")</f>
        <v>troublesomely</v>
      </c>
      <c r="D6172" s="1" t="str">
        <f>IFERROR(__xludf.DUMMYFUNCTION("GOOGLETRANSLATE(B6172,""en"",""pt-br"")"),"negativo")</f>
        <v>negativo</v>
      </c>
    </row>
    <row r="6173" ht="15.75" customHeight="1">
      <c r="A6173" s="2" t="s">
        <v>6170</v>
      </c>
      <c r="B6173" s="2" t="s">
        <v>3</v>
      </c>
      <c r="C6173" s="1" t="str">
        <f>IFERROR(__xludf.DUMMYFUNCTION("GOOGLETRANSLATE(A6173,""en"",""pt-br"")"),"incomodando")</f>
        <v>incomodando</v>
      </c>
      <c r="D6173" s="1" t="str">
        <f>IFERROR(__xludf.DUMMYFUNCTION("GOOGLETRANSLATE(B6173,""en"",""pt-br"")"),"negativo")</f>
        <v>negativo</v>
      </c>
    </row>
    <row r="6174" ht="15.75" customHeight="1">
      <c r="A6174" s="2" t="s">
        <v>6171</v>
      </c>
      <c r="B6174" s="2" t="s">
        <v>3</v>
      </c>
      <c r="C6174" s="1" t="str">
        <f>IFERROR(__xludf.DUMMYFUNCTION("GOOGLETRANSLATE(A6174,""en"",""pt-br"")"),"perturbadoramente")</f>
        <v>perturbadoramente</v>
      </c>
      <c r="D6174" s="1" t="str">
        <f>IFERROR(__xludf.DUMMYFUNCTION("GOOGLETRANSLATE(B6174,""en"",""pt-br"")"),"negativo")</f>
        <v>negativo</v>
      </c>
    </row>
    <row r="6175" ht="15.75" customHeight="1">
      <c r="A6175" s="2" t="s">
        <v>6172</v>
      </c>
      <c r="B6175" s="2" t="s">
        <v>3</v>
      </c>
      <c r="C6175" s="1" t="str">
        <f>IFERROR(__xludf.DUMMYFUNCTION("GOOGLETRANSLATE(A6175,""en"",""pt-br"")"),"aluno que mata aula")</f>
        <v>aluno que mata aula</v>
      </c>
      <c r="D6175" s="1" t="str">
        <f>IFERROR(__xludf.DUMMYFUNCTION("GOOGLETRANSLATE(B6175,""en"",""pt-br"")"),"negativo")</f>
        <v>negativo</v>
      </c>
    </row>
    <row r="6176" ht="15.75" customHeight="1">
      <c r="A6176" s="2" t="s">
        <v>6173</v>
      </c>
      <c r="B6176" s="2" t="s">
        <v>14</v>
      </c>
      <c r="C6176" s="1" t="str">
        <f>IFERROR(__xludf.DUMMYFUNCTION("GOOGLETRANSLATE(A6176,""en"",""pt-br"")"),"trunfo")</f>
        <v>trunfo</v>
      </c>
      <c r="D6176" s="1" t="str">
        <f>IFERROR(__xludf.DUMMYFUNCTION("GOOGLETRANSLATE(B6176,""en"",""pt-br"")"),"positivo")</f>
        <v>positivo</v>
      </c>
    </row>
    <row r="6177" ht="15.75" customHeight="1">
      <c r="A6177" s="2" t="s">
        <v>6174</v>
      </c>
      <c r="B6177" s="2" t="s">
        <v>14</v>
      </c>
      <c r="C6177" s="1" t="str">
        <f>IFERROR(__xludf.DUMMYFUNCTION("GOOGLETRANSLATE(A6177,""en"",""pt-br"")"),"trompete")</f>
        <v>trompete</v>
      </c>
      <c r="D6177" s="1" t="str">
        <f>IFERROR(__xludf.DUMMYFUNCTION("GOOGLETRANSLATE(B6177,""en"",""pt-br"")"),"positivo")</f>
        <v>positivo</v>
      </c>
    </row>
    <row r="6178" ht="15.75" customHeight="1">
      <c r="A6178" s="2" t="s">
        <v>6175</v>
      </c>
      <c r="B6178" s="2" t="s">
        <v>14</v>
      </c>
      <c r="C6178" s="1" t="str">
        <f>IFERROR(__xludf.DUMMYFUNCTION("GOOGLETRANSLATE(A6178,""en"",""pt-br"")"),"Confiar em")</f>
        <v>Confiar em</v>
      </c>
      <c r="D6178" s="1" t="str">
        <f>IFERROR(__xludf.DUMMYFUNCTION("GOOGLETRANSLATE(B6178,""en"",""pt-br"")"),"positivo")</f>
        <v>positivo</v>
      </c>
    </row>
    <row r="6179" ht="15.75" customHeight="1">
      <c r="A6179" s="2" t="s">
        <v>6176</v>
      </c>
      <c r="B6179" s="2" t="s">
        <v>14</v>
      </c>
      <c r="C6179" s="1" t="str">
        <f>IFERROR(__xludf.DUMMYFUNCTION("GOOGLETRANSLATE(A6179,""en"",""pt-br"")"),"confiança")</f>
        <v>confiança</v>
      </c>
      <c r="D6179" s="1" t="str">
        <f>IFERROR(__xludf.DUMMYFUNCTION("GOOGLETRANSLATE(B6179,""en"",""pt-br"")"),"positivo")</f>
        <v>positivo</v>
      </c>
    </row>
    <row r="6180" ht="15.75" customHeight="1">
      <c r="A6180" s="2" t="s">
        <v>6177</v>
      </c>
      <c r="B6180" s="2" t="s">
        <v>14</v>
      </c>
      <c r="C6180" s="1" t="str">
        <f>IFERROR(__xludf.DUMMYFUNCTION("GOOGLETRANSLATE(A6180,""en"",""pt-br"")"),"confiando")</f>
        <v>confiando</v>
      </c>
      <c r="D6180" s="1" t="str">
        <f>IFERROR(__xludf.DUMMYFUNCTION("GOOGLETRANSLATE(B6180,""en"",""pt-br"")"),"positivo")</f>
        <v>positivo</v>
      </c>
    </row>
    <row r="6181" ht="15.75" customHeight="1">
      <c r="A6181" s="2" t="s">
        <v>6178</v>
      </c>
      <c r="B6181" s="2" t="s">
        <v>14</v>
      </c>
      <c r="C6181" s="1" t="str">
        <f>IFERROR(__xludf.DUMMYFUNCTION("GOOGLETRANSLATE(A6181,""en"",""pt-br"")"),"confiantemente")</f>
        <v>confiantemente</v>
      </c>
      <c r="D6181" s="1" t="str">
        <f>IFERROR(__xludf.DUMMYFUNCTION("GOOGLETRANSLATE(B6181,""en"",""pt-br"")"),"positivo")</f>
        <v>positivo</v>
      </c>
    </row>
    <row r="6182" ht="15.75" customHeight="1">
      <c r="A6182" s="2" t="s">
        <v>6179</v>
      </c>
      <c r="B6182" s="2" t="s">
        <v>14</v>
      </c>
      <c r="C6182" s="1" t="str">
        <f>IFERROR(__xludf.DUMMYFUNCTION("GOOGLETRANSLATE(A6182,""en"",""pt-br"")"),"confiabilidade")</f>
        <v>confiabilidade</v>
      </c>
      <c r="D6182" s="1" t="str">
        <f>IFERROR(__xludf.DUMMYFUNCTION("GOOGLETRANSLATE(B6182,""en"",""pt-br"")"),"positivo")</f>
        <v>positivo</v>
      </c>
    </row>
    <row r="6183" ht="15.75" customHeight="1">
      <c r="A6183" s="2" t="s">
        <v>6180</v>
      </c>
      <c r="B6183" s="2" t="s">
        <v>14</v>
      </c>
      <c r="C6183" s="1" t="str">
        <f>IFERROR(__xludf.DUMMYFUNCTION("GOOGLETRANSLATE(A6183,""en"",""pt-br"")"),"confiável")</f>
        <v>confiável</v>
      </c>
      <c r="D6183" s="1" t="str">
        <f>IFERROR(__xludf.DUMMYFUNCTION("GOOGLETRANSLATE(B6183,""en"",""pt-br"")"),"positivo")</f>
        <v>positivo</v>
      </c>
    </row>
    <row r="6184" ht="15.75" customHeight="1">
      <c r="A6184" s="2" t="s">
        <v>6181</v>
      </c>
      <c r="B6184" s="2" t="s">
        <v>14</v>
      </c>
      <c r="C6184" s="1" t="str">
        <f>IFERROR(__xludf.DUMMYFUNCTION("GOOGLETRANSLATE(A6184,""en"",""pt-br"")"),"fiel")</f>
        <v>fiel</v>
      </c>
      <c r="D6184" s="1" t="str">
        <f>IFERROR(__xludf.DUMMYFUNCTION("GOOGLETRANSLATE(B6184,""en"",""pt-br"")"),"positivo")</f>
        <v>positivo</v>
      </c>
    </row>
    <row r="6185" ht="15.75" customHeight="1">
      <c r="A6185" s="2" t="s">
        <v>6182</v>
      </c>
      <c r="B6185" s="2" t="s">
        <v>14</v>
      </c>
      <c r="C6185" s="1" t="str">
        <f>IFERROR(__xludf.DUMMYFUNCTION("GOOGLETRANSLATE(A6185,""en"",""pt-br"")"),"verdadeiro")</f>
        <v>verdadeiro</v>
      </c>
      <c r="D6185" s="1" t="str">
        <f>IFERROR(__xludf.DUMMYFUNCTION("GOOGLETRANSLATE(B6185,""en"",""pt-br"")"),"positivo")</f>
        <v>positivo</v>
      </c>
    </row>
    <row r="6186" ht="15.75" customHeight="1">
      <c r="A6186" s="2" t="s">
        <v>6183</v>
      </c>
      <c r="B6186" s="2" t="s">
        <v>14</v>
      </c>
      <c r="C6186" s="1" t="str">
        <f>IFERROR(__xludf.DUMMYFUNCTION("GOOGLETRANSLATE(A6186,""en"",""pt-br"")"),"sinceramente")</f>
        <v>sinceramente</v>
      </c>
      <c r="D6186" s="1" t="str">
        <f>IFERROR(__xludf.DUMMYFUNCTION("GOOGLETRANSLATE(B6186,""en"",""pt-br"")"),"positivo")</f>
        <v>positivo</v>
      </c>
    </row>
    <row r="6187" ht="15.75" customHeight="1">
      <c r="A6187" s="2" t="s">
        <v>6184</v>
      </c>
      <c r="B6187" s="2" t="s">
        <v>14</v>
      </c>
      <c r="C6187" s="1" t="str">
        <f>IFERROR(__xludf.DUMMYFUNCTION("GOOGLETRANSLATE(A6187,""en"",""pt-br"")"),"veracidade")</f>
        <v>veracidade</v>
      </c>
      <c r="D6187" s="1" t="str">
        <f>IFERROR(__xludf.DUMMYFUNCTION("GOOGLETRANSLATE(B6187,""en"",""pt-br"")"),"positivo")</f>
        <v>positivo</v>
      </c>
    </row>
    <row r="6188" ht="15.75" customHeight="1">
      <c r="A6188" s="2" t="s">
        <v>6185</v>
      </c>
      <c r="B6188" s="2" t="s">
        <v>3</v>
      </c>
      <c r="C6188" s="1" t="str">
        <f>IFERROR(__xludf.DUMMYFUNCTION("GOOGLETRANSLATE(A6188,""en"",""pt-br"")"),"tumble")</f>
        <v>tumble</v>
      </c>
      <c r="D6188" s="1" t="str">
        <f>IFERROR(__xludf.DUMMYFUNCTION("GOOGLETRANSLATE(B6188,""en"",""pt-br"")"),"negativo")</f>
        <v>negativo</v>
      </c>
    </row>
    <row r="6189" ht="15.75" customHeight="1">
      <c r="A6189" s="2" t="s">
        <v>6186</v>
      </c>
      <c r="B6189" s="2" t="s">
        <v>3</v>
      </c>
      <c r="C6189" s="1" t="str">
        <f>IFERROR(__xludf.DUMMYFUNCTION("GOOGLETRANSLATE(A6189,""en"",""pt-br"")"),"tombado")</f>
        <v>tombado</v>
      </c>
      <c r="D6189" s="1" t="str">
        <f>IFERROR(__xludf.DUMMYFUNCTION("GOOGLETRANSLATE(B6189,""en"",""pt-br"")"),"negativo")</f>
        <v>negativo</v>
      </c>
    </row>
    <row r="6190" ht="15.75" customHeight="1">
      <c r="A6190" s="2" t="s">
        <v>6187</v>
      </c>
      <c r="B6190" s="2" t="s">
        <v>3</v>
      </c>
      <c r="C6190" s="1" t="str">
        <f>IFERROR(__xludf.DUMMYFUNCTION("GOOGLETRANSLATE(A6190,""en"",""pt-br"")"),"tombos")</f>
        <v>tombos</v>
      </c>
      <c r="D6190" s="1" t="str">
        <f>IFERROR(__xludf.DUMMYFUNCTION("GOOGLETRANSLATE(B6190,""en"",""pt-br"")"),"negativo")</f>
        <v>negativo</v>
      </c>
    </row>
    <row r="6191" ht="15.75" customHeight="1">
      <c r="A6191" s="2" t="s">
        <v>6188</v>
      </c>
      <c r="B6191" s="2" t="s">
        <v>3</v>
      </c>
      <c r="C6191" s="1" t="str">
        <f>IFERROR(__xludf.DUMMYFUNCTION("GOOGLETRANSLATE(A6191,""en"",""pt-br"")"),"tumultuoso")</f>
        <v>tumultuoso</v>
      </c>
      <c r="D6191" s="1" t="str">
        <f>IFERROR(__xludf.DUMMYFUNCTION("GOOGLETRANSLATE(B6191,""en"",""pt-br"")"),"negativo")</f>
        <v>negativo</v>
      </c>
    </row>
    <row r="6192" ht="15.75" customHeight="1">
      <c r="A6192" s="2" t="s">
        <v>6189</v>
      </c>
      <c r="B6192" s="2" t="s">
        <v>3</v>
      </c>
      <c r="C6192" s="1" t="str">
        <f>IFERROR(__xludf.DUMMYFUNCTION("GOOGLETRANSLATE(A6192,""en"",""pt-br"")"),"turbulento")</f>
        <v>turbulento</v>
      </c>
      <c r="D6192" s="1" t="str">
        <f>IFERROR(__xludf.DUMMYFUNCTION("GOOGLETRANSLATE(B6192,""en"",""pt-br"")"),"negativo")</f>
        <v>negativo</v>
      </c>
    </row>
    <row r="6193" ht="15.75" customHeight="1">
      <c r="A6193" s="2" t="s">
        <v>6190</v>
      </c>
      <c r="B6193" s="2" t="s">
        <v>3</v>
      </c>
      <c r="C6193" s="1" t="str">
        <f>IFERROR(__xludf.DUMMYFUNCTION("GOOGLETRANSLATE(A6193,""en"",""pt-br"")"),"tumulto")</f>
        <v>tumulto</v>
      </c>
      <c r="D6193" s="1" t="str">
        <f>IFERROR(__xludf.DUMMYFUNCTION("GOOGLETRANSLATE(B6193,""en"",""pt-br"")"),"negativo")</f>
        <v>negativo</v>
      </c>
    </row>
    <row r="6194" ht="15.75" customHeight="1">
      <c r="A6194" s="2" t="s">
        <v>6191</v>
      </c>
      <c r="B6194" s="2" t="s">
        <v>14</v>
      </c>
      <c r="C6194" s="1" t="str">
        <f>IFERROR(__xludf.DUMMYFUNCTION("GOOGLETRANSLATE(A6194,""en"",""pt-br"")"),"twinkly")</f>
        <v>twinkly</v>
      </c>
      <c r="D6194" s="1" t="str">
        <f>IFERROR(__xludf.DUMMYFUNCTION("GOOGLETRANSLATE(B6194,""en"",""pt-br"")"),"positivo")</f>
        <v>positivo</v>
      </c>
    </row>
    <row r="6195" ht="15.75" customHeight="1">
      <c r="A6195" s="2" t="s">
        <v>6192</v>
      </c>
      <c r="B6195" s="2" t="s">
        <v>3</v>
      </c>
      <c r="C6195" s="1" t="str">
        <f>IFERROR(__xludf.DUMMYFUNCTION("GOOGLETRANSLATE(A6195,""en"",""pt-br"")"),"torção")</f>
        <v>torção</v>
      </c>
      <c r="D6195" s="1" t="str">
        <f>IFERROR(__xludf.DUMMYFUNCTION("GOOGLETRANSLATE(B6195,""en"",""pt-br"")"),"negativo")</f>
        <v>negativo</v>
      </c>
    </row>
    <row r="6196" ht="15.75" customHeight="1">
      <c r="A6196" s="2" t="s">
        <v>6193</v>
      </c>
      <c r="B6196" s="2" t="s">
        <v>3</v>
      </c>
      <c r="C6196" s="1" t="str">
        <f>IFERROR(__xludf.DUMMYFUNCTION("GOOGLETRANSLATE(A6196,""en"",""pt-br"")"),"torcido")</f>
        <v>torcido</v>
      </c>
      <c r="D6196" s="1" t="str">
        <f>IFERROR(__xludf.DUMMYFUNCTION("GOOGLETRANSLATE(B6196,""en"",""pt-br"")"),"negativo")</f>
        <v>negativo</v>
      </c>
    </row>
    <row r="6197" ht="15.75" customHeight="1">
      <c r="A6197" s="2" t="s">
        <v>6194</v>
      </c>
      <c r="B6197" s="2" t="s">
        <v>3</v>
      </c>
      <c r="C6197" s="1" t="str">
        <f>IFERROR(__xludf.DUMMYFUNCTION("GOOGLETRANSLATE(A6197,""en"",""pt-br"")"),"torções")</f>
        <v>torções</v>
      </c>
      <c r="D6197" s="1" t="str">
        <f>IFERROR(__xludf.DUMMYFUNCTION("GOOGLETRANSLATE(B6197,""en"",""pt-br"")"),"negativo")</f>
        <v>negativo</v>
      </c>
    </row>
    <row r="6198" ht="15.75" customHeight="1">
      <c r="A6198" s="2" t="s">
        <v>6195</v>
      </c>
      <c r="B6198" s="2" t="s">
        <v>3</v>
      </c>
      <c r="C6198" s="1" t="str">
        <f>IFERROR(__xludf.DUMMYFUNCTION("GOOGLETRANSLATE(A6198,""en"",""pt-br"")"),"Duas caras")</f>
        <v>Duas caras</v>
      </c>
      <c r="D6198" s="1" t="str">
        <f>IFERROR(__xludf.DUMMYFUNCTION("GOOGLETRANSLATE(B6198,""en"",""pt-br"")"),"negativo")</f>
        <v>negativo</v>
      </c>
    </row>
    <row r="6199" ht="15.75" customHeight="1">
      <c r="A6199" s="2" t="s">
        <v>6196</v>
      </c>
      <c r="B6199" s="2" t="s">
        <v>3</v>
      </c>
      <c r="C6199" s="1" t="str">
        <f>IFERROR(__xludf.DUMMYFUNCTION("GOOGLETRANSLATE(A6199,""en"",""pt-br"")"),"duas Caras")</f>
        <v>duas Caras</v>
      </c>
      <c r="D6199" s="1" t="str">
        <f>IFERROR(__xludf.DUMMYFUNCTION("GOOGLETRANSLATE(B6199,""en"",""pt-br"")"),"negativo")</f>
        <v>negativo</v>
      </c>
    </row>
    <row r="6200" ht="15.75" customHeight="1">
      <c r="A6200" s="2" t="s">
        <v>6197</v>
      </c>
      <c r="B6200" s="2" t="s">
        <v>3</v>
      </c>
      <c r="C6200" s="1" t="str">
        <f>IFERROR(__xludf.DUMMYFUNCTION("GOOGLETRANSLATE(A6200,""en"",""pt-br"")"),"tirânico")</f>
        <v>tirânico</v>
      </c>
      <c r="D6200" s="1" t="str">
        <f>IFERROR(__xludf.DUMMYFUNCTION("GOOGLETRANSLATE(B6200,""en"",""pt-br"")"),"negativo")</f>
        <v>negativo</v>
      </c>
    </row>
    <row r="6201" ht="15.75" customHeight="1">
      <c r="A6201" s="2" t="s">
        <v>6198</v>
      </c>
      <c r="B6201" s="2" t="s">
        <v>3</v>
      </c>
      <c r="C6201" s="1" t="str">
        <f>IFERROR(__xludf.DUMMYFUNCTION("GOOGLETRANSLATE(A6201,""en"",""pt-br"")"),"tiranicamente")</f>
        <v>tiranicamente</v>
      </c>
      <c r="D6201" s="1" t="str">
        <f>IFERROR(__xludf.DUMMYFUNCTION("GOOGLETRANSLATE(B6201,""en"",""pt-br"")"),"negativo")</f>
        <v>negativo</v>
      </c>
    </row>
    <row r="6202" ht="15.75" customHeight="1">
      <c r="A6202" s="2" t="s">
        <v>6199</v>
      </c>
      <c r="B6202" s="2" t="s">
        <v>3</v>
      </c>
      <c r="C6202" s="1" t="str">
        <f>IFERROR(__xludf.DUMMYFUNCTION("GOOGLETRANSLATE(A6202,""en"",""pt-br"")"),"tirania")</f>
        <v>tirania</v>
      </c>
      <c r="D6202" s="1" t="str">
        <f>IFERROR(__xludf.DUMMYFUNCTION("GOOGLETRANSLATE(B6202,""en"",""pt-br"")"),"negativo")</f>
        <v>negativo</v>
      </c>
    </row>
    <row r="6203" ht="15.75" customHeight="1">
      <c r="A6203" s="2" t="s">
        <v>6200</v>
      </c>
      <c r="B6203" s="2" t="s">
        <v>3</v>
      </c>
      <c r="C6203" s="1" t="str">
        <f>IFERROR(__xludf.DUMMYFUNCTION("GOOGLETRANSLATE(A6203,""en"",""pt-br"")"),"tirano")</f>
        <v>tirano</v>
      </c>
      <c r="D6203" s="1" t="str">
        <f>IFERROR(__xludf.DUMMYFUNCTION("GOOGLETRANSLATE(B6203,""en"",""pt-br"")"),"negativo")</f>
        <v>negativo</v>
      </c>
    </row>
    <row r="6204" ht="15.75" customHeight="1">
      <c r="A6204" s="2" t="s">
        <v>6201</v>
      </c>
      <c r="B6204" s="2" t="s">
        <v>3</v>
      </c>
      <c r="C6204" s="1" t="str">
        <f>IFERROR(__xludf.DUMMYFUNCTION("GOOGLETRANSLATE(A6204,""en"",""pt-br"")"),"ugh")</f>
        <v>ugh</v>
      </c>
      <c r="D6204" s="1" t="str">
        <f>IFERROR(__xludf.DUMMYFUNCTION("GOOGLETRANSLATE(B6204,""en"",""pt-br"")"),"negativo")</f>
        <v>negativo</v>
      </c>
    </row>
    <row r="6205" ht="15.75" customHeight="1">
      <c r="A6205" s="2" t="s">
        <v>6202</v>
      </c>
      <c r="B6205" s="2" t="s">
        <v>3</v>
      </c>
      <c r="C6205" s="1" t="str">
        <f>IFERROR(__xludf.DUMMYFUNCTION("GOOGLETRANSLATE(A6205,""en"",""pt-br"")"),"mais feio")</f>
        <v>mais feio</v>
      </c>
      <c r="D6205" s="1" t="str">
        <f>IFERROR(__xludf.DUMMYFUNCTION("GOOGLETRANSLATE(B6205,""en"",""pt-br"")"),"negativo")</f>
        <v>negativo</v>
      </c>
    </row>
    <row r="6206" ht="15.75" customHeight="1">
      <c r="A6206" s="2" t="s">
        <v>6203</v>
      </c>
      <c r="B6206" s="2" t="s">
        <v>3</v>
      </c>
      <c r="C6206" s="1" t="str">
        <f>IFERROR(__xludf.DUMMYFUNCTION("GOOGLETRANSLATE(A6206,""en"",""pt-br"")"),"mais feio")</f>
        <v>mais feio</v>
      </c>
      <c r="D6206" s="1" t="str">
        <f>IFERROR(__xludf.DUMMYFUNCTION("GOOGLETRANSLATE(B6206,""en"",""pt-br"")"),"negativo")</f>
        <v>negativo</v>
      </c>
    </row>
    <row r="6207" ht="15.75" customHeight="1">
      <c r="A6207" s="2" t="s">
        <v>6204</v>
      </c>
      <c r="B6207" s="2" t="s">
        <v>3</v>
      </c>
      <c r="C6207" s="1" t="str">
        <f>IFERROR(__xludf.DUMMYFUNCTION("GOOGLETRANSLATE(A6207,""en"",""pt-br"")"),"feiúra")</f>
        <v>feiúra</v>
      </c>
      <c r="D6207" s="1" t="str">
        <f>IFERROR(__xludf.DUMMYFUNCTION("GOOGLETRANSLATE(B6207,""en"",""pt-br"")"),"negativo")</f>
        <v>negativo</v>
      </c>
    </row>
    <row r="6208" ht="15.75" customHeight="1">
      <c r="A6208" s="2" t="s">
        <v>6205</v>
      </c>
      <c r="B6208" s="2" t="s">
        <v>3</v>
      </c>
      <c r="C6208" s="1" t="str">
        <f>IFERROR(__xludf.DUMMYFUNCTION("GOOGLETRANSLATE(A6208,""en"",""pt-br"")"),"feio")</f>
        <v>feio</v>
      </c>
      <c r="D6208" s="1" t="str">
        <f>IFERROR(__xludf.DUMMYFUNCTION("GOOGLETRANSLATE(B6208,""en"",""pt-br"")"),"negativo")</f>
        <v>negativo</v>
      </c>
    </row>
    <row r="6209" ht="15.75" customHeight="1">
      <c r="A6209" s="2" t="s">
        <v>6206</v>
      </c>
      <c r="B6209" s="2" t="s">
        <v>3</v>
      </c>
      <c r="C6209" s="1" t="str">
        <f>IFERROR(__xludf.DUMMYFUNCTION("GOOGLETRANSLATE(A6209,""en"",""pt-br"")"),"oculto")</f>
        <v>oculto</v>
      </c>
      <c r="D6209" s="1" t="str">
        <f>IFERROR(__xludf.DUMMYFUNCTION("GOOGLETRANSLATE(B6209,""en"",""pt-br"")"),"negativo")</f>
        <v>negativo</v>
      </c>
    </row>
    <row r="6210" ht="15.75" customHeight="1">
      <c r="A6210" s="2" t="s">
        <v>6207</v>
      </c>
      <c r="B6210" s="2" t="s">
        <v>3</v>
      </c>
      <c r="C6210" s="1" t="str">
        <f>IFERROR(__xludf.DUMMYFUNCTION("GOOGLETRANSLATE(A6210,""en"",""pt-br"")"),"ultimato")</f>
        <v>ultimato</v>
      </c>
      <c r="D6210" s="1" t="str">
        <f>IFERROR(__xludf.DUMMYFUNCTION("GOOGLETRANSLATE(B6210,""en"",""pt-br"")"),"negativo")</f>
        <v>negativo</v>
      </c>
    </row>
    <row r="6211" ht="15.75" customHeight="1">
      <c r="A6211" s="2" t="s">
        <v>6208</v>
      </c>
      <c r="B6211" s="2" t="s">
        <v>3</v>
      </c>
      <c r="C6211" s="1" t="str">
        <f>IFERROR(__xludf.DUMMYFUNCTION("GOOGLETRANSLATE(A6211,""en"",""pt-br"")"),"ultimatos")</f>
        <v>ultimatos</v>
      </c>
      <c r="D6211" s="1" t="str">
        <f>IFERROR(__xludf.DUMMYFUNCTION("GOOGLETRANSLATE(B6211,""en"",""pt-br"")"),"negativo")</f>
        <v>negativo</v>
      </c>
    </row>
    <row r="6212" ht="15.75" customHeight="1">
      <c r="A6212" s="2" t="s">
        <v>6209</v>
      </c>
      <c r="B6212" s="2" t="s">
        <v>14</v>
      </c>
      <c r="C6212" s="1" t="str">
        <f>IFERROR(__xludf.DUMMYFUNCTION("GOOGLETRANSLATE(A6212,""en"",""pt-br"")"),"ultra-nítidas")</f>
        <v>ultra-nítidas</v>
      </c>
      <c r="D6212" s="1" t="str">
        <f>IFERROR(__xludf.DUMMYFUNCTION("GOOGLETRANSLATE(B6212,""en"",""pt-br"")"),"positivo")</f>
        <v>positivo</v>
      </c>
    </row>
    <row r="6213" ht="15.75" customHeight="1">
      <c r="A6213" s="2" t="s">
        <v>6210</v>
      </c>
      <c r="B6213" s="2" t="s">
        <v>3</v>
      </c>
      <c r="C6213" s="1" t="str">
        <f>IFERROR(__xludf.DUMMYFUNCTION("GOOGLETRANSLATE(A6213,""en"",""pt-br"")"),"ultra-radical")</f>
        <v>ultra-radical</v>
      </c>
      <c r="D6213" s="1" t="str">
        <f>IFERROR(__xludf.DUMMYFUNCTION("GOOGLETRANSLATE(B6213,""en"",""pt-br"")"),"negativo")</f>
        <v>negativo</v>
      </c>
    </row>
    <row r="6214" ht="15.75" customHeight="1">
      <c r="A6214" s="2" t="s">
        <v>6211</v>
      </c>
      <c r="B6214" s="2" t="s">
        <v>3</v>
      </c>
      <c r="C6214" s="1" t="str">
        <f>IFERROR(__xludf.DUMMYFUNCTION("GOOGLETRANSLATE(A6214,""en"",""pt-br"")"),"un-visível")</f>
        <v>un-visível</v>
      </c>
      <c r="D6214" s="1" t="str">
        <f>IFERROR(__xludf.DUMMYFUNCTION("GOOGLETRANSLATE(B6214,""en"",""pt-br"")"),"negativo")</f>
        <v>negativo</v>
      </c>
    </row>
    <row r="6215" ht="15.75" customHeight="1">
      <c r="A6215" s="2" t="s">
        <v>6212</v>
      </c>
      <c r="B6215" s="2" t="s">
        <v>14</v>
      </c>
      <c r="C6215" s="1" t="str">
        <f>IFERROR(__xludf.DUMMYFUNCTION("GOOGLETRANSLATE(A6215,""en"",""pt-br"")"),"ousado")</f>
        <v>ousado</v>
      </c>
      <c r="D6215" s="1" t="str">
        <f>IFERROR(__xludf.DUMMYFUNCTION("GOOGLETRANSLATE(B6215,""en"",""pt-br"")"),"positivo")</f>
        <v>positivo</v>
      </c>
    </row>
    <row r="6216" ht="15.75" customHeight="1">
      <c r="A6216" s="2" t="s">
        <v>6213</v>
      </c>
      <c r="B6216" s="2" t="s">
        <v>14</v>
      </c>
      <c r="C6216" s="1" t="str">
        <f>IFERROR(__xludf.DUMMYFUNCTION("GOOGLETRANSLATE(A6216,""en"",""pt-br"")"),"descaradamente")</f>
        <v>descaradamente</v>
      </c>
      <c r="D6216" s="1" t="str">
        <f>IFERROR(__xludf.DUMMYFUNCTION("GOOGLETRANSLATE(B6216,""en"",""pt-br"")"),"positivo")</f>
        <v>positivo</v>
      </c>
    </row>
    <row r="6217" ht="15.75" customHeight="1">
      <c r="A6217" s="2" t="s">
        <v>6214</v>
      </c>
      <c r="B6217" s="2" t="s">
        <v>3</v>
      </c>
      <c r="C6217" s="1" t="str">
        <f>IFERROR(__xludf.DUMMYFUNCTION("GOOGLETRANSLATE(A6217,""en"",""pt-br"")"),"incapaz")</f>
        <v>incapaz</v>
      </c>
      <c r="D6217" s="1" t="str">
        <f>IFERROR(__xludf.DUMMYFUNCTION("GOOGLETRANSLATE(B6217,""en"",""pt-br"")"),"negativo")</f>
        <v>negativo</v>
      </c>
    </row>
    <row r="6218" ht="15.75" customHeight="1">
      <c r="A6218" s="2" t="s">
        <v>6215</v>
      </c>
      <c r="B6218" s="2" t="s">
        <v>3</v>
      </c>
      <c r="C6218" s="1" t="str">
        <f>IFERROR(__xludf.DUMMYFUNCTION("GOOGLETRANSLATE(A6218,""en"",""pt-br"")"),"inaceitável")</f>
        <v>inaceitável</v>
      </c>
      <c r="D6218" s="1" t="str">
        <f>IFERROR(__xludf.DUMMYFUNCTION("GOOGLETRANSLATE(B6218,""en"",""pt-br"")"),"negativo")</f>
        <v>negativo</v>
      </c>
    </row>
    <row r="6219" ht="15.75" customHeight="1">
      <c r="A6219" s="2" t="s">
        <v>6216</v>
      </c>
      <c r="B6219" s="2" t="s">
        <v>3</v>
      </c>
      <c r="C6219" s="1" t="str">
        <f>IFERROR(__xludf.DUMMYFUNCTION("GOOGLETRANSLATE(A6219,""en"",""pt-br"")"),"unacceptablely")</f>
        <v>unacceptablely</v>
      </c>
      <c r="D6219" s="1" t="str">
        <f>IFERROR(__xludf.DUMMYFUNCTION("GOOGLETRANSLATE(B6219,""en"",""pt-br"")"),"negativo")</f>
        <v>negativo</v>
      </c>
    </row>
    <row r="6220" ht="15.75" customHeight="1">
      <c r="A6220" s="2" t="s">
        <v>6217</v>
      </c>
      <c r="B6220" s="2" t="s">
        <v>3</v>
      </c>
      <c r="C6220" s="1" t="str">
        <f>IFERROR(__xludf.DUMMYFUNCTION("GOOGLETRANSLATE(A6220,""en"",""pt-br"")"),"inaceitavelmente")</f>
        <v>inaceitavelmente</v>
      </c>
      <c r="D6220" s="1" t="str">
        <f>IFERROR(__xludf.DUMMYFUNCTION("GOOGLETRANSLATE(B6220,""en"",""pt-br"")"),"negativo")</f>
        <v>negativo</v>
      </c>
    </row>
    <row r="6221" ht="15.75" customHeight="1">
      <c r="A6221" s="2" t="s">
        <v>6218</v>
      </c>
      <c r="B6221" s="2" t="s">
        <v>3</v>
      </c>
      <c r="C6221" s="1" t="str">
        <f>IFERROR(__xludf.DUMMYFUNCTION("GOOGLETRANSLATE(A6221,""en"",""pt-br"")"),"unaccessible")</f>
        <v>unaccessible</v>
      </c>
      <c r="D6221" s="1" t="str">
        <f>IFERROR(__xludf.DUMMYFUNCTION("GOOGLETRANSLATE(B6221,""en"",""pt-br"")"),"negativo")</f>
        <v>negativo</v>
      </c>
    </row>
    <row r="6222" ht="15.75" customHeight="1">
      <c r="A6222" s="2" t="s">
        <v>6219</v>
      </c>
      <c r="B6222" s="2" t="s">
        <v>3</v>
      </c>
      <c r="C6222" s="1" t="str">
        <f>IFERROR(__xludf.DUMMYFUNCTION("GOOGLETRANSLATE(A6222,""en"",""pt-br"")"),"desacostumado")</f>
        <v>desacostumado</v>
      </c>
      <c r="D6222" s="1" t="str">
        <f>IFERROR(__xludf.DUMMYFUNCTION("GOOGLETRANSLATE(B6222,""en"",""pt-br"")"),"negativo")</f>
        <v>negativo</v>
      </c>
    </row>
    <row r="6223" ht="15.75" customHeight="1">
      <c r="A6223" s="2" t="s">
        <v>6220</v>
      </c>
      <c r="B6223" s="2" t="s">
        <v>3</v>
      </c>
      <c r="C6223" s="1" t="str">
        <f>IFERROR(__xludf.DUMMYFUNCTION("GOOGLETRANSLATE(A6223,""en"",""pt-br"")"),"inatingível")</f>
        <v>inatingível</v>
      </c>
      <c r="D6223" s="1" t="str">
        <f>IFERROR(__xludf.DUMMYFUNCTION("GOOGLETRANSLATE(B6223,""en"",""pt-br"")"),"negativo")</f>
        <v>negativo</v>
      </c>
    </row>
    <row r="6224" ht="15.75" customHeight="1">
      <c r="A6224" s="2" t="s">
        <v>6221</v>
      </c>
      <c r="B6224" s="2" t="s">
        <v>14</v>
      </c>
      <c r="C6224" s="1" t="str">
        <f>IFERROR(__xludf.DUMMYFUNCTION("GOOGLETRANSLATE(A6224,""en"",""pt-br"")"),"não afetado")</f>
        <v>não afetado</v>
      </c>
      <c r="D6224" s="1" t="str">
        <f>IFERROR(__xludf.DUMMYFUNCTION("GOOGLETRANSLATE(B6224,""en"",""pt-br"")"),"positivo")</f>
        <v>positivo</v>
      </c>
    </row>
    <row r="6225" ht="15.75" customHeight="1">
      <c r="A6225" s="2" t="s">
        <v>6222</v>
      </c>
      <c r="B6225" s="2" t="s">
        <v>3</v>
      </c>
      <c r="C6225" s="1" t="str">
        <f>IFERROR(__xludf.DUMMYFUNCTION("GOOGLETRANSLATE(A6225,""en"",""pt-br"")"),"inacessíveis")</f>
        <v>inacessíveis</v>
      </c>
      <c r="D6225" s="1" t="str">
        <f>IFERROR(__xludf.DUMMYFUNCTION("GOOGLETRANSLATE(B6225,""en"",""pt-br"")"),"negativo")</f>
        <v>negativo</v>
      </c>
    </row>
    <row r="6226" ht="15.75" customHeight="1">
      <c r="A6226" s="2" t="s">
        <v>6223</v>
      </c>
      <c r="B6226" s="2" t="s">
        <v>3</v>
      </c>
      <c r="C6226" s="1" t="str">
        <f>IFERROR(__xludf.DUMMYFUNCTION("GOOGLETRANSLATE(A6226,""en"",""pt-br"")"),"desagradável")</f>
        <v>desagradável</v>
      </c>
      <c r="D6226" s="1" t="str">
        <f>IFERROR(__xludf.DUMMYFUNCTION("GOOGLETRANSLATE(B6226,""en"",""pt-br"")"),"negativo")</f>
        <v>negativo</v>
      </c>
    </row>
    <row r="6227" ht="15.75" customHeight="1">
      <c r="A6227" s="2" t="s">
        <v>6224</v>
      </c>
      <c r="B6227" s="2" t="s">
        <v>14</v>
      </c>
      <c r="C6227" s="1" t="str">
        <f>IFERROR(__xludf.DUMMYFUNCTION("GOOGLETRANSLATE(A6227,""en"",""pt-br"")"),"inatacável")</f>
        <v>inatacável</v>
      </c>
      <c r="D6227" s="1" t="str">
        <f>IFERROR(__xludf.DUMMYFUNCTION("GOOGLETRANSLATE(B6227,""en"",""pt-br"")"),"positivo")</f>
        <v>positivo</v>
      </c>
    </row>
    <row r="6228" ht="15.75" customHeight="1">
      <c r="A6228" s="2" t="s">
        <v>6225</v>
      </c>
      <c r="B6228" s="2" t="s">
        <v>3</v>
      </c>
      <c r="C6228" s="1" t="str">
        <f>IFERROR(__xludf.DUMMYFUNCTION("GOOGLETRANSLATE(A6228,""en"",""pt-br"")"),"pouco atraente")</f>
        <v>pouco atraente</v>
      </c>
      <c r="D6228" s="1" t="str">
        <f>IFERROR(__xludf.DUMMYFUNCTION("GOOGLETRANSLATE(B6228,""en"",""pt-br"")"),"negativo")</f>
        <v>negativo</v>
      </c>
    </row>
    <row r="6229" ht="15.75" customHeight="1">
      <c r="A6229" s="2" t="s">
        <v>6226</v>
      </c>
      <c r="B6229" s="2" t="s">
        <v>3</v>
      </c>
      <c r="C6229" s="1" t="str">
        <f>IFERROR(__xludf.DUMMYFUNCTION("GOOGLETRANSLATE(A6229,""en"",""pt-br"")"),"unauthentic")</f>
        <v>unauthentic</v>
      </c>
      <c r="D6229" s="1" t="str">
        <f>IFERROR(__xludf.DUMMYFUNCTION("GOOGLETRANSLATE(B6229,""en"",""pt-br"")"),"negativo")</f>
        <v>negativo</v>
      </c>
    </row>
    <row r="6230" ht="15.75" customHeight="1">
      <c r="A6230" s="2" t="s">
        <v>6227</v>
      </c>
      <c r="B6230" s="2" t="s">
        <v>3</v>
      </c>
      <c r="C6230" s="1" t="str">
        <f>IFERROR(__xludf.DUMMYFUNCTION("GOOGLETRANSLATE(A6230,""en"",""pt-br"")"),"indisponível")</f>
        <v>indisponível</v>
      </c>
      <c r="D6230" s="1" t="str">
        <f>IFERROR(__xludf.DUMMYFUNCTION("GOOGLETRANSLATE(B6230,""en"",""pt-br"")"),"negativo")</f>
        <v>negativo</v>
      </c>
    </row>
    <row r="6231" ht="15.75" customHeight="1">
      <c r="A6231" s="2" t="s">
        <v>6228</v>
      </c>
      <c r="B6231" s="2" t="s">
        <v>3</v>
      </c>
      <c r="C6231" s="1" t="str">
        <f>IFERROR(__xludf.DUMMYFUNCTION("GOOGLETRANSLATE(A6231,""en"",""pt-br"")"),"inevitável")</f>
        <v>inevitável</v>
      </c>
      <c r="D6231" s="1" t="str">
        <f>IFERROR(__xludf.DUMMYFUNCTION("GOOGLETRANSLATE(B6231,""en"",""pt-br"")"),"negativo")</f>
        <v>negativo</v>
      </c>
    </row>
    <row r="6232" ht="15.75" customHeight="1">
      <c r="A6232" s="2" t="s">
        <v>6229</v>
      </c>
      <c r="B6232" s="2" t="s">
        <v>3</v>
      </c>
      <c r="C6232" s="1" t="str">
        <f>IFERROR(__xludf.DUMMYFUNCTION("GOOGLETRANSLATE(A6232,""en"",""pt-br"")"),"insuportável")</f>
        <v>insuportável</v>
      </c>
      <c r="D6232" s="1" t="str">
        <f>IFERROR(__xludf.DUMMYFUNCTION("GOOGLETRANSLATE(B6232,""en"",""pt-br"")"),"negativo")</f>
        <v>negativo</v>
      </c>
    </row>
    <row r="6233" ht="15.75" customHeight="1">
      <c r="A6233" s="2" t="s">
        <v>6230</v>
      </c>
      <c r="B6233" s="2" t="s">
        <v>3</v>
      </c>
      <c r="C6233" s="1" t="str">
        <f>IFERROR(__xludf.DUMMYFUNCTION("GOOGLETRANSLATE(A6233,""en"",""pt-br"")"),"unbearablely")</f>
        <v>unbearablely</v>
      </c>
      <c r="D6233" s="1" t="str">
        <f>IFERROR(__xludf.DUMMYFUNCTION("GOOGLETRANSLATE(B6233,""en"",""pt-br"")"),"negativo")</f>
        <v>negativo</v>
      </c>
    </row>
    <row r="6234" ht="15.75" customHeight="1">
      <c r="A6234" s="2" t="s">
        <v>6231</v>
      </c>
      <c r="B6234" s="2" t="s">
        <v>14</v>
      </c>
      <c r="C6234" s="1" t="str">
        <f>IFERROR(__xludf.DUMMYFUNCTION("GOOGLETRANSLATE(A6234,""en"",""pt-br"")"),"invencível")</f>
        <v>invencível</v>
      </c>
      <c r="D6234" s="1" t="str">
        <f>IFERROR(__xludf.DUMMYFUNCTION("GOOGLETRANSLATE(B6234,""en"",""pt-br"")"),"positivo")</f>
        <v>positivo</v>
      </c>
    </row>
    <row r="6235" ht="15.75" customHeight="1">
      <c r="A6235" s="2" t="s">
        <v>6232</v>
      </c>
      <c r="B6235" s="2" t="s">
        <v>3</v>
      </c>
      <c r="C6235" s="1" t="str">
        <f>IFERROR(__xludf.DUMMYFUNCTION("GOOGLETRANSLATE(A6235,""en"",""pt-br"")"),"inacreditável")</f>
        <v>inacreditável</v>
      </c>
      <c r="D6235" s="1" t="str">
        <f>IFERROR(__xludf.DUMMYFUNCTION("GOOGLETRANSLATE(B6235,""en"",""pt-br"")"),"negativo")</f>
        <v>negativo</v>
      </c>
    </row>
    <row r="6236" ht="15.75" customHeight="1">
      <c r="A6236" s="2" t="s">
        <v>6233</v>
      </c>
      <c r="B6236" s="2" t="s">
        <v>3</v>
      </c>
      <c r="C6236" s="1" t="str">
        <f>IFERROR(__xludf.DUMMYFUNCTION("GOOGLETRANSLATE(A6236,""en"",""pt-br"")"),"incrivelmente")</f>
        <v>incrivelmente</v>
      </c>
      <c r="D6236" s="1" t="str">
        <f>IFERROR(__xludf.DUMMYFUNCTION("GOOGLETRANSLATE(B6236,""en"",""pt-br"")"),"negativo")</f>
        <v>negativo</v>
      </c>
    </row>
    <row r="6237" ht="15.75" customHeight="1">
      <c r="A6237" s="2" t="s">
        <v>6234</v>
      </c>
      <c r="B6237" s="2" t="s">
        <v>14</v>
      </c>
      <c r="C6237" s="1" t="str">
        <f>IFERROR(__xludf.DUMMYFUNCTION("GOOGLETRANSLATE(A6237,""en"",""pt-br"")"),"imparcial")</f>
        <v>imparcial</v>
      </c>
      <c r="D6237" s="1" t="str">
        <f>IFERROR(__xludf.DUMMYFUNCTION("GOOGLETRANSLATE(B6237,""en"",""pt-br"")"),"positivo")</f>
        <v>positivo</v>
      </c>
    </row>
    <row r="6238" ht="15.75" customHeight="1">
      <c r="A6238" s="2" t="s">
        <v>6235</v>
      </c>
      <c r="B6238" s="2" t="s">
        <v>14</v>
      </c>
      <c r="C6238" s="1" t="str">
        <f>IFERROR(__xludf.DUMMYFUNCTION("GOOGLETRANSLATE(A6238,""en"",""pt-br"")"),"desacoplado")</f>
        <v>desacoplado</v>
      </c>
      <c r="D6238" s="1" t="str">
        <f>IFERROR(__xludf.DUMMYFUNCTION("GOOGLETRANSLATE(B6238,""en"",""pt-br"")"),"positivo")</f>
        <v>positivo</v>
      </c>
    </row>
    <row r="6239" ht="15.75" customHeight="1">
      <c r="A6239" s="2" t="s">
        <v>6236</v>
      </c>
      <c r="B6239" s="2" t="s">
        <v>3</v>
      </c>
      <c r="C6239" s="1" t="str">
        <f>IFERROR(__xludf.DUMMYFUNCTION("GOOGLETRANSLATE(A6239,""en"",""pt-br"")"),"indiferente")</f>
        <v>indiferente</v>
      </c>
      <c r="D6239" s="1" t="str">
        <f>IFERROR(__xludf.DUMMYFUNCTION("GOOGLETRANSLATE(B6239,""en"",""pt-br"")"),"negativo")</f>
        <v>negativo</v>
      </c>
    </row>
    <row r="6240" ht="15.75" customHeight="1">
      <c r="A6240" s="2" t="s">
        <v>6237</v>
      </c>
      <c r="B6240" s="2" t="s">
        <v>3</v>
      </c>
      <c r="C6240" s="1" t="str">
        <f>IFERROR(__xludf.DUMMYFUNCTION("GOOGLETRANSLATE(A6240,""en"",""pt-br"")"),"incerto")</f>
        <v>incerto</v>
      </c>
      <c r="D6240" s="1" t="str">
        <f>IFERROR(__xludf.DUMMYFUNCTION("GOOGLETRANSLATE(B6240,""en"",""pt-br"")"),"negativo")</f>
        <v>negativo</v>
      </c>
    </row>
    <row r="6241" ht="15.75" customHeight="1">
      <c r="A6241" s="2" t="s">
        <v>6238</v>
      </c>
      <c r="B6241" s="2" t="s">
        <v>3</v>
      </c>
      <c r="C6241" s="1" t="str">
        <f>IFERROR(__xludf.DUMMYFUNCTION("GOOGLETRANSLATE(A6241,""en"",""pt-br"")"),"incivil")</f>
        <v>incivil</v>
      </c>
      <c r="D6241" s="1" t="str">
        <f>IFERROR(__xludf.DUMMYFUNCTION("GOOGLETRANSLATE(B6241,""en"",""pt-br"")"),"negativo")</f>
        <v>negativo</v>
      </c>
    </row>
    <row r="6242" ht="15.75" customHeight="1">
      <c r="A6242" s="2" t="s">
        <v>6239</v>
      </c>
      <c r="B6242" s="2" t="s">
        <v>3</v>
      </c>
      <c r="C6242" s="1" t="str">
        <f>IFERROR(__xludf.DUMMYFUNCTION("GOOGLETRANSLATE(A6242,""en"",""pt-br"")"),"não civilizado")</f>
        <v>não civilizado</v>
      </c>
      <c r="D6242" s="1" t="str">
        <f>IFERROR(__xludf.DUMMYFUNCTION("GOOGLETRANSLATE(B6242,""en"",""pt-br"")"),"negativo")</f>
        <v>negativo</v>
      </c>
    </row>
    <row r="6243" ht="15.75" customHeight="1">
      <c r="A6243" s="2" t="s">
        <v>6240</v>
      </c>
      <c r="B6243" s="2" t="s">
        <v>3</v>
      </c>
      <c r="C6243" s="1" t="str">
        <f>IFERROR(__xludf.DUMMYFUNCTION("GOOGLETRANSLATE(A6243,""en"",""pt-br"")"),"imundo")</f>
        <v>imundo</v>
      </c>
      <c r="D6243" s="1" t="str">
        <f>IFERROR(__xludf.DUMMYFUNCTION("GOOGLETRANSLATE(B6243,""en"",""pt-br"")"),"negativo")</f>
        <v>negativo</v>
      </c>
    </row>
    <row r="6244" ht="15.75" customHeight="1">
      <c r="A6244" s="2" t="s">
        <v>6241</v>
      </c>
      <c r="B6244" s="2" t="s">
        <v>3</v>
      </c>
      <c r="C6244" s="1" t="str">
        <f>IFERROR(__xludf.DUMMYFUNCTION("GOOGLETRANSLATE(A6244,""en"",""pt-br"")"),"obscuro")</f>
        <v>obscuro</v>
      </c>
      <c r="D6244" s="1" t="str">
        <f>IFERROR(__xludf.DUMMYFUNCTION("GOOGLETRANSLATE(B6244,""en"",""pt-br"")"),"negativo")</f>
        <v>negativo</v>
      </c>
    </row>
    <row r="6245" ht="15.75" customHeight="1">
      <c r="A6245" s="2" t="s">
        <v>6242</v>
      </c>
      <c r="B6245" s="2" t="s">
        <v>3</v>
      </c>
      <c r="C6245" s="1" t="str">
        <f>IFERROR(__xludf.DUMMYFUNCTION("GOOGLETRANSLATE(A6245,""en"",""pt-br"")"),"incobráveis")</f>
        <v>incobráveis</v>
      </c>
      <c r="D6245" s="1" t="str">
        <f>IFERROR(__xludf.DUMMYFUNCTION("GOOGLETRANSLATE(B6245,""en"",""pt-br"")"),"negativo")</f>
        <v>negativo</v>
      </c>
    </row>
    <row r="6246" ht="15.75" customHeight="1">
      <c r="A6246" s="2" t="s">
        <v>6243</v>
      </c>
      <c r="B6246" s="2" t="s">
        <v>3</v>
      </c>
      <c r="C6246" s="1" t="str">
        <f>IFERROR(__xludf.DUMMYFUNCTION("GOOGLETRANSLATE(A6246,""en"",""pt-br"")"),"desconfortável")</f>
        <v>desconfortável</v>
      </c>
      <c r="D6246" s="1" t="str">
        <f>IFERROR(__xludf.DUMMYFUNCTION("GOOGLETRANSLATE(B6246,""en"",""pt-br"")"),"negativo")</f>
        <v>negativo</v>
      </c>
    </row>
    <row r="6247" ht="15.75" customHeight="1">
      <c r="A6247" s="2" t="s">
        <v>6244</v>
      </c>
      <c r="B6247" s="2" t="s">
        <v>3</v>
      </c>
      <c r="C6247" s="1" t="str">
        <f>IFERROR(__xludf.DUMMYFUNCTION("GOOGLETRANSLATE(A6247,""en"",""pt-br"")"),"inconfortavelmente")</f>
        <v>inconfortavelmente</v>
      </c>
      <c r="D6247" s="1" t="str">
        <f>IFERROR(__xludf.DUMMYFUNCTION("GOOGLETRANSLATE(B6247,""en"",""pt-br"")"),"negativo")</f>
        <v>negativo</v>
      </c>
    </row>
    <row r="6248" ht="15.75" customHeight="1">
      <c r="A6248" s="2" t="s">
        <v>6245</v>
      </c>
      <c r="B6248" s="2" t="s">
        <v>3</v>
      </c>
      <c r="C6248" s="1" t="str">
        <f>IFERROR(__xludf.DUMMYFUNCTION("GOOGLETRANSLATE(A6248,""en"",""pt-br"")"),"uncomfy")</f>
        <v>uncomfy</v>
      </c>
      <c r="D6248" s="1" t="str">
        <f>IFERROR(__xludf.DUMMYFUNCTION("GOOGLETRANSLATE(B6248,""en"",""pt-br"")"),"negativo")</f>
        <v>negativo</v>
      </c>
    </row>
    <row r="6249" ht="15.75" customHeight="1">
      <c r="A6249" s="2" t="s">
        <v>6246</v>
      </c>
      <c r="B6249" s="2" t="s">
        <v>3</v>
      </c>
      <c r="C6249" s="1" t="str">
        <f>IFERROR(__xludf.DUMMYFUNCTION("GOOGLETRANSLATE(A6249,""en"",""pt-br"")"),"não-competitivo")</f>
        <v>não-competitivo</v>
      </c>
      <c r="D6249" s="1" t="str">
        <f>IFERROR(__xludf.DUMMYFUNCTION("GOOGLETRANSLATE(B6249,""en"",""pt-br"")"),"negativo")</f>
        <v>negativo</v>
      </c>
    </row>
    <row r="6250" ht="15.75" customHeight="1">
      <c r="A6250" s="2" t="s">
        <v>6247</v>
      </c>
      <c r="B6250" s="2" t="s">
        <v>14</v>
      </c>
      <c r="C6250" s="1" t="str">
        <f>IFERROR(__xludf.DUMMYFUNCTION("GOOGLETRANSLATE(A6250,""en"",""pt-br"")"),"descomplicado")</f>
        <v>descomplicado</v>
      </c>
      <c r="D6250" s="1" t="str">
        <f>IFERROR(__xludf.DUMMYFUNCTION("GOOGLETRANSLATE(B6250,""en"",""pt-br"")"),"positivo")</f>
        <v>positivo</v>
      </c>
    </row>
    <row r="6251" ht="15.75" customHeight="1">
      <c r="A6251" s="2" t="s">
        <v>6248</v>
      </c>
      <c r="B6251" s="2" t="s">
        <v>3</v>
      </c>
      <c r="C6251" s="1" t="str">
        <f>IFERROR(__xludf.DUMMYFUNCTION("GOOGLETRANSLATE(A6251,""en"",""pt-br"")"),"intransigente")</f>
        <v>intransigente</v>
      </c>
      <c r="D6251" s="1" t="str">
        <f>IFERROR(__xludf.DUMMYFUNCTION("GOOGLETRANSLATE(B6251,""en"",""pt-br"")"),"negativo")</f>
        <v>negativo</v>
      </c>
    </row>
    <row r="6252" ht="15.75" customHeight="1">
      <c r="A6252" s="2" t="s">
        <v>6249</v>
      </c>
      <c r="B6252" s="2" t="s">
        <v>3</v>
      </c>
      <c r="C6252" s="1" t="str">
        <f>IFERROR(__xludf.DUMMYFUNCTION("GOOGLETRANSLATE(A6252,""en"",""pt-br"")"),"intransigentemente")</f>
        <v>intransigentemente</v>
      </c>
      <c r="D6252" s="1" t="str">
        <f>IFERROR(__xludf.DUMMYFUNCTION("GOOGLETRANSLATE(B6252,""en"",""pt-br"")"),"negativo")</f>
        <v>negativo</v>
      </c>
    </row>
    <row r="6253" ht="15.75" customHeight="1">
      <c r="A6253" s="2" t="s">
        <v>6250</v>
      </c>
      <c r="B6253" s="2" t="s">
        <v>14</v>
      </c>
      <c r="C6253" s="1" t="str">
        <f>IFERROR(__xludf.DUMMYFUNCTION("GOOGLETRANSLATE(A6253,""en"",""pt-br"")"),"incondicional")</f>
        <v>incondicional</v>
      </c>
      <c r="D6253" s="1" t="str">
        <f>IFERROR(__xludf.DUMMYFUNCTION("GOOGLETRANSLATE(B6253,""en"",""pt-br"")"),"positivo")</f>
        <v>positivo</v>
      </c>
    </row>
    <row r="6254" ht="15.75" customHeight="1">
      <c r="A6254" s="2" t="s">
        <v>6251</v>
      </c>
      <c r="B6254" s="2" t="s">
        <v>3</v>
      </c>
      <c r="C6254" s="1" t="str">
        <f>IFERROR(__xludf.DUMMYFUNCTION("GOOGLETRANSLATE(A6254,""en"",""pt-br"")"),"não confirmado")</f>
        <v>não confirmado</v>
      </c>
      <c r="D6254" s="1" t="str">
        <f>IFERROR(__xludf.DUMMYFUNCTION("GOOGLETRANSLATE(B6254,""en"",""pt-br"")"),"negativo")</f>
        <v>negativo</v>
      </c>
    </row>
    <row r="6255" ht="15.75" customHeight="1">
      <c r="A6255" s="2" t="s">
        <v>6252</v>
      </c>
      <c r="B6255" s="2" t="s">
        <v>3</v>
      </c>
      <c r="C6255" s="1" t="str">
        <f>IFERROR(__xludf.DUMMYFUNCTION("GOOGLETRANSLATE(A6255,""en"",""pt-br"")"),"inconstitucional")</f>
        <v>inconstitucional</v>
      </c>
      <c r="D6255" s="1" t="str">
        <f>IFERROR(__xludf.DUMMYFUNCTION("GOOGLETRANSLATE(B6255,""en"",""pt-br"")"),"negativo")</f>
        <v>negativo</v>
      </c>
    </row>
    <row r="6256" ht="15.75" customHeight="1">
      <c r="A6256" s="2" t="s">
        <v>6253</v>
      </c>
      <c r="B6256" s="2" t="s">
        <v>3</v>
      </c>
      <c r="C6256" s="1" t="str">
        <f>IFERROR(__xludf.DUMMYFUNCTION("GOOGLETRANSLATE(A6256,""en"",""pt-br"")"),"descontrolado")</f>
        <v>descontrolado</v>
      </c>
      <c r="D6256" s="1" t="str">
        <f>IFERROR(__xludf.DUMMYFUNCTION("GOOGLETRANSLATE(B6256,""en"",""pt-br"")"),"negativo")</f>
        <v>negativo</v>
      </c>
    </row>
    <row r="6257" ht="15.75" customHeight="1">
      <c r="A6257" s="2" t="s">
        <v>6254</v>
      </c>
      <c r="B6257" s="2" t="s">
        <v>3</v>
      </c>
      <c r="C6257" s="1" t="str">
        <f>IFERROR(__xludf.DUMMYFUNCTION("GOOGLETRANSLATE(A6257,""en"",""pt-br"")"),"pouco convincente")</f>
        <v>pouco convincente</v>
      </c>
      <c r="D6257" s="1" t="str">
        <f>IFERROR(__xludf.DUMMYFUNCTION("GOOGLETRANSLATE(B6257,""en"",""pt-br"")"),"negativo")</f>
        <v>negativo</v>
      </c>
    </row>
    <row r="6258" ht="15.75" customHeight="1">
      <c r="A6258" s="2" t="s">
        <v>6255</v>
      </c>
      <c r="B6258" s="2" t="s">
        <v>3</v>
      </c>
      <c r="C6258" s="1" t="str">
        <f>IFERROR(__xludf.DUMMYFUNCTION("GOOGLETRANSLATE(A6258,""en"",""pt-br"")"),"unconvincingly")</f>
        <v>unconvincingly</v>
      </c>
      <c r="D6258" s="1" t="str">
        <f>IFERROR(__xludf.DUMMYFUNCTION("GOOGLETRANSLATE(B6258,""en"",""pt-br"")"),"negativo")</f>
        <v>negativo</v>
      </c>
    </row>
    <row r="6259" ht="15.75" customHeight="1">
      <c r="A6259" s="2" t="s">
        <v>6256</v>
      </c>
      <c r="B6259" s="2" t="s">
        <v>3</v>
      </c>
      <c r="C6259" s="1" t="str">
        <f>IFERROR(__xludf.DUMMYFUNCTION("GOOGLETRANSLATE(A6259,""en"",""pt-br"")"),"uncooperative")</f>
        <v>uncooperative</v>
      </c>
      <c r="D6259" s="1" t="str">
        <f>IFERROR(__xludf.DUMMYFUNCTION("GOOGLETRANSLATE(B6259,""en"",""pt-br"")"),"negativo")</f>
        <v>negativo</v>
      </c>
    </row>
    <row r="6260" ht="15.75" customHeight="1">
      <c r="A6260" s="2" t="s">
        <v>6257</v>
      </c>
      <c r="B6260" s="2" t="s">
        <v>3</v>
      </c>
      <c r="C6260" s="1" t="str">
        <f>IFERROR(__xludf.DUMMYFUNCTION("GOOGLETRANSLATE(A6260,""en"",""pt-br"")"),"grosseiro")</f>
        <v>grosseiro</v>
      </c>
      <c r="D6260" s="1" t="str">
        <f>IFERROR(__xludf.DUMMYFUNCTION("GOOGLETRANSLATE(B6260,""en"",""pt-br"")"),"negativo")</f>
        <v>negativo</v>
      </c>
    </row>
    <row r="6261" ht="15.75" customHeight="1">
      <c r="A6261" s="2" t="s">
        <v>6258</v>
      </c>
      <c r="B6261" s="2" t="s">
        <v>3</v>
      </c>
      <c r="C6261" s="1" t="str">
        <f>IFERROR(__xludf.DUMMYFUNCTION("GOOGLETRANSLATE(A6261,""en"",""pt-br"")"),"sem criatividade")</f>
        <v>sem criatividade</v>
      </c>
      <c r="D6261" s="1" t="str">
        <f>IFERROR(__xludf.DUMMYFUNCTION("GOOGLETRANSLATE(B6261,""en"",""pt-br"")"),"negativo")</f>
        <v>negativo</v>
      </c>
    </row>
    <row r="6262" ht="15.75" customHeight="1">
      <c r="A6262" s="2" t="s">
        <v>6259</v>
      </c>
      <c r="B6262" s="2" t="s">
        <v>14</v>
      </c>
      <c r="C6262" s="1" t="str">
        <f>IFERROR(__xludf.DUMMYFUNCTION("GOOGLETRANSLATE(A6262,""en"",""pt-br"")"),"sem danos")</f>
        <v>sem danos</v>
      </c>
      <c r="D6262" s="1" t="str">
        <f>IFERROR(__xludf.DUMMYFUNCTION("GOOGLETRANSLATE(B6262,""en"",""pt-br"")"),"positivo")</f>
        <v>positivo</v>
      </c>
    </row>
    <row r="6263" ht="15.75" customHeight="1">
      <c r="A6263" s="2" t="s">
        <v>6260</v>
      </c>
      <c r="B6263" s="2" t="s">
        <v>14</v>
      </c>
      <c r="C6263" s="1" t="str">
        <f>IFERROR(__xludf.DUMMYFUNCTION("GOOGLETRANSLATE(A6263,""en"",""pt-br"")"),"destemido")</f>
        <v>destemido</v>
      </c>
      <c r="D6263" s="1" t="str">
        <f>IFERROR(__xludf.DUMMYFUNCTION("GOOGLETRANSLATE(B6263,""en"",""pt-br"")"),"positivo")</f>
        <v>positivo</v>
      </c>
    </row>
    <row r="6264" ht="15.75" customHeight="1">
      <c r="A6264" s="2" t="s">
        <v>6261</v>
      </c>
      <c r="B6264" s="2" t="s">
        <v>3</v>
      </c>
      <c r="C6264" s="1" t="str">
        <f>IFERROR(__xludf.DUMMYFUNCTION("GOOGLETRANSLATE(A6264,""en"",""pt-br"")"),"indeciso")</f>
        <v>indeciso</v>
      </c>
      <c r="D6264" s="1" t="str">
        <f>IFERROR(__xludf.DUMMYFUNCTION("GOOGLETRANSLATE(B6264,""en"",""pt-br"")"),"negativo")</f>
        <v>negativo</v>
      </c>
    </row>
    <row r="6265" ht="15.75" customHeight="1">
      <c r="A6265" s="2" t="s">
        <v>6262</v>
      </c>
      <c r="B6265" s="2" t="s">
        <v>3</v>
      </c>
      <c r="C6265" s="1" t="str">
        <f>IFERROR(__xludf.DUMMYFUNCTION("GOOGLETRANSLATE(A6265,""en"",""pt-br"")"),"Indefinido")</f>
        <v>Indefinido</v>
      </c>
      <c r="D6265" s="1" t="str">
        <f>IFERROR(__xludf.DUMMYFUNCTION("GOOGLETRANSLATE(B6265,""en"",""pt-br"")"),"negativo")</f>
        <v>negativo</v>
      </c>
    </row>
    <row r="6266" ht="15.75" customHeight="1">
      <c r="A6266" s="2" t="s">
        <v>6263</v>
      </c>
      <c r="B6266" s="2" t="s">
        <v>3</v>
      </c>
      <c r="C6266" s="1" t="str">
        <f>IFERROR(__xludf.DUMMYFUNCTION("GOOGLETRANSLATE(A6266,""en"",""pt-br"")"),"undependability")</f>
        <v>undependability</v>
      </c>
      <c r="D6266" s="1" t="str">
        <f>IFERROR(__xludf.DUMMYFUNCTION("GOOGLETRANSLATE(B6266,""en"",""pt-br"")"),"negativo")</f>
        <v>negativo</v>
      </c>
    </row>
    <row r="6267" ht="15.75" customHeight="1">
      <c r="A6267" s="2" t="s">
        <v>6264</v>
      </c>
      <c r="B6267" s="2" t="s">
        <v>3</v>
      </c>
      <c r="C6267" s="1" t="str">
        <f>IFERROR(__xludf.DUMMYFUNCTION("GOOGLETRANSLATE(A6267,""en"",""pt-br"")"),"Independente")</f>
        <v>Independente</v>
      </c>
      <c r="D6267" s="1" t="str">
        <f>IFERROR(__xludf.DUMMYFUNCTION("GOOGLETRANSLATE(B6267,""en"",""pt-br"")"),"negativo")</f>
        <v>negativo</v>
      </c>
    </row>
    <row r="6268" ht="15.75" customHeight="1">
      <c r="A6268" s="2" t="s">
        <v>6265</v>
      </c>
      <c r="B6268" s="2" t="s">
        <v>3</v>
      </c>
      <c r="C6268" s="1" t="str">
        <f>IFERROR(__xludf.DUMMYFUNCTION("GOOGLETRANSLATE(A6268,""en"",""pt-br"")"),"rebaixo")</f>
        <v>rebaixo</v>
      </c>
      <c r="D6268" s="1" t="str">
        <f>IFERROR(__xludf.DUMMYFUNCTION("GOOGLETRANSLATE(B6268,""en"",""pt-br"")"),"negativo")</f>
        <v>negativo</v>
      </c>
    </row>
    <row r="6269" ht="15.75" customHeight="1">
      <c r="A6269" s="2" t="s">
        <v>6266</v>
      </c>
      <c r="B6269" s="2" t="s">
        <v>3</v>
      </c>
      <c r="C6269" s="1" t="str">
        <f>IFERROR(__xludf.DUMMYFUNCTION("GOOGLETRANSLATE(A6269,""en"",""pt-br"")"),"undercuts")</f>
        <v>undercuts</v>
      </c>
      <c r="D6269" s="1" t="str">
        <f>IFERROR(__xludf.DUMMYFUNCTION("GOOGLETRANSLATE(B6269,""en"",""pt-br"")"),"negativo")</f>
        <v>negativo</v>
      </c>
    </row>
    <row r="6270" ht="15.75" customHeight="1">
      <c r="A6270" s="2" t="s">
        <v>6267</v>
      </c>
      <c r="B6270" s="2" t="s">
        <v>3</v>
      </c>
      <c r="C6270" s="1" t="str">
        <f>IFERROR(__xludf.DUMMYFUNCTION("GOOGLETRANSLATE(A6270,""en"",""pt-br"")"),"subcotação")</f>
        <v>subcotação</v>
      </c>
      <c r="D6270" s="1" t="str">
        <f>IFERROR(__xludf.DUMMYFUNCTION("GOOGLETRANSLATE(B6270,""en"",""pt-br"")"),"negativo")</f>
        <v>negativo</v>
      </c>
    </row>
    <row r="6271" ht="15.75" customHeight="1">
      <c r="A6271" s="2" t="s">
        <v>6268</v>
      </c>
      <c r="B6271" s="2" t="s">
        <v>3</v>
      </c>
      <c r="C6271" s="1" t="str">
        <f>IFERROR(__xludf.DUMMYFUNCTION("GOOGLETRANSLATE(A6271,""en"",""pt-br"")"),"oprimido")</f>
        <v>oprimido</v>
      </c>
      <c r="D6271" s="1" t="str">
        <f>IFERROR(__xludf.DUMMYFUNCTION("GOOGLETRANSLATE(B6271,""en"",""pt-br"")"),"negativo")</f>
        <v>negativo</v>
      </c>
    </row>
    <row r="6272" ht="15.75" customHeight="1">
      <c r="A6272" s="2" t="s">
        <v>6269</v>
      </c>
      <c r="B6272" s="2" t="s">
        <v>3</v>
      </c>
      <c r="C6272" s="1" t="str">
        <f>IFERROR(__xludf.DUMMYFUNCTION("GOOGLETRANSLATE(A6272,""en"",""pt-br"")"),"subestimar")</f>
        <v>subestimar</v>
      </c>
      <c r="D6272" s="1" t="str">
        <f>IFERROR(__xludf.DUMMYFUNCTION("GOOGLETRANSLATE(B6272,""en"",""pt-br"")"),"negativo")</f>
        <v>negativo</v>
      </c>
    </row>
    <row r="6273" ht="15.75" customHeight="1">
      <c r="A6273" s="2" t="s">
        <v>6270</v>
      </c>
      <c r="B6273" s="2" t="s">
        <v>3</v>
      </c>
      <c r="C6273" s="1" t="str">
        <f>IFERROR(__xludf.DUMMYFUNCTION("GOOGLETRANSLATE(A6273,""en"",""pt-br"")"),"subordinados")</f>
        <v>subordinados</v>
      </c>
      <c r="D6273" s="1" t="str">
        <f>IFERROR(__xludf.DUMMYFUNCTION("GOOGLETRANSLATE(B6273,""en"",""pt-br"")"),"negativo")</f>
        <v>negativo</v>
      </c>
    </row>
    <row r="6274" ht="15.75" customHeight="1">
      <c r="A6274" s="2" t="s">
        <v>6271</v>
      </c>
      <c r="B6274" s="2" t="s">
        <v>3</v>
      </c>
      <c r="C6274" s="1" t="str">
        <f>IFERROR(__xludf.DUMMYFUNCTION("GOOGLETRANSLATE(A6274,""en"",""pt-br"")"),"minar")</f>
        <v>minar</v>
      </c>
      <c r="D6274" s="1" t="str">
        <f>IFERROR(__xludf.DUMMYFUNCTION("GOOGLETRANSLATE(B6274,""en"",""pt-br"")"),"negativo")</f>
        <v>negativo</v>
      </c>
    </row>
    <row r="6275" ht="15.75" customHeight="1">
      <c r="A6275" s="2" t="s">
        <v>6272</v>
      </c>
      <c r="B6275" s="2" t="s">
        <v>3</v>
      </c>
      <c r="C6275" s="1" t="str">
        <f>IFERROR(__xludf.DUMMYFUNCTION("GOOGLETRANSLATE(A6275,""en"",""pt-br"")"),"minado")</f>
        <v>minado</v>
      </c>
      <c r="D6275" s="1" t="str">
        <f>IFERROR(__xludf.DUMMYFUNCTION("GOOGLETRANSLATE(B6275,""en"",""pt-br"")"),"negativo")</f>
        <v>negativo</v>
      </c>
    </row>
    <row r="6276" ht="15.75" customHeight="1">
      <c r="A6276" s="2" t="s">
        <v>6273</v>
      </c>
      <c r="B6276" s="2" t="s">
        <v>3</v>
      </c>
      <c r="C6276" s="1" t="str">
        <f>IFERROR(__xludf.DUMMYFUNCTION("GOOGLETRANSLATE(A6276,""en"",""pt-br"")"),"minar")</f>
        <v>minar</v>
      </c>
      <c r="D6276" s="1" t="str">
        <f>IFERROR(__xludf.DUMMYFUNCTION("GOOGLETRANSLATE(B6276,""en"",""pt-br"")"),"negativo")</f>
        <v>negativo</v>
      </c>
    </row>
    <row r="6277" ht="15.75" customHeight="1">
      <c r="A6277" s="2" t="s">
        <v>6274</v>
      </c>
      <c r="B6277" s="2" t="s">
        <v>3</v>
      </c>
      <c r="C6277" s="1" t="str">
        <f>IFERROR(__xludf.DUMMYFUNCTION("GOOGLETRANSLATE(A6277,""en"",""pt-br"")"),"solapamento")</f>
        <v>solapamento</v>
      </c>
      <c r="D6277" s="1" t="str">
        <f>IFERROR(__xludf.DUMMYFUNCTION("GOOGLETRANSLATE(B6277,""en"",""pt-br"")"),"negativo")</f>
        <v>negativo</v>
      </c>
    </row>
    <row r="6278" ht="15.75" customHeight="1">
      <c r="A6278" s="2" t="s">
        <v>6275</v>
      </c>
      <c r="B6278" s="2" t="s">
        <v>3</v>
      </c>
      <c r="C6278" s="1" t="str">
        <f>IFERROR(__xludf.DUMMYFUNCTION("GOOGLETRANSLATE(A6278,""en"",""pt-br"")"),"mal pago")</f>
        <v>mal pago</v>
      </c>
      <c r="D6278" s="1" t="str">
        <f>IFERROR(__xludf.DUMMYFUNCTION("GOOGLETRANSLATE(B6278,""en"",""pt-br"")"),"negativo")</f>
        <v>negativo</v>
      </c>
    </row>
    <row r="6279" ht="15.75" customHeight="1">
      <c r="A6279" s="2" t="s">
        <v>6276</v>
      </c>
      <c r="B6279" s="2" t="s">
        <v>3</v>
      </c>
      <c r="C6279" s="1" t="str">
        <f>IFERROR(__xludf.DUMMYFUNCTION("GOOGLETRANSLATE(A6279,""en"",""pt-br"")"),"underpowered")</f>
        <v>underpowered</v>
      </c>
      <c r="D6279" s="1" t="str">
        <f>IFERROR(__xludf.DUMMYFUNCTION("GOOGLETRANSLATE(B6279,""en"",""pt-br"")"),"negativo")</f>
        <v>negativo</v>
      </c>
    </row>
    <row r="6280" ht="15.75" customHeight="1">
      <c r="A6280" s="2" t="s">
        <v>6277</v>
      </c>
      <c r="B6280" s="2" t="s">
        <v>3</v>
      </c>
      <c r="C6280" s="1" t="str">
        <f>IFERROR(__xludf.DUMMYFUNCTION("GOOGLETRANSLATE(A6280,""en"",""pt-br"")"),"anão")</f>
        <v>anão</v>
      </c>
      <c r="D6280" s="1" t="str">
        <f>IFERROR(__xludf.DUMMYFUNCTION("GOOGLETRANSLATE(B6280,""en"",""pt-br"")"),"negativo")</f>
        <v>negativo</v>
      </c>
    </row>
    <row r="6281" ht="15.75" customHeight="1">
      <c r="A6281" s="2" t="s">
        <v>6278</v>
      </c>
      <c r="B6281" s="2" t="s">
        <v>14</v>
      </c>
      <c r="C6281" s="1" t="str">
        <f>IFERROR(__xludf.DUMMYFUNCTION("GOOGLETRANSLATE(A6281,""en"",""pt-br"")"),"compreensível")</f>
        <v>compreensível</v>
      </c>
      <c r="D6281" s="1" t="str">
        <f>IFERROR(__xludf.DUMMYFUNCTION("GOOGLETRANSLATE(B6281,""en"",""pt-br"")"),"positivo")</f>
        <v>positivo</v>
      </c>
    </row>
    <row r="6282" ht="15.75" customHeight="1">
      <c r="A6282" s="2" t="s">
        <v>6279</v>
      </c>
      <c r="B6282" s="2" t="s">
        <v>3</v>
      </c>
      <c r="C6282" s="1" t="str">
        <f>IFERROR(__xludf.DUMMYFUNCTION("GOOGLETRANSLATE(A6282,""en"",""pt-br"")"),"indesejável")</f>
        <v>indesejável</v>
      </c>
      <c r="D6282" s="1" t="str">
        <f>IFERROR(__xludf.DUMMYFUNCTION("GOOGLETRANSLATE(B6282,""en"",""pt-br"")"),"negativo")</f>
        <v>negativo</v>
      </c>
    </row>
    <row r="6283" ht="15.75" customHeight="1">
      <c r="A6283" s="2" t="s">
        <v>6280</v>
      </c>
      <c r="B6283" s="2" t="s">
        <v>3</v>
      </c>
      <c r="C6283" s="1" t="str">
        <f>IFERROR(__xludf.DUMMYFUNCTION("GOOGLETRANSLATE(A6283,""en"",""pt-br"")"),"indeterminado")</f>
        <v>indeterminado</v>
      </c>
      <c r="D6283" s="1" t="str">
        <f>IFERROR(__xludf.DUMMYFUNCTION("GOOGLETRANSLATE(B6283,""en"",""pt-br"")"),"negativo")</f>
        <v>negativo</v>
      </c>
    </row>
    <row r="6284" ht="15.75" customHeight="1">
      <c r="A6284" s="2" t="s">
        <v>6281</v>
      </c>
      <c r="B6284" s="2" t="s">
        <v>3</v>
      </c>
      <c r="C6284" s="1" t="str">
        <f>IFERROR(__xludf.DUMMYFUNCTION("GOOGLETRANSLATE(A6284,""en"",""pt-br"")"),"Undid")</f>
        <v>Undid</v>
      </c>
      <c r="D6284" s="1" t="str">
        <f>IFERROR(__xludf.DUMMYFUNCTION("GOOGLETRANSLATE(B6284,""en"",""pt-br"")"),"negativo")</f>
        <v>negativo</v>
      </c>
    </row>
    <row r="6285" ht="15.75" customHeight="1">
      <c r="A6285" s="2" t="s">
        <v>6282</v>
      </c>
      <c r="B6285" s="2" t="s">
        <v>3</v>
      </c>
      <c r="C6285" s="1" t="str">
        <f>IFERROR(__xludf.DUMMYFUNCTION("GOOGLETRANSLATE(A6285,""en"",""pt-br"")"),"indigno")</f>
        <v>indigno</v>
      </c>
      <c r="D6285" s="1" t="str">
        <f>IFERROR(__xludf.DUMMYFUNCTION("GOOGLETRANSLATE(B6285,""en"",""pt-br"")"),"negativo")</f>
        <v>negativo</v>
      </c>
    </row>
    <row r="6286" ht="15.75" customHeight="1">
      <c r="A6286" s="2" t="s">
        <v>6283</v>
      </c>
      <c r="B6286" s="2" t="s">
        <v>14</v>
      </c>
      <c r="C6286" s="1" t="str">
        <f>IFERROR(__xludf.DUMMYFUNCTION("GOOGLETRANSLATE(A6286,""en"",""pt-br"")"),"incontestável")</f>
        <v>incontestável</v>
      </c>
      <c r="D6286" s="1" t="str">
        <f>IFERROR(__xludf.DUMMYFUNCTION("GOOGLETRANSLATE(B6286,""en"",""pt-br"")"),"positivo")</f>
        <v>positivo</v>
      </c>
    </row>
    <row r="6287" ht="15.75" customHeight="1">
      <c r="A6287" s="2" t="s">
        <v>6284</v>
      </c>
      <c r="B6287" s="2" t="s">
        <v>14</v>
      </c>
      <c r="C6287" s="1" t="str">
        <f>IFERROR(__xludf.DUMMYFUNCTION("GOOGLETRANSLATE(A6287,""en"",""pt-br"")"),"undisputably")</f>
        <v>undisputably</v>
      </c>
      <c r="D6287" s="1" t="str">
        <f>IFERROR(__xludf.DUMMYFUNCTION("GOOGLETRANSLATE(B6287,""en"",""pt-br"")"),"positivo")</f>
        <v>positivo</v>
      </c>
    </row>
    <row r="6288" ht="15.75" customHeight="1">
      <c r="A6288" s="2" t="s">
        <v>6285</v>
      </c>
      <c r="B6288" s="2" t="s">
        <v>14</v>
      </c>
      <c r="C6288" s="1" t="str">
        <f>IFERROR(__xludf.DUMMYFUNCTION("GOOGLETRANSLATE(A6288,""en"",""pt-br"")"),"incontestável")</f>
        <v>incontestável</v>
      </c>
      <c r="D6288" s="1" t="str">
        <f>IFERROR(__xludf.DUMMYFUNCTION("GOOGLETRANSLATE(B6288,""en"",""pt-br"")"),"positivo")</f>
        <v>positivo</v>
      </c>
    </row>
    <row r="6289" ht="15.75" customHeight="1">
      <c r="A6289" s="2" t="s">
        <v>6286</v>
      </c>
      <c r="B6289" s="2" t="s">
        <v>3</v>
      </c>
      <c r="C6289" s="1" t="str">
        <f>IFERROR(__xludf.DUMMYFUNCTION("GOOGLETRANSLATE(A6289,""en"",""pt-br"")"),"não dissolvido")</f>
        <v>não dissolvido</v>
      </c>
      <c r="D6289" s="1" t="str">
        <f>IFERROR(__xludf.DUMMYFUNCTION("GOOGLETRANSLATE(B6289,""en"",""pt-br"")"),"negativo")</f>
        <v>negativo</v>
      </c>
    </row>
    <row r="6290" ht="15.75" customHeight="1">
      <c r="A6290" s="2" t="s">
        <v>6287</v>
      </c>
      <c r="B6290" s="2" t="s">
        <v>3</v>
      </c>
      <c r="C6290" s="1" t="str">
        <f>IFERROR(__xludf.DUMMYFUNCTION("GOOGLETRANSLATE(A6290,""en"",""pt-br"")"),"ilegal")</f>
        <v>ilegal</v>
      </c>
      <c r="D6290" s="1" t="str">
        <f>IFERROR(__xludf.DUMMYFUNCTION("GOOGLETRANSLATE(B6290,""en"",""pt-br"")"),"negativo")</f>
        <v>negativo</v>
      </c>
    </row>
    <row r="6291" ht="15.75" customHeight="1">
      <c r="A6291" s="2" t="s">
        <v>6288</v>
      </c>
      <c r="B6291" s="2" t="s">
        <v>3</v>
      </c>
      <c r="C6291" s="1" t="str">
        <f>IFERROR(__xludf.DUMMYFUNCTION("GOOGLETRANSLATE(A6291,""en"",""pt-br"")"),"desfeito")</f>
        <v>desfeito</v>
      </c>
      <c r="D6291" s="1" t="str">
        <f>IFERROR(__xludf.DUMMYFUNCTION("GOOGLETRANSLATE(B6291,""en"",""pt-br"")"),"negativo")</f>
        <v>negativo</v>
      </c>
    </row>
    <row r="6292" ht="15.75" customHeight="1">
      <c r="A6292" s="2" t="s">
        <v>6289</v>
      </c>
      <c r="B6292" s="2" t="s">
        <v>3</v>
      </c>
      <c r="C6292" s="1" t="str">
        <f>IFERROR(__xludf.DUMMYFUNCTION("GOOGLETRANSLATE(A6292,""en"",""pt-br"")"),"indevido")</f>
        <v>indevido</v>
      </c>
      <c r="D6292" s="1" t="str">
        <f>IFERROR(__xludf.DUMMYFUNCTION("GOOGLETRANSLATE(B6292,""en"",""pt-br"")"),"negativo")</f>
        <v>negativo</v>
      </c>
    </row>
    <row r="6293" ht="15.75" customHeight="1">
      <c r="A6293" s="2" t="s">
        <v>6290</v>
      </c>
      <c r="B6293" s="2" t="s">
        <v>3</v>
      </c>
      <c r="C6293" s="1" t="str">
        <f>IFERROR(__xludf.DUMMYFUNCTION("GOOGLETRANSLATE(A6293,""en"",""pt-br"")"),"inquietação")</f>
        <v>inquietação</v>
      </c>
      <c r="D6293" s="1" t="str">
        <f>IFERROR(__xludf.DUMMYFUNCTION("GOOGLETRANSLATE(B6293,""en"",""pt-br"")"),"negativo")</f>
        <v>negativo</v>
      </c>
    </row>
    <row r="6294" ht="15.75" customHeight="1">
      <c r="A6294" s="2" t="s">
        <v>6291</v>
      </c>
      <c r="B6294" s="2" t="s">
        <v>3</v>
      </c>
      <c r="C6294" s="1" t="str">
        <f>IFERROR(__xludf.DUMMYFUNCTION("GOOGLETRANSLATE(A6294,""en"",""pt-br"")"),"dificilmente")</f>
        <v>dificilmente</v>
      </c>
      <c r="D6294" s="1" t="str">
        <f>IFERROR(__xludf.DUMMYFUNCTION("GOOGLETRANSLATE(B6294,""en"",""pt-br"")"),"negativo")</f>
        <v>negativo</v>
      </c>
    </row>
    <row r="6295" ht="15.75" customHeight="1">
      <c r="A6295" s="2" t="s">
        <v>6292</v>
      </c>
      <c r="B6295" s="2" t="s">
        <v>3</v>
      </c>
      <c r="C6295" s="1" t="str">
        <f>IFERROR(__xludf.DUMMYFUNCTION("GOOGLETRANSLATE(A6295,""en"",""pt-br"")"),"inquietação")</f>
        <v>inquietação</v>
      </c>
      <c r="D6295" s="1" t="str">
        <f>IFERROR(__xludf.DUMMYFUNCTION("GOOGLETRANSLATE(B6295,""en"",""pt-br"")"),"negativo")</f>
        <v>negativo</v>
      </c>
    </row>
    <row r="6296" ht="15.75" customHeight="1">
      <c r="A6296" s="2" t="s">
        <v>6293</v>
      </c>
      <c r="B6296" s="2" t="s">
        <v>3</v>
      </c>
      <c r="C6296" s="1" t="str">
        <f>IFERROR(__xludf.DUMMYFUNCTION("GOOGLETRANSLATE(A6296,""en"",""pt-br"")"),"inquieto")</f>
        <v>inquieto</v>
      </c>
      <c r="D6296" s="1" t="str">
        <f>IFERROR(__xludf.DUMMYFUNCTION("GOOGLETRANSLATE(B6296,""en"",""pt-br"")"),"negativo")</f>
        <v>negativo</v>
      </c>
    </row>
    <row r="6297" ht="15.75" customHeight="1">
      <c r="A6297" s="2" t="s">
        <v>6294</v>
      </c>
      <c r="B6297" s="2" t="s">
        <v>3</v>
      </c>
      <c r="C6297" s="1" t="str">
        <f>IFERROR(__xludf.DUMMYFUNCTION("GOOGLETRANSLATE(A6297,""en"",""pt-br"")"),"antieconômico")</f>
        <v>antieconômico</v>
      </c>
      <c r="D6297" s="1" t="str">
        <f>IFERROR(__xludf.DUMMYFUNCTION("GOOGLETRANSLATE(B6297,""en"",""pt-br"")"),"negativo")</f>
        <v>negativo</v>
      </c>
    </row>
    <row r="6298" ht="15.75" customHeight="1">
      <c r="A6298" s="2" t="s">
        <v>6295</v>
      </c>
      <c r="B6298" s="2" t="s">
        <v>3</v>
      </c>
      <c r="C6298" s="1" t="str">
        <f>IFERROR(__xludf.DUMMYFUNCTION("GOOGLETRANSLATE(A6298,""en"",""pt-br"")"),"desempregado")</f>
        <v>desempregado</v>
      </c>
      <c r="D6298" s="1" t="str">
        <f>IFERROR(__xludf.DUMMYFUNCTION("GOOGLETRANSLATE(B6298,""en"",""pt-br"")"),"negativo")</f>
        <v>negativo</v>
      </c>
    </row>
    <row r="6299" ht="15.75" customHeight="1">
      <c r="A6299" s="2" t="s">
        <v>6296</v>
      </c>
      <c r="B6299" s="2" t="s">
        <v>14</v>
      </c>
      <c r="C6299" s="1" t="str">
        <f>IFERROR(__xludf.DUMMYFUNCTION("GOOGLETRANSLATE(A6299,""en"",""pt-br"")"),"desembaraçado")</f>
        <v>desembaraçado</v>
      </c>
      <c r="D6299" s="1" t="str">
        <f>IFERROR(__xludf.DUMMYFUNCTION("GOOGLETRANSLATE(B6299,""en"",""pt-br"")"),"positivo")</f>
        <v>positivo</v>
      </c>
    </row>
    <row r="6300" ht="15.75" customHeight="1">
      <c r="A6300" s="2" t="s">
        <v>6297</v>
      </c>
      <c r="B6300" s="2" t="s">
        <v>3</v>
      </c>
      <c r="C6300" s="1" t="str">
        <f>IFERROR(__xludf.DUMMYFUNCTION("GOOGLETRANSLATE(A6300,""en"",""pt-br"")"),"desigual")</f>
        <v>desigual</v>
      </c>
      <c r="D6300" s="1" t="str">
        <f>IFERROR(__xludf.DUMMYFUNCTION("GOOGLETRANSLATE(B6300,""en"",""pt-br"")"),"negativo")</f>
        <v>negativo</v>
      </c>
    </row>
    <row r="6301" ht="15.75" customHeight="1">
      <c r="A6301" s="2" t="s">
        <v>6298</v>
      </c>
      <c r="B6301" s="2" t="s">
        <v>14</v>
      </c>
      <c r="C6301" s="1" t="str">
        <f>IFERROR(__xludf.DUMMYFUNCTION("GOOGLETRANSLATE(A6301,""en"",""pt-br"")"),"inequívoco")</f>
        <v>inequívoco</v>
      </c>
      <c r="D6301" s="1" t="str">
        <f>IFERROR(__xludf.DUMMYFUNCTION("GOOGLETRANSLATE(B6301,""en"",""pt-br"")"),"positivo")</f>
        <v>positivo</v>
      </c>
    </row>
    <row r="6302" ht="15.75" customHeight="1">
      <c r="A6302" s="2" t="s">
        <v>6299</v>
      </c>
      <c r="B6302" s="2" t="s">
        <v>14</v>
      </c>
      <c r="C6302" s="1" t="str">
        <f>IFERROR(__xludf.DUMMYFUNCTION("GOOGLETRANSLATE(A6302,""en"",""pt-br"")"),"inequivocamente")</f>
        <v>inequivocamente</v>
      </c>
      <c r="D6302" s="1" t="str">
        <f>IFERROR(__xludf.DUMMYFUNCTION("GOOGLETRANSLATE(B6302,""en"",""pt-br"")"),"positivo")</f>
        <v>positivo</v>
      </c>
    </row>
    <row r="6303" ht="15.75" customHeight="1">
      <c r="A6303" s="2" t="s">
        <v>6300</v>
      </c>
      <c r="B6303" s="2" t="s">
        <v>3</v>
      </c>
      <c r="C6303" s="1" t="str">
        <f>IFERROR(__xludf.DUMMYFUNCTION("GOOGLETRANSLATE(A6303,""en"",""pt-br"")"),"Antiético")</f>
        <v>Antiético</v>
      </c>
      <c r="D6303" s="1" t="str">
        <f>IFERROR(__xludf.DUMMYFUNCTION("GOOGLETRANSLATE(B6303,""en"",""pt-br"")"),"negativo")</f>
        <v>negativo</v>
      </c>
    </row>
    <row r="6304" ht="15.75" customHeight="1">
      <c r="A6304" s="2" t="s">
        <v>6301</v>
      </c>
      <c r="B6304" s="2" t="s">
        <v>3</v>
      </c>
      <c r="C6304" s="1" t="str">
        <f>IFERROR(__xludf.DUMMYFUNCTION("GOOGLETRANSLATE(A6304,""en"",""pt-br"")"),"desigual")</f>
        <v>desigual</v>
      </c>
      <c r="D6304" s="1" t="str">
        <f>IFERROR(__xludf.DUMMYFUNCTION("GOOGLETRANSLATE(B6304,""en"",""pt-br"")"),"negativo")</f>
        <v>negativo</v>
      </c>
    </row>
    <row r="6305" ht="15.75" customHeight="1">
      <c r="A6305" s="2" t="s">
        <v>6302</v>
      </c>
      <c r="B6305" s="2" t="s">
        <v>3</v>
      </c>
      <c r="C6305" s="1" t="str">
        <f>IFERROR(__xludf.DUMMYFUNCTION("GOOGLETRANSLATE(A6305,""en"",""pt-br"")"),"rotineiro")</f>
        <v>rotineiro</v>
      </c>
      <c r="D6305" s="1" t="str">
        <f>IFERROR(__xludf.DUMMYFUNCTION("GOOGLETRANSLATE(B6305,""en"",""pt-br"")"),"negativo")</f>
        <v>negativo</v>
      </c>
    </row>
    <row r="6306" ht="15.75" customHeight="1">
      <c r="A6306" s="2" t="s">
        <v>6303</v>
      </c>
      <c r="B6306" s="2" t="s">
        <v>3</v>
      </c>
      <c r="C6306" s="1" t="str">
        <f>IFERROR(__xludf.DUMMYFUNCTION("GOOGLETRANSLATE(A6306,""en"",""pt-br"")"),"inesperado")</f>
        <v>inesperado</v>
      </c>
      <c r="D6306" s="1" t="str">
        <f>IFERROR(__xludf.DUMMYFUNCTION("GOOGLETRANSLATE(B6306,""en"",""pt-br"")"),"negativo")</f>
        <v>negativo</v>
      </c>
    </row>
    <row r="6307" ht="15.75" customHeight="1">
      <c r="A6307" s="2" t="s">
        <v>6304</v>
      </c>
      <c r="B6307" s="2" t="s">
        <v>3</v>
      </c>
      <c r="C6307" s="1" t="str">
        <f>IFERROR(__xludf.DUMMYFUNCTION("GOOGLETRANSLATE(A6307,""en"",""pt-br"")"),"inesperadamente")</f>
        <v>inesperadamente</v>
      </c>
      <c r="D6307" s="1" t="str">
        <f>IFERROR(__xludf.DUMMYFUNCTION("GOOGLETRANSLATE(B6307,""en"",""pt-br"")"),"negativo")</f>
        <v>negativo</v>
      </c>
    </row>
    <row r="6308" ht="15.75" customHeight="1">
      <c r="A6308" s="2" t="s">
        <v>6305</v>
      </c>
      <c r="B6308" s="2" t="s">
        <v>3</v>
      </c>
      <c r="C6308" s="1" t="str">
        <f>IFERROR(__xludf.DUMMYFUNCTION("GOOGLETRANSLATE(A6308,""en"",""pt-br"")"),"inexplicável")</f>
        <v>inexplicável</v>
      </c>
      <c r="D6308" s="1" t="str">
        <f>IFERROR(__xludf.DUMMYFUNCTION("GOOGLETRANSLATE(B6308,""en"",""pt-br"")"),"negativo")</f>
        <v>negativo</v>
      </c>
    </row>
    <row r="6309" ht="15.75" customHeight="1">
      <c r="A6309" s="2" t="s">
        <v>6306</v>
      </c>
      <c r="B6309" s="2" t="s">
        <v>3</v>
      </c>
      <c r="C6309" s="1" t="str">
        <f>IFERROR(__xludf.DUMMYFUNCTION("GOOGLETRANSLATE(A6309,""en"",""pt-br"")"),"injustamente")</f>
        <v>injustamente</v>
      </c>
      <c r="D6309" s="1" t="str">
        <f>IFERROR(__xludf.DUMMYFUNCTION("GOOGLETRANSLATE(B6309,""en"",""pt-br"")"),"negativo")</f>
        <v>negativo</v>
      </c>
    </row>
    <row r="6310" ht="15.75" customHeight="1">
      <c r="A6310" s="2" t="s">
        <v>6307</v>
      </c>
      <c r="B6310" s="2" t="s">
        <v>3</v>
      </c>
      <c r="C6310" s="1" t="str">
        <f>IFERROR(__xludf.DUMMYFUNCTION("GOOGLETRANSLATE(A6310,""en"",""pt-br"")"),"infiel")</f>
        <v>infiel</v>
      </c>
      <c r="D6310" s="1" t="str">
        <f>IFERROR(__xludf.DUMMYFUNCTION("GOOGLETRANSLATE(B6310,""en"",""pt-br"")"),"negativo")</f>
        <v>negativo</v>
      </c>
    </row>
    <row r="6311" ht="15.75" customHeight="1">
      <c r="A6311" s="2" t="s">
        <v>6308</v>
      </c>
      <c r="B6311" s="2" t="s">
        <v>3</v>
      </c>
      <c r="C6311" s="1" t="str">
        <f>IFERROR(__xludf.DUMMYFUNCTION("GOOGLETRANSLATE(A6311,""en"",""pt-br"")"),"infielmente")</f>
        <v>infielmente</v>
      </c>
      <c r="D6311" s="1" t="str">
        <f>IFERROR(__xludf.DUMMYFUNCTION("GOOGLETRANSLATE(B6311,""en"",""pt-br"")"),"negativo")</f>
        <v>negativo</v>
      </c>
    </row>
    <row r="6312" ht="15.75" customHeight="1">
      <c r="A6312" s="2" t="s">
        <v>6309</v>
      </c>
      <c r="B6312" s="2" t="s">
        <v>3</v>
      </c>
      <c r="C6312" s="1" t="str">
        <f>IFERROR(__xludf.DUMMYFUNCTION("GOOGLETRANSLATE(A6312,""en"",""pt-br"")"),"desconhecido")</f>
        <v>desconhecido</v>
      </c>
      <c r="D6312" s="1" t="str">
        <f>IFERROR(__xludf.DUMMYFUNCTION("GOOGLETRANSLATE(B6312,""en"",""pt-br"")"),"negativo")</f>
        <v>negativo</v>
      </c>
    </row>
    <row r="6313" ht="15.75" customHeight="1">
      <c r="A6313" s="2" t="s">
        <v>6310</v>
      </c>
      <c r="B6313" s="2" t="s">
        <v>3</v>
      </c>
      <c r="C6313" s="1" t="str">
        <f>IFERROR(__xludf.DUMMYFUNCTION("GOOGLETRANSLATE(A6313,""en"",""pt-br"")"),"desfavorável")</f>
        <v>desfavorável</v>
      </c>
      <c r="D6313" s="1" t="str">
        <f>IFERROR(__xludf.DUMMYFUNCTION("GOOGLETRANSLATE(B6313,""en"",""pt-br"")"),"negativo")</f>
        <v>negativo</v>
      </c>
    </row>
    <row r="6314" ht="15.75" customHeight="1">
      <c r="A6314" s="2" t="s">
        <v>6311</v>
      </c>
      <c r="B6314" s="2" t="s">
        <v>14</v>
      </c>
      <c r="C6314" s="1" t="str">
        <f>IFERROR(__xludf.DUMMYFUNCTION("GOOGLETRANSLATE(A6314,""en"",""pt-br"")"),"imperturbável")</f>
        <v>imperturbável</v>
      </c>
      <c r="D6314" s="1" t="str">
        <f>IFERROR(__xludf.DUMMYFUNCTION("GOOGLETRANSLATE(B6314,""en"",""pt-br"")"),"positivo")</f>
        <v>positivo</v>
      </c>
    </row>
    <row r="6315" ht="15.75" customHeight="1">
      <c r="A6315" s="2" t="s">
        <v>6312</v>
      </c>
      <c r="B6315" s="2" t="s">
        <v>3</v>
      </c>
      <c r="C6315" s="1" t="str">
        <f>IFERROR(__xludf.DUMMYFUNCTION("GOOGLETRANSLATE(A6315,""en"",""pt-br"")"),"insensível")</f>
        <v>insensível</v>
      </c>
      <c r="D6315" s="1" t="str">
        <f>IFERROR(__xludf.DUMMYFUNCTION("GOOGLETRANSLATE(B6315,""en"",""pt-br"")"),"negativo")</f>
        <v>negativo</v>
      </c>
    </row>
    <row r="6316" ht="15.75" customHeight="1">
      <c r="A6316" s="2" t="s">
        <v>6313</v>
      </c>
      <c r="B6316" s="2" t="s">
        <v>14</v>
      </c>
      <c r="C6316" s="1" t="str">
        <f>IFERROR(__xludf.DUMMYFUNCTION("GOOGLETRANSLATE(A6316,""en"",""pt-br"")"),"sem restrições")</f>
        <v>sem restrições</v>
      </c>
      <c r="D6316" s="1" t="str">
        <f>IFERROR(__xludf.DUMMYFUNCTION("GOOGLETRANSLATE(B6316,""en"",""pt-br"")"),"positivo")</f>
        <v>positivo</v>
      </c>
    </row>
    <row r="6317" ht="15.75" customHeight="1">
      <c r="A6317" s="2" t="s">
        <v>6314</v>
      </c>
      <c r="B6317" s="2" t="s">
        <v>3</v>
      </c>
      <c r="C6317" s="1" t="str">
        <f>IFERROR(__xludf.DUMMYFUNCTION("GOOGLETRANSLATE(A6317,""en"",""pt-br"")"),"inacabado")</f>
        <v>inacabado</v>
      </c>
      <c r="D6317" s="1" t="str">
        <f>IFERROR(__xludf.DUMMYFUNCTION("GOOGLETRANSLATE(B6317,""en"",""pt-br"")"),"negativo")</f>
        <v>negativo</v>
      </c>
    </row>
    <row r="6318" ht="15.75" customHeight="1">
      <c r="A6318" s="2" t="s">
        <v>6315</v>
      </c>
      <c r="B6318" s="2" t="s">
        <v>3</v>
      </c>
      <c r="C6318" s="1" t="str">
        <f>IFERROR(__xludf.DUMMYFUNCTION("GOOGLETRANSLATE(A6318,""en"",""pt-br"")"),"impróprio")</f>
        <v>impróprio</v>
      </c>
      <c r="D6318" s="1" t="str">
        <f>IFERROR(__xludf.DUMMYFUNCTION("GOOGLETRANSLATE(B6318,""en"",""pt-br"")"),"negativo")</f>
        <v>negativo</v>
      </c>
    </row>
    <row r="6319" ht="15.75" customHeight="1">
      <c r="A6319" s="2" t="s">
        <v>6316</v>
      </c>
      <c r="B6319" s="2" t="s">
        <v>3</v>
      </c>
      <c r="C6319" s="1" t="str">
        <f>IFERROR(__xludf.DUMMYFUNCTION("GOOGLETRANSLATE(A6319,""en"",""pt-br"")"),"imprevisto")</f>
        <v>imprevisto</v>
      </c>
      <c r="D6319" s="1" t="str">
        <f>IFERROR(__xludf.DUMMYFUNCTION("GOOGLETRANSLATE(B6319,""en"",""pt-br"")"),"negativo")</f>
        <v>negativo</v>
      </c>
    </row>
    <row r="6320" ht="15.75" customHeight="1">
      <c r="A6320" s="2" t="s">
        <v>6317</v>
      </c>
      <c r="B6320" s="2" t="s">
        <v>14</v>
      </c>
      <c r="C6320" s="1" t="str">
        <f>IFERROR(__xludf.DUMMYFUNCTION("GOOGLETRANSLATE(A6320,""en"",""pt-br"")"),"inesquecível")</f>
        <v>inesquecível</v>
      </c>
      <c r="D6320" s="1" t="str">
        <f>IFERROR(__xludf.DUMMYFUNCTION("GOOGLETRANSLATE(B6320,""en"",""pt-br"")"),"positivo")</f>
        <v>positivo</v>
      </c>
    </row>
    <row r="6321" ht="15.75" customHeight="1">
      <c r="A6321" s="2" t="s">
        <v>6318</v>
      </c>
      <c r="B6321" s="2" t="s">
        <v>3</v>
      </c>
      <c r="C6321" s="1" t="str">
        <f>IFERROR(__xludf.DUMMYFUNCTION("GOOGLETRANSLATE(A6321,""en"",""pt-br"")"),"implacável")</f>
        <v>implacável</v>
      </c>
      <c r="D6321" s="1" t="str">
        <f>IFERROR(__xludf.DUMMYFUNCTION("GOOGLETRANSLATE(B6321,""en"",""pt-br"")"),"negativo")</f>
        <v>negativo</v>
      </c>
    </row>
    <row r="6322" ht="15.75" customHeight="1">
      <c r="A6322" s="2" t="s">
        <v>6319</v>
      </c>
      <c r="B6322" s="2" t="s">
        <v>3</v>
      </c>
      <c r="C6322" s="1" t="str">
        <f>IFERROR(__xludf.DUMMYFUNCTION("GOOGLETRANSLATE(A6322,""en"",""pt-br"")"),"infeliz")</f>
        <v>infeliz</v>
      </c>
      <c r="D6322" s="1" t="str">
        <f>IFERROR(__xludf.DUMMYFUNCTION("GOOGLETRANSLATE(B6322,""en"",""pt-br"")"),"negativo")</f>
        <v>negativo</v>
      </c>
    </row>
    <row r="6323" ht="15.75" customHeight="1">
      <c r="A6323" s="2" t="s">
        <v>6320</v>
      </c>
      <c r="B6323" s="2" t="s">
        <v>3</v>
      </c>
      <c r="C6323" s="1" t="str">
        <f>IFERROR(__xludf.DUMMYFUNCTION("GOOGLETRANSLATE(A6323,""en"",""pt-br"")"),"infelizmente")</f>
        <v>infelizmente</v>
      </c>
      <c r="D6323" s="1" t="str">
        <f>IFERROR(__xludf.DUMMYFUNCTION("GOOGLETRANSLATE(B6323,""en"",""pt-br"")"),"negativo")</f>
        <v>negativo</v>
      </c>
    </row>
    <row r="6324" ht="15.75" customHeight="1">
      <c r="A6324" s="2" t="s">
        <v>6321</v>
      </c>
      <c r="B6324" s="2" t="s">
        <v>3</v>
      </c>
      <c r="C6324" s="1" t="str">
        <f>IFERROR(__xludf.DUMMYFUNCTION("GOOGLETRANSLATE(A6324,""en"",""pt-br"")"),"infundado")</f>
        <v>infundado</v>
      </c>
      <c r="D6324" s="1" t="str">
        <f>IFERROR(__xludf.DUMMYFUNCTION("GOOGLETRANSLATE(B6324,""en"",""pt-br"")"),"negativo")</f>
        <v>negativo</v>
      </c>
    </row>
    <row r="6325" ht="15.75" customHeight="1">
      <c r="A6325" s="2" t="s">
        <v>6322</v>
      </c>
      <c r="B6325" s="2" t="s">
        <v>3</v>
      </c>
      <c r="C6325" s="1" t="str">
        <f>IFERROR(__xludf.DUMMYFUNCTION("GOOGLETRANSLATE(A6325,""en"",""pt-br"")"),"hostil")</f>
        <v>hostil</v>
      </c>
      <c r="D6325" s="1" t="str">
        <f>IFERROR(__xludf.DUMMYFUNCTION("GOOGLETRANSLATE(B6325,""en"",""pt-br"")"),"negativo")</f>
        <v>negativo</v>
      </c>
    </row>
    <row r="6326" ht="15.75" customHeight="1">
      <c r="A6326" s="2" t="s">
        <v>6323</v>
      </c>
      <c r="B6326" s="2" t="s">
        <v>3</v>
      </c>
      <c r="C6326" s="1" t="str">
        <f>IFERROR(__xludf.DUMMYFUNCTION("GOOGLETRANSLATE(A6326,""en"",""pt-br"")"),"não realizado")</f>
        <v>não realizado</v>
      </c>
      <c r="D6326" s="1" t="str">
        <f>IFERROR(__xludf.DUMMYFUNCTION("GOOGLETRANSLATE(B6326,""en"",""pt-br"")"),"negativo")</f>
        <v>negativo</v>
      </c>
    </row>
    <row r="6327" ht="15.75" customHeight="1">
      <c r="A6327" s="2" t="s">
        <v>6324</v>
      </c>
      <c r="B6327" s="2" t="s">
        <v>3</v>
      </c>
      <c r="C6327" s="1" t="str">
        <f>IFERROR(__xludf.DUMMYFUNCTION("GOOGLETRANSLATE(A6327,""en"",""pt-br"")"),"não consolidado")</f>
        <v>não consolidado</v>
      </c>
      <c r="D6327" s="1" t="str">
        <f>IFERROR(__xludf.DUMMYFUNCTION("GOOGLETRANSLATE(B6327,""en"",""pt-br"")"),"negativo")</f>
        <v>negativo</v>
      </c>
    </row>
    <row r="6328" ht="15.75" customHeight="1">
      <c r="A6328" s="2" t="s">
        <v>6325</v>
      </c>
      <c r="B6328" s="2" t="s">
        <v>3</v>
      </c>
      <c r="C6328" s="1" t="str">
        <f>IFERROR(__xludf.DUMMYFUNCTION("GOOGLETRANSLATE(A6328,""en"",""pt-br"")"),"incontrolável")</f>
        <v>incontrolável</v>
      </c>
      <c r="D6328" s="1" t="str">
        <f>IFERROR(__xludf.DUMMYFUNCTION("GOOGLETRANSLATE(B6328,""en"",""pt-br"")"),"negativo")</f>
        <v>negativo</v>
      </c>
    </row>
    <row r="6329" ht="15.75" customHeight="1">
      <c r="A6329" s="2" t="s">
        <v>6326</v>
      </c>
      <c r="B6329" s="2" t="s">
        <v>3</v>
      </c>
      <c r="C6329" s="1" t="str">
        <f>IFERROR(__xludf.DUMMYFUNCTION("GOOGLETRANSLATE(A6329,""en"",""pt-br"")"),"ingrato")</f>
        <v>ingrato</v>
      </c>
      <c r="D6329" s="1" t="str">
        <f>IFERROR(__xludf.DUMMYFUNCTION("GOOGLETRANSLATE(B6329,""en"",""pt-br"")"),"negativo")</f>
        <v>negativo</v>
      </c>
    </row>
    <row r="6330" ht="15.75" customHeight="1">
      <c r="A6330" s="2" t="s">
        <v>6327</v>
      </c>
      <c r="B6330" s="2" t="s">
        <v>3</v>
      </c>
      <c r="C6330" s="1" t="str">
        <f>IFERROR(__xludf.DUMMYFUNCTION("GOOGLETRANSLATE(A6330,""en"",""pt-br"")"),"unhappily")</f>
        <v>unhappily</v>
      </c>
      <c r="D6330" s="1" t="str">
        <f>IFERROR(__xludf.DUMMYFUNCTION("GOOGLETRANSLATE(B6330,""en"",""pt-br"")"),"negativo")</f>
        <v>negativo</v>
      </c>
    </row>
    <row r="6331" ht="15.75" customHeight="1">
      <c r="A6331" s="2" t="s">
        <v>6328</v>
      </c>
      <c r="B6331" s="2" t="s">
        <v>3</v>
      </c>
      <c r="C6331" s="1" t="str">
        <f>IFERROR(__xludf.DUMMYFUNCTION("GOOGLETRANSLATE(A6331,""en"",""pt-br"")"),"infelicidade")</f>
        <v>infelicidade</v>
      </c>
      <c r="D6331" s="1" t="str">
        <f>IFERROR(__xludf.DUMMYFUNCTION("GOOGLETRANSLATE(B6331,""en"",""pt-br"")"),"negativo")</f>
        <v>negativo</v>
      </c>
    </row>
    <row r="6332" ht="15.75" customHeight="1">
      <c r="A6332" s="2" t="s">
        <v>6329</v>
      </c>
      <c r="B6332" s="2" t="s">
        <v>3</v>
      </c>
      <c r="C6332" s="1" t="str">
        <f>IFERROR(__xludf.DUMMYFUNCTION("GOOGLETRANSLATE(A6332,""en"",""pt-br"")"),"infeliz")</f>
        <v>infeliz</v>
      </c>
      <c r="D6332" s="1" t="str">
        <f>IFERROR(__xludf.DUMMYFUNCTION("GOOGLETRANSLATE(B6332,""en"",""pt-br"")"),"negativo")</f>
        <v>negativo</v>
      </c>
    </row>
    <row r="6333" ht="15.75" customHeight="1">
      <c r="A6333" s="2" t="s">
        <v>6330</v>
      </c>
      <c r="B6333" s="2" t="s">
        <v>3</v>
      </c>
      <c r="C6333" s="1" t="str">
        <f>IFERROR(__xludf.DUMMYFUNCTION("GOOGLETRANSLATE(A6333,""en"",""pt-br"")"),"pouco saudável")</f>
        <v>pouco saudável</v>
      </c>
      <c r="D6333" s="1" t="str">
        <f>IFERROR(__xludf.DUMMYFUNCTION("GOOGLETRANSLATE(B6333,""en"",""pt-br"")"),"negativo")</f>
        <v>negativo</v>
      </c>
    </row>
    <row r="6334" ht="15.75" customHeight="1">
      <c r="A6334" s="2" t="s">
        <v>6331</v>
      </c>
      <c r="B6334" s="2" t="s">
        <v>3</v>
      </c>
      <c r="C6334" s="1" t="str">
        <f>IFERROR(__xludf.DUMMYFUNCTION("GOOGLETRANSLATE(A6334,""en"",""pt-br"")"),"inútil")</f>
        <v>inútil</v>
      </c>
      <c r="D6334" s="1" t="str">
        <f>IFERROR(__xludf.DUMMYFUNCTION("GOOGLETRANSLATE(B6334,""en"",""pt-br"")"),"negativo")</f>
        <v>negativo</v>
      </c>
    </row>
    <row r="6335" ht="15.75" customHeight="1">
      <c r="A6335" s="2" t="s">
        <v>6332</v>
      </c>
      <c r="B6335" s="2" t="s">
        <v>3</v>
      </c>
      <c r="C6335" s="1" t="str">
        <f>IFERROR(__xludf.DUMMYFUNCTION("GOOGLETRANSLATE(A6335,""en"",""pt-br"")"),"unilateralismo")</f>
        <v>unilateralismo</v>
      </c>
      <c r="D6335" s="1" t="str">
        <f>IFERROR(__xludf.DUMMYFUNCTION("GOOGLETRANSLATE(B6335,""en"",""pt-br"")"),"negativo")</f>
        <v>negativo</v>
      </c>
    </row>
    <row r="6336" ht="15.75" customHeight="1">
      <c r="A6336" s="2" t="s">
        <v>6333</v>
      </c>
      <c r="B6336" s="2" t="s">
        <v>3</v>
      </c>
      <c r="C6336" s="1" t="str">
        <f>IFERROR(__xludf.DUMMYFUNCTION("GOOGLETRANSLATE(A6336,""en"",""pt-br"")"),"inimaginável")</f>
        <v>inimaginável</v>
      </c>
      <c r="D6336" s="1" t="str">
        <f>IFERROR(__xludf.DUMMYFUNCTION("GOOGLETRANSLATE(B6336,""en"",""pt-br"")"),"negativo")</f>
        <v>negativo</v>
      </c>
    </row>
    <row r="6337" ht="15.75" customHeight="1">
      <c r="A6337" s="2" t="s">
        <v>6334</v>
      </c>
      <c r="B6337" s="2" t="s">
        <v>3</v>
      </c>
      <c r="C6337" s="1" t="str">
        <f>IFERROR(__xludf.DUMMYFUNCTION("GOOGLETRANSLATE(A6337,""en"",""pt-br"")"),"inimaginavelmente")</f>
        <v>inimaginavelmente</v>
      </c>
      <c r="D6337" s="1" t="str">
        <f>IFERROR(__xludf.DUMMYFUNCTION("GOOGLETRANSLATE(B6337,""en"",""pt-br"")"),"negativo")</f>
        <v>negativo</v>
      </c>
    </row>
    <row r="6338" ht="15.75" customHeight="1">
      <c r="A6338" s="2" t="s">
        <v>6335</v>
      </c>
      <c r="B6338" s="2" t="s">
        <v>3</v>
      </c>
      <c r="C6338" s="1" t="str">
        <f>IFERROR(__xludf.DUMMYFUNCTION("GOOGLETRANSLATE(A6338,""en"",""pt-br"")"),"sem importância")</f>
        <v>sem importância</v>
      </c>
      <c r="D6338" s="1" t="str">
        <f>IFERROR(__xludf.DUMMYFUNCTION("GOOGLETRANSLATE(B6338,""en"",""pt-br"")"),"negativo")</f>
        <v>negativo</v>
      </c>
    </row>
    <row r="6339" ht="15.75" customHeight="1">
      <c r="A6339" s="2" t="s">
        <v>6336</v>
      </c>
      <c r="B6339" s="2" t="s">
        <v>3</v>
      </c>
      <c r="C6339" s="1" t="str">
        <f>IFERROR(__xludf.DUMMYFUNCTION("GOOGLETRANSLATE(A6339,""en"",""pt-br"")"),"não informado")</f>
        <v>não informado</v>
      </c>
      <c r="D6339" s="1" t="str">
        <f>IFERROR(__xludf.DUMMYFUNCTION("GOOGLETRANSLATE(B6339,""en"",""pt-br"")"),"negativo")</f>
        <v>negativo</v>
      </c>
    </row>
    <row r="6340" ht="15.75" customHeight="1">
      <c r="A6340" s="2" t="s">
        <v>6337</v>
      </c>
      <c r="B6340" s="2" t="s">
        <v>3</v>
      </c>
      <c r="C6340" s="1" t="str">
        <f>IFERROR(__xludf.DUMMYFUNCTION("GOOGLETRANSLATE(A6340,""en"",""pt-br"")"),"sem seguro")</f>
        <v>sem seguro</v>
      </c>
      <c r="D6340" s="1" t="str">
        <f>IFERROR(__xludf.DUMMYFUNCTION("GOOGLETRANSLATE(B6340,""en"",""pt-br"")"),"negativo")</f>
        <v>negativo</v>
      </c>
    </row>
    <row r="6341" ht="15.75" customHeight="1">
      <c r="A6341" s="2" t="s">
        <v>6338</v>
      </c>
      <c r="B6341" s="2" t="s">
        <v>3</v>
      </c>
      <c r="C6341" s="1" t="str">
        <f>IFERROR(__xludf.DUMMYFUNCTION("GOOGLETRANSLATE(A6341,""en"",""pt-br"")"),"ininteligível")</f>
        <v>ininteligível</v>
      </c>
      <c r="D6341" s="1" t="str">
        <f>IFERROR(__xludf.DUMMYFUNCTION("GOOGLETRANSLATE(B6341,""en"",""pt-br"")"),"negativo")</f>
        <v>negativo</v>
      </c>
    </row>
    <row r="6342" ht="15.75" customHeight="1">
      <c r="A6342" s="2" t="s">
        <v>6339</v>
      </c>
      <c r="B6342" s="2" t="s">
        <v>3</v>
      </c>
      <c r="C6342" s="1" t="str">
        <f>IFERROR(__xludf.DUMMYFUNCTION("GOOGLETRANSLATE(A6342,""en"",""pt-br"")"),"unintelligile")</f>
        <v>unintelligile</v>
      </c>
      <c r="D6342" s="1" t="str">
        <f>IFERROR(__xludf.DUMMYFUNCTION("GOOGLETRANSLATE(B6342,""en"",""pt-br"")"),"negativo")</f>
        <v>negativo</v>
      </c>
    </row>
    <row r="6343" ht="15.75" customHeight="1">
      <c r="A6343" s="2" t="s">
        <v>6340</v>
      </c>
      <c r="B6343" s="2" t="s">
        <v>3</v>
      </c>
      <c r="C6343" s="1" t="str">
        <f>IFERROR(__xludf.DUMMYFUNCTION("GOOGLETRANSLATE(A6343,""en"",""pt-br"")"),"unipolar")</f>
        <v>unipolar</v>
      </c>
      <c r="D6343" s="1" t="str">
        <f>IFERROR(__xludf.DUMMYFUNCTION("GOOGLETRANSLATE(B6343,""en"",""pt-br"")"),"negativo")</f>
        <v>negativo</v>
      </c>
    </row>
    <row r="6344" ht="15.75" customHeight="1">
      <c r="A6344" s="2" t="s">
        <v>6341</v>
      </c>
      <c r="B6344" s="2" t="s">
        <v>14</v>
      </c>
      <c r="C6344" s="1" t="str">
        <f>IFERROR(__xludf.DUMMYFUNCTION("GOOGLETRANSLATE(A6344,""en"",""pt-br"")"),"unidade")</f>
        <v>unidade</v>
      </c>
      <c r="D6344" s="1" t="str">
        <f>IFERROR(__xludf.DUMMYFUNCTION("GOOGLETRANSLATE(B6344,""en"",""pt-br"")"),"positivo")</f>
        <v>positivo</v>
      </c>
    </row>
    <row r="6345" ht="15.75" customHeight="1">
      <c r="A6345" s="2" t="s">
        <v>6342</v>
      </c>
      <c r="B6345" s="2" t="s">
        <v>3</v>
      </c>
      <c r="C6345" s="1" t="str">
        <f>IFERROR(__xludf.DUMMYFUNCTION("GOOGLETRANSLATE(A6345,""en"",""pt-br"")"),"injusto")</f>
        <v>injusto</v>
      </c>
      <c r="D6345" s="1" t="str">
        <f>IFERROR(__xludf.DUMMYFUNCTION("GOOGLETRANSLATE(B6345,""en"",""pt-br"")"),"negativo")</f>
        <v>negativo</v>
      </c>
    </row>
    <row r="6346" ht="15.75" customHeight="1">
      <c r="A6346" s="2" t="s">
        <v>6343</v>
      </c>
      <c r="B6346" s="2" t="s">
        <v>3</v>
      </c>
      <c r="C6346" s="1" t="str">
        <f>IFERROR(__xludf.DUMMYFUNCTION("GOOGLETRANSLATE(A6346,""en"",""pt-br"")"),"injustificável")</f>
        <v>injustificável</v>
      </c>
      <c r="D6346" s="1" t="str">
        <f>IFERROR(__xludf.DUMMYFUNCTION("GOOGLETRANSLATE(B6346,""en"",""pt-br"")"),"negativo")</f>
        <v>negativo</v>
      </c>
    </row>
    <row r="6347" ht="15.75" customHeight="1">
      <c r="A6347" s="2" t="s">
        <v>6344</v>
      </c>
      <c r="B6347" s="2" t="s">
        <v>3</v>
      </c>
      <c r="C6347" s="1" t="str">
        <f>IFERROR(__xludf.DUMMYFUNCTION("GOOGLETRANSLATE(A6347,""en"",""pt-br"")"),"injustificadamente")</f>
        <v>injustificadamente</v>
      </c>
      <c r="D6347" s="1" t="str">
        <f>IFERROR(__xludf.DUMMYFUNCTION("GOOGLETRANSLATE(B6347,""en"",""pt-br"")"),"negativo")</f>
        <v>negativo</v>
      </c>
    </row>
    <row r="6348" ht="15.75" customHeight="1">
      <c r="A6348" s="2" t="s">
        <v>6345</v>
      </c>
      <c r="B6348" s="2" t="s">
        <v>3</v>
      </c>
      <c r="C6348" s="1" t="str">
        <f>IFERROR(__xludf.DUMMYFUNCTION("GOOGLETRANSLATE(A6348,""en"",""pt-br"")"),"injustificada")</f>
        <v>injustificada</v>
      </c>
      <c r="D6348" s="1" t="str">
        <f>IFERROR(__xludf.DUMMYFUNCTION("GOOGLETRANSLATE(B6348,""en"",""pt-br"")"),"negativo")</f>
        <v>negativo</v>
      </c>
    </row>
    <row r="6349" ht="15.75" customHeight="1">
      <c r="A6349" s="2" t="s">
        <v>6346</v>
      </c>
      <c r="B6349" s="2" t="s">
        <v>3</v>
      </c>
      <c r="C6349" s="1" t="str">
        <f>IFERROR(__xludf.DUMMYFUNCTION("GOOGLETRANSLATE(A6349,""en"",""pt-br"")"),"injustamente")</f>
        <v>injustamente</v>
      </c>
      <c r="D6349" s="1" t="str">
        <f>IFERROR(__xludf.DUMMYFUNCTION("GOOGLETRANSLATE(B6349,""en"",""pt-br"")"),"negativo")</f>
        <v>negativo</v>
      </c>
    </row>
    <row r="6350" ht="15.75" customHeight="1">
      <c r="A6350" s="2" t="s">
        <v>6347</v>
      </c>
      <c r="B6350" s="2" t="s">
        <v>3</v>
      </c>
      <c r="C6350" s="1" t="str">
        <f>IFERROR(__xludf.DUMMYFUNCTION("GOOGLETRANSLATE(A6350,""en"",""pt-br"")"),"grosseiro")</f>
        <v>grosseiro</v>
      </c>
      <c r="D6350" s="1" t="str">
        <f>IFERROR(__xludf.DUMMYFUNCTION("GOOGLETRANSLATE(B6350,""en"",""pt-br"")"),"negativo")</f>
        <v>negativo</v>
      </c>
    </row>
    <row r="6351" ht="15.75" customHeight="1">
      <c r="A6351" s="2" t="s">
        <v>6348</v>
      </c>
      <c r="B6351" s="2" t="s">
        <v>3</v>
      </c>
      <c r="C6351" s="1" t="str">
        <f>IFERROR(__xludf.DUMMYFUNCTION("GOOGLETRANSLATE(A6351,""en"",""pt-br"")"),"unkindly")</f>
        <v>unkindly</v>
      </c>
      <c r="D6351" s="1" t="str">
        <f>IFERROR(__xludf.DUMMYFUNCTION("GOOGLETRANSLATE(B6351,""en"",""pt-br"")"),"negativo")</f>
        <v>negativo</v>
      </c>
    </row>
    <row r="6352" ht="15.75" customHeight="1">
      <c r="A6352" s="2" t="s">
        <v>6349</v>
      </c>
      <c r="B6352" s="2" t="s">
        <v>3</v>
      </c>
      <c r="C6352" s="1" t="str">
        <f>IFERROR(__xludf.DUMMYFUNCTION("GOOGLETRANSLATE(A6352,""en"",""pt-br"")"),"desconhecido")</f>
        <v>desconhecido</v>
      </c>
      <c r="D6352" s="1" t="str">
        <f>IFERROR(__xludf.DUMMYFUNCTION("GOOGLETRANSLATE(B6352,""en"",""pt-br"")"),"negativo")</f>
        <v>negativo</v>
      </c>
    </row>
    <row r="6353" ht="15.75" customHeight="1">
      <c r="A6353" s="2" t="s">
        <v>6350</v>
      </c>
      <c r="B6353" s="2" t="s">
        <v>3</v>
      </c>
      <c r="C6353" s="1" t="str">
        <f>IFERROR(__xludf.DUMMYFUNCTION("GOOGLETRANSLATE(A6353,""en"",""pt-br"")"),"unlamentable")</f>
        <v>unlamentable</v>
      </c>
      <c r="D6353" s="1" t="str">
        <f>IFERROR(__xludf.DUMMYFUNCTION("GOOGLETRANSLATE(B6353,""en"",""pt-br"")"),"negativo")</f>
        <v>negativo</v>
      </c>
    </row>
    <row r="6354" ht="15.75" customHeight="1">
      <c r="A6354" s="2" t="s">
        <v>6351</v>
      </c>
      <c r="B6354" s="2" t="s">
        <v>3</v>
      </c>
      <c r="C6354" s="1" t="str">
        <f>IFERROR(__xludf.DUMMYFUNCTION("GOOGLETRANSLATE(A6354,""en"",""pt-br"")"),"unlamentably")</f>
        <v>unlamentably</v>
      </c>
      <c r="D6354" s="1" t="str">
        <f>IFERROR(__xludf.DUMMYFUNCTION("GOOGLETRANSLATE(B6354,""en"",""pt-br"")"),"negativo")</f>
        <v>negativo</v>
      </c>
    </row>
    <row r="6355" ht="15.75" customHeight="1">
      <c r="A6355" s="2" t="s">
        <v>6352</v>
      </c>
      <c r="B6355" s="2" t="s">
        <v>3</v>
      </c>
      <c r="C6355" s="1" t="str">
        <f>IFERROR(__xludf.DUMMYFUNCTION("GOOGLETRANSLATE(A6355,""en"",""pt-br"")"),"ilegal")</f>
        <v>ilegal</v>
      </c>
      <c r="D6355" s="1" t="str">
        <f>IFERROR(__xludf.DUMMYFUNCTION("GOOGLETRANSLATE(B6355,""en"",""pt-br"")"),"negativo")</f>
        <v>negativo</v>
      </c>
    </row>
    <row r="6356" ht="15.75" customHeight="1">
      <c r="A6356" s="2" t="s">
        <v>6353</v>
      </c>
      <c r="B6356" s="2" t="s">
        <v>3</v>
      </c>
      <c r="C6356" s="1" t="str">
        <f>IFERROR(__xludf.DUMMYFUNCTION("GOOGLETRANSLATE(A6356,""en"",""pt-br"")"),"ilegalmente")</f>
        <v>ilegalmente</v>
      </c>
      <c r="D6356" s="1" t="str">
        <f>IFERROR(__xludf.DUMMYFUNCTION("GOOGLETRANSLATE(B6356,""en"",""pt-br"")"),"negativo")</f>
        <v>negativo</v>
      </c>
    </row>
    <row r="6357" ht="15.75" customHeight="1">
      <c r="A6357" s="2" t="s">
        <v>6354</v>
      </c>
      <c r="B6357" s="2" t="s">
        <v>3</v>
      </c>
      <c r="C6357" s="1" t="str">
        <f>IFERROR(__xludf.DUMMYFUNCTION("GOOGLETRANSLATE(A6357,""en"",""pt-br"")"),"ilegalidade")</f>
        <v>ilegalidade</v>
      </c>
      <c r="D6357" s="1" t="str">
        <f>IFERROR(__xludf.DUMMYFUNCTION("GOOGLETRANSLATE(B6357,""en"",""pt-br"")"),"negativo")</f>
        <v>negativo</v>
      </c>
    </row>
    <row r="6358" ht="15.75" customHeight="1">
      <c r="A6358" s="2" t="s">
        <v>6355</v>
      </c>
      <c r="B6358" s="2" t="s">
        <v>3</v>
      </c>
      <c r="C6358" s="1" t="str">
        <f>IFERROR(__xludf.DUMMYFUNCTION("GOOGLETRANSLATE(A6358,""en"",""pt-br"")"),"unleash")</f>
        <v>unleash</v>
      </c>
      <c r="D6358" s="1" t="str">
        <f>IFERROR(__xludf.DUMMYFUNCTION("GOOGLETRANSLATE(B6358,""en"",""pt-br"")"),"negativo")</f>
        <v>negativo</v>
      </c>
    </row>
    <row r="6359" ht="15.75" customHeight="1">
      <c r="A6359" s="2" t="s">
        <v>6356</v>
      </c>
      <c r="B6359" s="2" t="s">
        <v>3</v>
      </c>
      <c r="C6359" s="1" t="str">
        <f>IFERROR(__xludf.DUMMYFUNCTION("GOOGLETRANSLATE(A6359,""en"",""pt-br"")"),"sem licença")</f>
        <v>sem licença</v>
      </c>
      <c r="D6359" s="1" t="str">
        <f>IFERROR(__xludf.DUMMYFUNCTION("GOOGLETRANSLATE(B6359,""en"",""pt-br"")"),"negativo")</f>
        <v>negativo</v>
      </c>
    </row>
    <row r="6360" ht="15.75" customHeight="1">
      <c r="A6360" s="2" t="s">
        <v>6357</v>
      </c>
      <c r="B6360" s="2" t="s">
        <v>3</v>
      </c>
      <c r="C6360" s="1" t="str">
        <f>IFERROR(__xludf.DUMMYFUNCTION("GOOGLETRANSLATE(A6360,""en"",""pt-br"")"),"improvável")</f>
        <v>improvável</v>
      </c>
      <c r="D6360" s="1" t="str">
        <f>IFERROR(__xludf.DUMMYFUNCTION("GOOGLETRANSLATE(B6360,""en"",""pt-br"")"),"negativo")</f>
        <v>negativo</v>
      </c>
    </row>
    <row r="6361" ht="15.75" customHeight="1">
      <c r="A6361" s="2" t="s">
        <v>6358</v>
      </c>
      <c r="B6361" s="2" t="s">
        <v>14</v>
      </c>
      <c r="C6361" s="1" t="str">
        <f>IFERROR(__xludf.DUMMYFUNCTION("GOOGLETRANSLATE(A6361,""en"",""pt-br"")"),"ilimitado")</f>
        <v>ilimitado</v>
      </c>
      <c r="D6361" s="1" t="str">
        <f>IFERROR(__xludf.DUMMYFUNCTION("GOOGLETRANSLATE(B6361,""en"",""pt-br"")"),"positivo")</f>
        <v>positivo</v>
      </c>
    </row>
    <row r="6362" ht="15.75" customHeight="1">
      <c r="A6362" s="2" t="s">
        <v>6359</v>
      </c>
      <c r="B6362" s="2" t="s">
        <v>3</v>
      </c>
      <c r="C6362" s="1" t="str">
        <f>IFERROR(__xludf.DUMMYFUNCTION("GOOGLETRANSLATE(A6362,""en"",""pt-br"")"),"azarado")</f>
        <v>azarado</v>
      </c>
      <c r="D6362" s="1" t="str">
        <f>IFERROR(__xludf.DUMMYFUNCTION("GOOGLETRANSLATE(B6362,""en"",""pt-br"")"),"negativo")</f>
        <v>negativo</v>
      </c>
    </row>
    <row r="6363" ht="15.75" customHeight="1">
      <c r="A6363" s="2" t="s">
        <v>6360</v>
      </c>
      <c r="B6363" s="2" t="s">
        <v>14</v>
      </c>
      <c r="C6363" s="1" t="str">
        <f>IFERROR(__xludf.DUMMYFUNCTION("GOOGLETRANSLATE(A6363,""en"",""pt-br"")"),"incomparável")</f>
        <v>incomparável</v>
      </c>
      <c r="D6363" s="1" t="str">
        <f>IFERROR(__xludf.DUMMYFUNCTION("GOOGLETRANSLATE(B6363,""en"",""pt-br"")"),"positivo")</f>
        <v>positivo</v>
      </c>
    </row>
    <row r="6364" ht="15.75" customHeight="1">
      <c r="A6364" s="2" t="s">
        <v>6361</v>
      </c>
      <c r="B6364" s="2" t="s">
        <v>3</v>
      </c>
      <c r="C6364" s="1" t="str">
        <f>IFERROR(__xludf.DUMMYFUNCTION("GOOGLETRANSLATE(A6364,""en"",""pt-br"")"),"impassível")</f>
        <v>impassível</v>
      </c>
      <c r="D6364" s="1" t="str">
        <f>IFERROR(__xludf.DUMMYFUNCTION("GOOGLETRANSLATE(B6364,""en"",""pt-br"")"),"negativo")</f>
        <v>negativo</v>
      </c>
    </row>
    <row r="6365" ht="15.75" customHeight="1">
      <c r="A6365" s="2" t="s">
        <v>6362</v>
      </c>
      <c r="B6365" s="2" t="s">
        <v>3</v>
      </c>
      <c r="C6365" s="1" t="str">
        <f>IFERROR(__xludf.DUMMYFUNCTION("GOOGLETRANSLATE(A6365,""en"",""pt-br"")"),"antinatural")</f>
        <v>antinatural</v>
      </c>
      <c r="D6365" s="1" t="str">
        <f>IFERROR(__xludf.DUMMYFUNCTION("GOOGLETRANSLATE(B6365,""en"",""pt-br"")"),"negativo")</f>
        <v>negativo</v>
      </c>
    </row>
    <row r="6366" ht="15.75" customHeight="1">
      <c r="A6366" s="2" t="s">
        <v>6363</v>
      </c>
      <c r="B6366" s="2" t="s">
        <v>3</v>
      </c>
      <c r="C6366" s="1" t="str">
        <f>IFERROR(__xludf.DUMMYFUNCTION("GOOGLETRANSLATE(A6366,""en"",""pt-br"")"),"anormalmente")</f>
        <v>anormalmente</v>
      </c>
      <c r="D6366" s="1" t="str">
        <f>IFERROR(__xludf.DUMMYFUNCTION("GOOGLETRANSLATE(B6366,""en"",""pt-br"")"),"negativo")</f>
        <v>negativo</v>
      </c>
    </row>
    <row r="6367" ht="15.75" customHeight="1">
      <c r="A6367" s="2" t="s">
        <v>6364</v>
      </c>
      <c r="B6367" s="2" t="s">
        <v>3</v>
      </c>
      <c r="C6367" s="1" t="str">
        <f>IFERROR(__xludf.DUMMYFUNCTION("GOOGLETRANSLATE(A6367,""en"",""pt-br"")"),"desnecessário")</f>
        <v>desnecessário</v>
      </c>
      <c r="D6367" s="1" t="str">
        <f>IFERROR(__xludf.DUMMYFUNCTION("GOOGLETRANSLATE(B6367,""en"",""pt-br"")"),"negativo")</f>
        <v>negativo</v>
      </c>
    </row>
    <row r="6368" ht="15.75" customHeight="1">
      <c r="A6368" s="2" t="s">
        <v>6365</v>
      </c>
      <c r="B6368" s="2" t="s">
        <v>3</v>
      </c>
      <c r="C6368" s="1" t="str">
        <f>IFERROR(__xludf.DUMMYFUNCTION("GOOGLETRANSLATE(A6368,""en"",""pt-br"")"),"desnecessário")</f>
        <v>desnecessário</v>
      </c>
      <c r="D6368" s="1" t="str">
        <f>IFERROR(__xludf.DUMMYFUNCTION("GOOGLETRANSLATE(B6368,""en"",""pt-br"")"),"negativo")</f>
        <v>negativo</v>
      </c>
    </row>
    <row r="6369" ht="15.75" customHeight="1">
      <c r="A6369" s="2" t="s">
        <v>6366</v>
      </c>
      <c r="B6369" s="2" t="s">
        <v>3</v>
      </c>
      <c r="C6369" s="1" t="str">
        <f>IFERROR(__xludf.DUMMYFUNCTION("GOOGLETRANSLATE(A6369,""en"",""pt-br"")"),"enervar")</f>
        <v>enervar</v>
      </c>
      <c r="D6369" s="1" t="str">
        <f>IFERROR(__xludf.DUMMYFUNCTION("GOOGLETRANSLATE(B6369,""en"",""pt-br"")"),"negativo")</f>
        <v>negativo</v>
      </c>
    </row>
    <row r="6370" ht="15.75" customHeight="1">
      <c r="A6370" s="2" t="s">
        <v>6367</v>
      </c>
      <c r="B6370" s="2" t="s">
        <v>3</v>
      </c>
      <c r="C6370" s="1" t="str">
        <f>IFERROR(__xludf.DUMMYFUNCTION("GOOGLETRANSLATE(A6370,""en"",""pt-br"")"),"enervado")</f>
        <v>enervado</v>
      </c>
      <c r="D6370" s="1" t="str">
        <f>IFERROR(__xludf.DUMMYFUNCTION("GOOGLETRANSLATE(B6370,""en"",""pt-br"")"),"negativo")</f>
        <v>negativo</v>
      </c>
    </row>
    <row r="6371" ht="15.75" customHeight="1">
      <c r="A6371" s="2" t="s">
        <v>6368</v>
      </c>
      <c r="B6371" s="2" t="s">
        <v>3</v>
      </c>
      <c r="C6371" s="1" t="str">
        <f>IFERROR(__xludf.DUMMYFUNCTION("GOOGLETRANSLATE(A6371,""en"",""pt-br"")"),"enervante")</f>
        <v>enervante</v>
      </c>
      <c r="D6371" s="1" t="str">
        <f>IFERROR(__xludf.DUMMYFUNCTION("GOOGLETRANSLATE(B6371,""en"",""pt-br"")"),"negativo")</f>
        <v>negativo</v>
      </c>
    </row>
    <row r="6372" ht="15.75" customHeight="1">
      <c r="A6372" s="2" t="s">
        <v>6369</v>
      </c>
      <c r="B6372" s="2" t="s">
        <v>3</v>
      </c>
      <c r="C6372" s="1" t="str">
        <f>IFERROR(__xludf.DUMMYFUNCTION("GOOGLETRANSLATE(A6372,""en"",""pt-br"")"),"unnervingly")</f>
        <v>unnervingly</v>
      </c>
      <c r="D6372" s="1" t="str">
        <f>IFERROR(__xludf.DUMMYFUNCTION("GOOGLETRANSLATE(B6372,""en"",""pt-br"")"),"negativo")</f>
        <v>negativo</v>
      </c>
    </row>
    <row r="6373" ht="15.75" customHeight="1">
      <c r="A6373" s="2" t="s">
        <v>6370</v>
      </c>
      <c r="B6373" s="2" t="s">
        <v>3</v>
      </c>
      <c r="C6373" s="1" t="str">
        <f>IFERROR(__xludf.DUMMYFUNCTION("GOOGLETRANSLATE(A6373,""en"",""pt-br"")"),"despercebido")</f>
        <v>despercebido</v>
      </c>
      <c r="D6373" s="1" t="str">
        <f>IFERROR(__xludf.DUMMYFUNCTION("GOOGLETRANSLATE(B6373,""en"",""pt-br"")"),"negativo")</f>
        <v>negativo</v>
      </c>
    </row>
    <row r="6374" ht="15.75" customHeight="1">
      <c r="A6374" s="2" t="s">
        <v>6371</v>
      </c>
      <c r="B6374" s="2" t="s">
        <v>3</v>
      </c>
      <c r="C6374" s="1" t="str">
        <f>IFERROR(__xludf.DUMMYFUNCTION("GOOGLETRANSLATE(A6374,""en"",""pt-br"")"),"não observado")</f>
        <v>não observado</v>
      </c>
      <c r="D6374" s="1" t="str">
        <f>IFERROR(__xludf.DUMMYFUNCTION("GOOGLETRANSLATE(B6374,""en"",""pt-br"")"),"negativo")</f>
        <v>negativo</v>
      </c>
    </row>
    <row r="6375" ht="15.75" customHeight="1">
      <c r="A6375" s="2" t="s">
        <v>6372</v>
      </c>
      <c r="B6375" s="2" t="s">
        <v>3</v>
      </c>
      <c r="C6375" s="1" t="str">
        <f>IFERROR(__xludf.DUMMYFUNCTION("GOOGLETRANSLATE(A6375,""en"",""pt-br"")"),"não ortodoxo")</f>
        <v>não ortodoxo</v>
      </c>
      <c r="D6375" s="1" t="str">
        <f>IFERROR(__xludf.DUMMYFUNCTION("GOOGLETRANSLATE(B6375,""en"",""pt-br"")"),"negativo")</f>
        <v>negativo</v>
      </c>
    </row>
    <row r="6376" ht="15.75" customHeight="1">
      <c r="A6376" s="2" t="s">
        <v>6373</v>
      </c>
      <c r="B6376" s="2" t="s">
        <v>3</v>
      </c>
      <c r="C6376" s="1" t="str">
        <f>IFERROR(__xludf.DUMMYFUNCTION("GOOGLETRANSLATE(A6376,""en"",""pt-br"")"),"unorthodoxy")</f>
        <v>unorthodoxy</v>
      </c>
      <c r="D6376" s="1" t="str">
        <f>IFERROR(__xludf.DUMMYFUNCTION("GOOGLETRANSLATE(B6376,""en"",""pt-br"")"),"negativo")</f>
        <v>negativo</v>
      </c>
    </row>
    <row r="6377" ht="15.75" customHeight="1">
      <c r="A6377" s="2" t="s">
        <v>6374</v>
      </c>
      <c r="B6377" s="2" t="s">
        <v>14</v>
      </c>
      <c r="C6377" s="1" t="str">
        <f>IFERROR(__xludf.DUMMYFUNCTION("GOOGLETRANSLATE(A6377,""en"",""pt-br"")"),"inigualável")</f>
        <v>inigualável</v>
      </c>
      <c r="D6377" s="1" t="str">
        <f>IFERROR(__xludf.DUMMYFUNCTION("GOOGLETRANSLATE(B6377,""en"",""pt-br"")"),"positivo")</f>
        <v>positivo</v>
      </c>
    </row>
    <row r="6378" ht="15.75" customHeight="1">
      <c r="A6378" s="2" t="s">
        <v>6375</v>
      </c>
      <c r="B6378" s="2" t="s">
        <v>3</v>
      </c>
      <c r="C6378" s="1" t="str">
        <f>IFERROR(__xludf.DUMMYFUNCTION("GOOGLETRANSLATE(A6378,""en"",""pt-br"")"),"desagradável")</f>
        <v>desagradável</v>
      </c>
      <c r="D6378" s="1" t="str">
        <f>IFERROR(__xludf.DUMMYFUNCTION("GOOGLETRANSLATE(B6378,""en"",""pt-br"")"),"negativo")</f>
        <v>negativo</v>
      </c>
    </row>
    <row r="6379" ht="15.75" customHeight="1">
      <c r="A6379" s="2" t="s">
        <v>6376</v>
      </c>
      <c r="B6379" s="2" t="s">
        <v>3</v>
      </c>
      <c r="C6379" s="1" t="str">
        <f>IFERROR(__xludf.DUMMYFUNCTION("GOOGLETRANSLATE(A6379,""en"",""pt-br"")"),"unpleasantries")</f>
        <v>unpleasantries</v>
      </c>
      <c r="D6379" s="1" t="str">
        <f>IFERROR(__xludf.DUMMYFUNCTION("GOOGLETRANSLATE(B6379,""en"",""pt-br"")"),"negativo")</f>
        <v>negativo</v>
      </c>
    </row>
    <row r="6380" ht="15.75" customHeight="1">
      <c r="A6380" s="2" t="s">
        <v>6377</v>
      </c>
      <c r="B6380" s="2" t="s">
        <v>3</v>
      </c>
      <c r="C6380" s="1" t="str">
        <f>IFERROR(__xludf.DUMMYFUNCTION("GOOGLETRANSLATE(A6380,""en"",""pt-br"")"),"impopular")</f>
        <v>impopular</v>
      </c>
      <c r="D6380" s="1" t="str">
        <f>IFERROR(__xludf.DUMMYFUNCTION("GOOGLETRANSLATE(B6380,""en"",""pt-br"")"),"negativo")</f>
        <v>negativo</v>
      </c>
    </row>
    <row r="6381" ht="15.75" customHeight="1">
      <c r="A6381" s="2" t="s">
        <v>6378</v>
      </c>
      <c r="B6381" s="2" t="s">
        <v>3</v>
      </c>
      <c r="C6381" s="1" t="str">
        <f>IFERROR(__xludf.DUMMYFUNCTION("GOOGLETRANSLATE(A6381,""en"",""pt-br"")"),"imprevisível")</f>
        <v>imprevisível</v>
      </c>
      <c r="D6381" s="1" t="str">
        <f>IFERROR(__xludf.DUMMYFUNCTION("GOOGLETRANSLATE(B6381,""en"",""pt-br"")"),"negativo")</f>
        <v>negativo</v>
      </c>
    </row>
    <row r="6382" ht="15.75" customHeight="1">
      <c r="A6382" s="2" t="s">
        <v>6379</v>
      </c>
      <c r="B6382" s="2" t="s">
        <v>3</v>
      </c>
      <c r="C6382" s="1" t="str">
        <f>IFERROR(__xludf.DUMMYFUNCTION("GOOGLETRANSLATE(A6382,""en"",""pt-br"")"),"despreparado")</f>
        <v>despreparado</v>
      </c>
      <c r="D6382" s="1" t="str">
        <f>IFERROR(__xludf.DUMMYFUNCTION("GOOGLETRANSLATE(B6382,""en"",""pt-br"")"),"negativo")</f>
        <v>negativo</v>
      </c>
    </row>
    <row r="6383" ht="15.75" customHeight="1">
      <c r="A6383" s="2" t="s">
        <v>6380</v>
      </c>
      <c r="B6383" s="2" t="s">
        <v>3</v>
      </c>
      <c r="C6383" s="1" t="str">
        <f>IFERROR(__xludf.DUMMYFUNCTION("GOOGLETRANSLATE(A6383,""en"",""pt-br"")"),"improdutivo")</f>
        <v>improdutivo</v>
      </c>
      <c r="D6383" s="1" t="str">
        <f>IFERROR(__xludf.DUMMYFUNCTION("GOOGLETRANSLATE(B6383,""en"",""pt-br"")"),"negativo")</f>
        <v>negativo</v>
      </c>
    </row>
    <row r="6384" ht="15.75" customHeight="1">
      <c r="A6384" s="2" t="s">
        <v>6381</v>
      </c>
      <c r="B6384" s="2" t="s">
        <v>3</v>
      </c>
      <c r="C6384" s="1" t="str">
        <f>IFERROR(__xludf.DUMMYFUNCTION("GOOGLETRANSLATE(A6384,""en"",""pt-br"")"),"inútil")</f>
        <v>inútil</v>
      </c>
      <c r="D6384" s="1" t="str">
        <f>IFERROR(__xludf.DUMMYFUNCTION("GOOGLETRANSLATE(B6384,""en"",""pt-br"")"),"negativo")</f>
        <v>negativo</v>
      </c>
    </row>
    <row r="6385" ht="15.75" customHeight="1">
      <c r="A6385" s="2" t="s">
        <v>6382</v>
      </c>
      <c r="B6385" s="2" t="s">
        <v>3</v>
      </c>
      <c r="C6385" s="1" t="str">
        <f>IFERROR(__xludf.DUMMYFUNCTION("GOOGLETRANSLATE(A6385,""en"",""pt-br"")"),"unprove")</f>
        <v>unprove</v>
      </c>
      <c r="D6385" s="1" t="str">
        <f>IFERROR(__xludf.DUMMYFUNCTION("GOOGLETRANSLATE(B6385,""en"",""pt-br"")"),"negativo")</f>
        <v>negativo</v>
      </c>
    </row>
    <row r="6386" ht="15.75" customHeight="1">
      <c r="A6386" s="2" t="s">
        <v>6383</v>
      </c>
      <c r="B6386" s="2" t="s">
        <v>3</v>
      </c>
      <c r="C6386" s="1" t="str">
        <f>IFERROR(__xludf.DUMMYFUNCTION("GOOGLETRANSLATE(A6386,""en"",""pt-br"")"),"unproved")</f>
        <v>unproved</v>
      </c>
      <c r="D6386" s="1" t="str">
        <f>IFERROR(__xludf.DUMMYFUNCTION("GOOGLETRANSLATE(B6386,""en"",""pt-br"")"),"negativo")</f>
        <v>negativo</v>
      </c>
    </row>
    <row r="6387" ht="15.75" customHeight="1">
      <c r="A6387" s="2" t="s">
        <v>6384</v>
      </c>
      <c r="B6387" s="2" t="s">
        <v>3</v>
      </c>
      <c r="C6387" s="1" t="str">
        <f>IFERROR(__xludf.DUMMYFUNCTION("GOOGLETRANSLATE(A6387,""en"",""pt-br"")"),"não comprovada")</f>
        <v>não comprovada</v>
      </c>
      <c r="D6387" s="1" t="str">
        <f>IFERROR(__xludf.DUMMYFUNCTION("GOOGLETRANSLATE(B6387,""en"",""pt-br"")"),"negativo")</f>
        <v>negativo</v>
      </c>
    </row>
    <row r="6388" ht="15.75" customHeight="1">
      <c r="A6388" s="2" t="s">
        <v>6385</v>
      </c>
      <c r="B6388" s="2" t="s">
        <v>3</v>
      </c>
      <c r="C6388" s="1" t="str">
        <f>IFERROR(__xludf.DUMMYFUNCTION("GOOGLETRANSLATE(A6388,""en"",""pt-br"")"),"unproves")</f>
        <v>unproves</v>
      </c>
      <c r="D6388" s="1" t="str">
        <f>IFERROR(__xludf.DUMMYFUNCTION("GOOGLETRANSLATE(B6388,""en"",""pt-br"")"),"negativo")</f>
        <v>negativo</v>
      </c>
    </row>
    <row r="6389" ht="15.75" customHeight="1">
      <c r="A6389" s="2" t="s">
        <v>6386</v>
      </c>
      <c r="B6389" s="2" t="s">
        <v>3</v>
      </c>
      <c r="C6389" s="1" t="str">
        <f>IFERROR(__xludf.DUMMYFUNCTION("GOOGLETRANSLATE(A6389,""en"",""pt-br"")"),"unproving")</f>
        <v>unproving</v>
      </c>
      <c r="D6389" s="1" t="str">
        <f>IFERROR(__xludf.DUMMYFUNCTION("GOOGLETRANSLATE(B6389,""en"",""pt-br"")"),"negativo")</f>
        <v>negativo</v>
      </c>
    </row>
    <row r="6390" ht="15.75" customHeight="1">
      <c r="A6390" s="2" t="s">
        <v>6387</v>
      </c>
      <c r="B6390" s="2" t="s">
        <v>3</v>
      </c>
      <c r="C6390" s="1" t="str">
        <f>IFERROR(__xludf.DUMMYFUNCTION("GOOGLETRANSLATE(A6390,""en"",""pt-br"")"),"não qualificado")</f>
        <v>não qualificado</v>
      </c>
      <c r="D6390" s="1" t="str">
        <f>IFERROR(__xludf.DUMMYFUNCTION("GOOGLETRANSLATE(B6390,""en"",""pt-br"")"),"negativo")</f>
        <v>negativo</v>
      </c>
    </row>
    <row r="6391" ht="15.75" customHeight="1">
      <c r="A6391" s="2" t="s">
        <v>6388</v>
      </c>
      <c r="B6391" s="2" t="s">
        <v>14</v>
      </c>
      <c r="C6391" s="1" t="str">
        <f>IFERROR(__xludf.DUMMYFUNCTION("GOOGLETRANSLATE(A6391,""en"",""pt-br"")"),"incontestável")</f>
        <v>incontestável</v>
      </c>
      <c r="D6391" s="1" t="str">
        <f>IFERROR(__xludf.DUMMYFUNCTION("GOOGLETRANSLATE(B6391,""en"",""pt-br"")"),"positivo")</f>
        <v>positivo</v>
      </c>
    </row>
    <row r="6392" ht="15.75" customHeight="1">
      <c r="A6392" s="2" t="s">
        <v>6389</v>
      </c>
      <c r="B6392" s="2" t="s">
        <v>14</v>
      </c>
      <c r="C6392" s="1" t="str">
        <f>IFERROR(__xludf.DUMMYFUNCTION("GOOGLETRANSLATE(A6392,""en"",""pt-br"")"),"inquestionavelmente")</f>
        <v>inquestionavelmente</v>
      </c>
      <c r="D6392" s="1" t="str">
        <f>IFERROR(__xludf.DUMMYFUNCTION("GOOGLETRANSLATE(B6392,""en"",""pt-br"")"),"positivo")</f>
        <v>positivo</v>
      </c>
    </row>
    <row r="6393" ht="15.75" customHeight="1">
      <c r="A6393" s="2" t="s">
        <v>6390</v>
      </c>
      <c r="B6393" s="2" t="s">
        <v>3</v>
      </c>
      <c r="C6393" s="1" t="str">
        <f>IFERROR(__xludf.DUMMYFUNCTION("GOOGLETRANSLATE(A6393,""en"",""pt-br"")"),"desvendar")</f>
        <v>desvendar</v>
      </c>
      <c r="D6393" s="1" t="str">
        <f>IFERROR(__xludf.DUMMYFUNCTION("GOOGLETRANSLATE(B6393,""en"",""pt-br"")"),"negativo")</f>
        <v>negativo</v>
      </c>
    </row>
    <row r="6394" ht="15.75" customHeight="1">
      <c r="A6394" s="2" t="s">
        <v>6391</v>
      </c>
      <c r="B6394" s="2" t="s">
        <v>3</v>
      </c>
      <c r="C6394" s="1" t="str">
        <f>IFERROR(__xludf.DUMMYFUNCTION("GOOGLETRANSLATE(A6394,""en"",""pt-br"")"),"Unraveled")</f>
        <v>Unraveled</v>
      </c>
      <c r="D6394" s="1" t="str">
        <f>IFERROR(__xludf.DUMMYFUNCTION("GOOGLETRANSLATE(B6394,""en"",""pt-br"")"),"negativo")</f>
        <v>negativo</v>
      </c>
    </row>
    <row r="6395" ht="15.75" customHeight="1">
      <c r="A6395" s="2" t="s">
        <v>6392</v>
      </c>
      <c r="B6395" s="2" t="s">
        <v>3</v>
      </c>
      <c r="C6395" s="1" t="str">
        <f>IFERROR(__xludf.DUMMYFUNCTION("GOOGLETRANSLATE(A6395,""en"",""pt-br"")"),"inacessível")</f>
        <v>inacessível</v>
      </c>
      <c r="D6395" s="1" t="str">
        <f>IFERROR(__xludf.DUMMYFUNCTION("GOOGLETRANSLATE(B6395,""en"",""pt-br"")"),"negativo")</f>
        <v>negativo</v>
      </c>
    </row>
    <row r="6396" ht="15.75" customHeight="1">
      <c r="A6396" s="2" t="s">
        <v>6393</v>
      </c>
      <c r="B6396" s="2" t="s">
        <v>3</v>
      </c>
      <c r="C6396" s="1" t="str">
        <f>IFERROR(__xludf.DUMMYFUNCTION("GOOGLETRANSLATE(A6396,""en"",""pt-br"")"),"ilegível")</f>
        <v>ilegível</v>
      </c>
      <c r="D6396" s="1" t="str">
        <f>IFERROR(__xludf.DUMMYFUNCTION("GOOGLETRANSLATE(B6396,""en"",""pt-br"")"),"negativo")</f>
        <v>negativo</v>
      </c>
    </row>
    <row r="6397" ht="15.75" customHeight="1">
      <c r="A6397" s="2" t="s">
        <v>6394</v>
      </c>
      <c r="B6397" s="2" t="s">
        <v>14</v>
      </c>
      <c r="C6397" s="1" t="str">
        <f>IFERROR(__xludf.DUMMYFUNCTION("GOOGLETRANSLATE(A6397,""en"",""pt-br"")"),"irreal")</f>
        <v>irreal</v>
      </c>
      <c r="D6397" s="1" t="str">
        <f>IFERROR(__xludf.DUMMYFUNCTION("GOOGLETRANSLATE(B6397,""en"",""pt-br"")"),"positivo")</f>
        <v>positivo</v>
      </c>
    </row>
    <row r="6398" ht="15.75" customHeight="1">
      <c r="A6398" s="2" t="s">
        <v>6395</v>
      </c>
      <c r="B6398" s="2" t="s">
        <v>3</v>
      </c>
      <c r="C6398" s="1" t="str">
        <f>IFERROR(__xludf.DUMMYFUNCTION("GOOGLETRANSLATE(A6398,""en"",""pt-br"")"),"irrealista")</f>
        <v>irrealista</v>
      </c>
      <c r="D6398" s="1" t="str">
        <f>IFERROR(__xludf.DUMMYFUNCTION("GOOGLETRANSLATE(B6398,""en"",""pt-br"")"),"negativo")</f>
        <v>negativo</v>
      </c>
    </row>
    <row r="6399" ht="15.75" customHeight="1">
      <c r="A6399" s="2" t="s">
        <v>6396</v>
      </c>
      <c r="B6399" s="2" t="s">
        <v>3</v>
      </c>
      <c r="C6399" s="1" t="str">
        <f>IFERROR(__xludf.DUMMYFUNCTION("GOOGLETRANSLATE(A6399,""en"",""pt-br"")"),"irracional")</f>
        <v>irracional</v>
      </c>
      <c r="D6399" s="1" t="str">
        <f>IFERROR(__xludf.DUMMYFUNCTION("GOOGLETRANSLATE(B6399,""en"",""pt-br"")"),"negativo")</f>
        <v>negativo</v>
      </c>
    </row>
    <row r="6400" ht="15.75" customHeight="1">
      <c r="A6400" s="2" t="s">
        <v>6397</v>
      </c>
      <c r="B6400" s="2" t="s">
        <v>3</v>
      </c>
      <c r="C6400" s="1" t="str">
        <f>IFERROR(__xludf.DUMMYFUNCTION("GOOGLETRANSLATE(A6400,""en"",""pt-br"")"),"injustificadamente")</f>
        <v>injustificadamente</v>
      </c>
      <c r="D6400" s="1" t="str">
        <f>IFERROR(__xludf.DUMMYFUNCTION("GOOGLETRANSLATE(B6400,""en"",""pt-br"")"),"negativo")</f>
        <v>negativo</v>
      </c>
    </row>
    <row r="6401" ht="15.75" customHeight="1">
      <c r="A6401" s="2" t="s">
        <v>6398</v>
      </c>
      <c r="B6401" s="2" t="s">
        <v>3</v>
      </c>
      <c r="C6401" s="1" t="str">
        <f>IFERROR(__xludf.DUMMYFUNCTION("GOOGLETRANSLATE(A6401,""en"",""pt-br"")"),"implacável")</f>
        <v>implacável</v>
      </c>
      <c r="D6401" s="1" t="str">
        <f>IFERROR(__xludf.DUMMYFUNCTION("GOOGLETRANSLATE(B6401,""en"",""pt-br"")"),"negativo")</f>
        <v>negativo</v>
      </c>
    </row>
    <row r="6402" ht="15.75" customHeight="1">
      <c r="A6402" s="2" t="s">
        <v>6399</v>
      </c>
      <c r="B6402" s="2" t="s">
        <v>3</v>
      </c>
      <c r="C6402" s="1" t="str">
        <f>IFERROR(__xludf.DUMMYFUNCTION("GOOGLETRANSLATE(A6402,""en"",""pt-br"")"),"unrelentingly")</f>
        <v>unrelentingly</v>
      </c>
      <c r="D6402" s="1" t="str">
        <f>IFERROR(__xludf.DUMMYFUNCTION("GOOGLETRANSLATE(B6402,""en"",""pt-br"")"),"negativo")</f>
        <v>negativo</v>
      </c>
    </row>
    <row r="6403" ht="15.75" customHeight="1">
      <c r="A6403" s="2" t="s">
        <v>6400</v>
      </c>
      <c r="B6403" s="2" t="s">
        <v>3</v>
      </c>
      <c r="C6403" s="1" t="str">
        <f>IFERROR(__xludf.DUMMYFUNCTION("GOOGLETRANSLATE(A6403,""en"",""pt-br"")"),"unreliability")</f>
        <v>unreliability</v>
      </c>
      <c r="D6403" s="1" t="str">
        <f>IFERROR(__xludf.DUMMYFUNCTION("GOOGLETRANSLATE(B6403,""en"",""pt-br"")"),"negativo")</f>
        <v>negativo</v>
      </c>
    </row>
    <row r="6404" ht="15.75" customHeight="1">
      <c r="A6404" s="2" t="s">
        <v>6401</v>
      </c>
      <c r="B6404" s="2" t="s">
        <v>3</v>
      </c>
      <c r="C6404" s="1" t="str">
        <f>IFERROR(__xludf.DUMMYFUNCTION("GOOGLETRANSLATE(A6404,""en"",""pt-br"")"),"não confiável")</f>
        <v>não confiável</v>
      </c>
      <c r="D6404" s="1" t="str">
        <f>IFERROR(__xludf.DUMMYFUNCTION("GOOGLETRANSLATE(B6404,""en"",""pt-br"")"),"negativo")</f>
        <v>negativo</v>
      </c>
    </row>
    <row r="6405" ht="15.75" customHeight="1">
      <c r="A6405" s="2" t="s">
        <v>6402</v>
      </c>
      <c r="B6405" s="2" t="s">
        <v>3</v>
      </c>
      <c r="C6405" s="1" t="str">
        <f>IFERROR(__xludf.DUMMYFUNCTION("GOOGLETRANSLATE(A6405,""en"",""pt-br"")"),"irresoluto")</f>
        <v>irresoluto</v>
      </c>
      <c r="D6405" s="1" t="str">
        <f>IFERROR(__xludf.DUMMYFUNCTION("GOOGLETRANSLATE(B6405,""en"",""pt-br"")"),"negativo")</f>
        <v>negativo</v>
      </c>
    </row>
    <row r="6406" ht="15.75" customHeight="1">
      <c r="A6406" s="2" t="s">
        <v>6403</v>
      </c>
      <c r="B6406" s="2" t="s">
        <v>3</v>
      </c>
      <c r="C6406" s="1" t="str">
        <f>IFERROR(__xludf.DUMMYFUNCTION("GOOGLETRANSLATE(A6406,""en"",""pt-br"")"),"insensível")</f>
        <v>insensível</v>
      </c>
      <c r="D6406" s="1" t="str">
        <f>IFERROR(__xludf.DUMMYFUNCTION("GOOGLETRANSLATE(B6406,""en"",""pt-br"")"),"negativo")</f>
        <v>negativo</v>
      </c>
    </row>
    <row r="6407" ht="15.75" customHeight="1">
      <c r="A6407" s="2" t="s">
        <v>6404</v>
      </c>
      <c r="B6407" s="2" t="s">
        <v>3</v>
      </c>
      <c r="C6407" s="1" t="str">
        <f>IFERROR(__xludf.DUMMYFUNCTION("GOOGLETRANSLATE(A6407,""en"",""pt-br"")"),"agitação")</f>
        <v>agitação</v>
      </c>
      <c r="D6407" s="1" t="str">
        <f>IFERROR(__xludf.DUMMYFUNCTION("GOOGLETRANSLATE(B6407,""en"",""pt-br"")"),"negativo")</f>
        <v>negativo</v>
      </c>
    </row>
    <row r="6408" ht="15.75" customHeight="1">
      <c r="A6408" s="2" t="s">
        <v>6405</v>
      </c>
      <c r="B6408" s="2" t="s">
        <v>14</v>
      </c>
      <c r="C6408" s="1" t="str">
        <f>IFERROR(__xludf.DUMMYFUNCTION("GOOGLETRANSLATE(A6408,""en"",""pt-br"")"),"irrestrito")</f>
        <v>irrestrito</v>
      </c>
      <c r="D6408" s="1" t="str">
        <f>IFERROR(__xludf.DUMMYFUNCTION("GOOGLETRANSLATE(B6408,""en"",""pt-br"")"),"positivo")</f>
        <v>positivo</v>
      </c>
    </row>
    <row r="6409" ht="15.75" customHeight="1">
      <c r="A6409" s="2" t="s">
        <v>6406</v>
      </c>
      <c r="B6409" s="2" t="s">
        <v>14</v>
      </c>
      <c r="C6409" s="1" t="str">
        <f>IFERROR(__xludf.DUMMYFUNCTION("GOOGLETRANSLATE(A6409,""en"",""pt-br"")"),"incomparável")</f>
        <v>incomparável</v>
      </c>
      <c r="D6409" s="1" t="str">
        <f>IFERROR(__xludf.DUMMYFUNCTION("GOOGLETRANSLATE(B6409,""en"",""pt-br"")"),"positivo")</f>
        <v>positivo</v>
      </c>
    </row>
    <row r="6410" ht="15.75" customHeight="1">
      <c r="A6410" s="2" t="s">
        <v>6407</v>
      </c>
      <c r="B6410" s="2" t="s">
        <v>3</v>
      </c>
      <c r="C6410" s="1" t="str">
        <f>IFERROR(__xludf.DUMMYFUNCTION("GOOGLETRANSLATE(A6410,""en"",""pt-br"")"),"indisciplinado")</f>
        <v>indisciplinado</v>
      </c>
      <c r="D6410" s="1" t="str">
        <f>IFERROR(__xludf.DUMMYFUNCTION("GOOGLETRANSLATE(B6410,""en"",""pt-br"")"),"negativo")</f>
        <v>negativo</v>
      </c>
    </row>
    <row r="6411" ht="15.75" customHeight="1">
      <c r="A6411" s="2" t="s">
        <v>6408</v>
      </c>
      <c r="B6411" s="2" t="s">
        <v>3</v>
      </c>
      <c r="C6411" s="1" t="str">
        <f>IFERROR(__xludf.DUMMYFUNCTION("GOOGLETRANSLATE(A6411,""en"",""pt-br"")"),"inseguro")</f>
        <v>inseguro</v>
      </c>
      <c r="D6411" s="1" t="str">
        <f>IFERROR(__xludf.DUMMYFUNCTION("GOOGLETRANSLATE(B6411,""en"",""pt-br"")"),"negativo")</f>
        <v>negativo</v>
      </c>
    </row>
    <row r="6412" ht="15.75" customHeight="1">
      <c r="A6412" s="2" t="s">
        <v>6409</v>
      </c>
      <c r="B6412" s="2" t="s">
        <v>3</v>
      </c>
      <c r="C6412" s="1" t="str">
        <f>IFERROR(__xludf.DUMMYFUNCTION("GOOGLETRANSLATE(A6412,""en"",""pt-br"")"),"não satisfatório")</f>
        <v>não satisfatório</v>
      </c>
      <c r="D6412" s="1" t="str">
        <f>IFERROR(__xludf.DUMMYFUNCTION("GOOGLETRANSLATE(B6412,""en"",""pt-br"")"),"negativo")</f>
        <v>negativo</v>
      </c>
    </row>
    <row r="6413" ht="15.75" customHeight="1">
      <c r="A6413" s="2" t="s">
        <v>6410</v>
      </c>
      <c r="B6413" s="2" t="s">
        <v>3</v>
      </c>
      <c r="C6413" s="1" t="str">
        <f>IFERROR(__xludf.DUMMYFUNCTION("GOOGLETRANSLATE(A6413,""en"",""pt-br"")"),"desagradável")</f>
        <v>desagradável</v>
      </c>
      <c r="D6413" s="1" t="str">
        <f>IFERROR(__xludf.DUMMYFUNCTION("GOOGLETRANSLATE(B6413,""en"",""pt-br"")"),"negativo")</f>
        <v>negativo</v>
      </c>
    </row>
    <row r="6414" ht="15.75" customHeight="1">
      <c r="A6414" s="2" t="s">
        <v>6411</v>
      </c>
      <c r="B6414" s="2" t="s">
        <v>3</v>
      </c>
      <c r="C6414" s="1" t="str">
        <f>IFERROR(__xludf.DUMMYFUNCTION("GOOGLETRANSLATE(A6414,""en"",""pt-br"")"),"sem escrúpulos")</f>
        <v>sem escrúpulos</v>
      </c>
      <c r="D6414" s="1" t="str">
        <f>IFERROR(__xludf.DUMMYFUNCTION("GOOGLETRANSLATE(B6414,""en"",""pt-br"")"),"negativo")</f>
        <v>negativo</v>
      </c>
    </row>
    <row r="6415" ht="15.75" customHeight="1">
      <c r="A6415" s="2" t="s">
        <v>6412</v>
      </c>
      <c r="B6415" s="2" t="s">
        <v>3</v>
      </c>
      <c r="C6415" s="1" t="str">
        <f>IFERROR(__xludf.DUMMYFUNCTION("GOOGLETRANSLATE(A6415,""en"",""pt-br"")"),"inescrupulosamente")</f>
        <v>inescrupulosamente</v>
      </c>
      <c r="D6415" s="1" t="str">
        <f>IFERROR(__xludf.DUMMYFUNCTION("GOOGLETRANSLATE(B6415,""en"",""pt-br"")"),"negativo")</f>
        <v>negativo</v>
      </c>
    </row>
    <row r="6416" ht="15.75" customHeight="1">
      <c r="A6416" s="2" t="s">
        <v>6413</v>
      </c>
      <c r="B6416" s="2" t="s">
        <v>3</v>
      </c>
      <c r="C6416" s="1" t="str">
        <f>IFERROR(__xludf.DUMMYFUNCTION("GOOGLETRANSLATE(A6416,""en"",""pt-br"")"),"unsecure")</f>
        <v>unsecure</v>
      </c>
      <c r="D6416" s="1" t="str">
        <f>IFERROR(__xludf.DUMMYFUNCTION("GOOGLETRANSLATE(B6416,""en"",""pt-br"")"),"negativo")</f>
        <v>negativo</v>
      </c>
    </row>
    <row r="6417" ht="15.75" customHeight="1">
      <c r="A6417" s="2" t="s">
        <v>6414</v>
      </c>
      <c r="B6417" s="2" t="s">
        <v>3</v>
      </c>
      <c r="C6417" s="1" t="str">
        <f>IFERROR(__xludf.DUMMYFUNCTION("GOOGLETRANSLATE(A6417,""en"",""pt-br"")"),"indecoroso")</f>
        <v>indecoroso</v>
      </c>
      <c r="D6417" s="1" t="str">
        <f>IFERROR(__xludf.DUMMYFUNCTION("GOOGLETRANSLATE(B6417,""en"",""pt-br"")"),"negativo")</f>
        <v>negativo</v>
      </c>
    </row>
    <row r="6418" ht="15.75" customHeight="1">
      <c r="A6418" s="2" t="s">
        <v>6415</v>
      </c>
      <c r="B6418" s="2" t="s">
        <v>14</v>
      </c>
      <c r="C6418" s="1" t="str">
        <f>IFERROR(__xludf.DUMMYFUNCTION("GOOGLETRANSLATE(A6418,""en"",""pt-br"")"),"altruísta")</f>
        <v>altruísta</v>
      </c>
      <c r="D6418" s="1" t="str">
        <f>IFERROR(__xludf.DUMMYFUNCTION("GOOGLETRANSLATE(B6418,""en"",""pt-br"")"),"positivo")</f>
        <v>positivo</v>
      </c>
    </row>
    <row r="6419" ht="15.75" customHeight="1">
      <c r="A6419" s="2" t="s">
        <v>6416</v>
      </c>
      <c r="B6419" s="2" t="s">
        <v>3</v>
      </c>
      <c r="C6419" s="1" t="str">
        <f>IFERROR(__xludf.DUMMYFUNCTION("GOOGLETRANSLATE(A6419,""en"",""pt-br"")"),"Unsettle")</f>
        <v>Unsettle</v>
      </c>
      <c r="D6419" s="1" t="str">
        <f>IFERROR(__xludf.DUMMYFUNCTION("GOOGLETRANSLATE(B6419,""en"",""pt-br"")"),"negativo")</f>
        <v>negativo</v>
      </c>
    </row>
    <row r="6420" ht="15.75" customHeight="1">
      <c r="A6420" s="2" t="s">
        <v>6417</v>
      </c>
      <c r="B6420" s="2" t="s">
        <v>3</v>
      </c>
      <c r="C6420" s="1" t="str">
        <f>IFERROR(__xludf.DUMMYFUNCTION("GOOGLETRANSLATE(A6420,""en"",""pt-br"")"),"instável")</f>
        <v>instável</v>
      </c>
      <c r="D6420" s="1" t="str">
        <f>IFERROR(__xludf.DUMMYFUNCTION("GOOGLETRANSLATE(B6420,""en"",""pt-br"")"),"negativo")</f>
        <v>negativo</v>
      </c>
    </row>
    <row r="6421" ht="15.75" customHeight="1">
      <c r="A6421" s="2" t="s">
        <v>6418</v>
      </c>
      <c r="B6421" s="2" t="s">
        <v>3</v>
      </c>
      <c r="C6421" s="1" t="str">
        <f>IFERROR(__xludf.DUMMYFUNCTION("GOOGLETRANSLATE(A6421,""en"",""pt-br"")"),"inquietante")</f>
        <v>inquietante</v>
      </c>
      <c r="D6421" s="1" t="str">
        <f>IFERROR(__xludf.DUMMYFUNCTION("GOOGLETRANSLATE(B6421,""en"",""pt-br"")"),"negativo")</f>
        <v>negativo</v>
      </c>
    </row>
    <row r="6422" ht="15.75" customHeight="1">
      <c r="A6422" s="2" t="s">
        <v>6419</v>
      </c>
      <c r="B6422" s="2" t="s">
        <v>3</v>
      </c>
      <c r="C6422" s="1" t="str">
        <f>IFERROR(__xludf.DUMMYFUNCTION("GOOGLETRANSLATE(A6422,""en"",""pt-br"")"),"unsettlingly")</f>
        <v>unsettlingly</v>
      </c>
      <c r="D6422" s="1" t="str">
        <f>IFERROR(__xludf.DUMMYFUNCTION("GOOGLETRANSLATE(B6422,""en"",""pt-br"")"),"negativo")</f>
        <v>negativo</v>
      </c>
    </row>
    <row r="6423" ht="15.75" customHeight="1">
      <c r="A6423" s="2" t="s">
        <v>6420</v>
      </c>
      <c r="B6423" s="2" t="s">
        <v>3</v>
      </c>
      <c r="C6423" s="1" t="str">
        <f>IFERROR(__xludf.DUMMYFUNCTION("GOOGLETRANSLATE(A6423,""en"",""pt-br"")"),"não qualificado")</f>
        <v>não qualificado</v>
      </c>
      <c r="D6423" s="1" t="str">
        <f>IFERROR(__xludf.DUMMYFUNCTION("GOOGLETRANSLATE(B6423,""en"",""pt-br"")"),"negativo")</f>
        <v>negativo</v>
      </c>
    </row>
    <row r="6424" ht="15.75" customHeight="1">
      <c r="A6424" s="2" t="s">
        <v>6421</v>
      </c>
      <c r="B6424" s="2" t="s">
        <v>3</v>
      </c>
      <c r="C6424" s="1" t="str">
        <f>IFERROR(__xludf.DUMMYFUNCTION("GOOGLETRANSLATE(A6424,""en"",""pt-br"")"),"simples")</f>
        <v>simples</v>
      </c>
      <c r="D6424" s="1" t="str">
        <f>IFERROR(__xludf.DUMMYFUNCTION("GOOGLETRANSLATE(B6424,""en"",""pt-br"")"),"negativo")</f>
        <v>negativo</v>
      </c>
    </row>
    <row r="6425" ht="15.75" customHeight="1">
      <c r="A6425" s="2" t="s">
        <v>6422</v>
      </c>
      <c r="B6425" s="2" t="s">
        <v>3</v>
      </c>
      <c r="C6425" s="1" t="str">
        <f>IFERROR(__xludf.DUMMYFUNCTION("GOOGLETRANSLATE(A6425,""en"",""pt-br"")"),"doentio")</f>
        <v>doentio</v>
      </c>
      <c r="D6425" s="1" t="str">
        <f>IFERROR(__xludf.DUMMYFUNCTION("GOOGLETRANSLATE(B6425,""en"",""pt-br"")"),"negativo")</f>
        <v>negativo</v>
      </c>
    </row>
    <row r="6426" ht="15.75" customHeight="1">
      <c r="A6426" s="2" t="s">
        <v>6423</v>
      </c>
      <c r="B6426" s="2" t="s">
        <v>3</v>
      </c>
      <c r="C6426" s="1" t="str">
        <f>IFERROR(__xludf.DUMMYFUNCTION("GOOGLETRANSLATE(A6426,""en"",""pt-br"")"),"indizível")</f>
        <v>indizível</v>
      </c>
      <c r="D6426" s="1" t="str">
        <f>IFERROR(__xludf.DUMMYFUNCTION("GOOGLETRANSLATE(B6426,""en"",""pt-br"")"),"negativo")</f>
        <v>negativo</v>
      </c>
    </row>
    <row r="6427" ht="15.75" customHeight="1">
      <c r="A6427" s="2" t="s">
        <v>6424</v>
      </c>
      <c r="B6427" s="2" t="s">
        <v>3</v>
      </c>
      <c r="C6427" s="1" t="str">
        <f>IFERROR(__xludf.DUMMYFUNCTION("GOOGLETRANSLATE(A6427,""en"",""pt-br"")"),"unspeakablely")</f>
        <v>unspeakablely</v>
      </c>
      <c r="D6427" s="1" t="str">
        <f>IFERROR(__xludf.DUMMYFUNCTION("GOOGLETRANSLATE(B6427,""en"",""pt-br"")"),"negativo")</f>
        <v>negativo</v>
      </c>
    </row>
    <row r="6428" ht="15.75" customHeight="1">
      <c r="A6428" s="2" t="s">
        <v>6425</v>
      </c>
      <c r="B6428" s="2" t="s">
        <v>3</v>
      </c>
      <c r="C6428" s="1" t="str">
        <f>IFERROR(__xludf.DUMMYFUNCTION("GOOGLETRANSLATE(A6428,""en"",""pt-br"")"),"indeterminado")</f>
        <v>indeterminado</v>
      </c>
      <c r="D6428" s="1" t="str">
        <f>IFERROR(__xludf.DUMMYFUNCTION("GOOGLETRANSLATE(B6428,""en"",""pt-br"")"),"negativo")</f>
        <v>negativo</v>
      </c>
    </row>
    <row r="6429" ht="15.75" customHeight="1">
      <c r="A6429" s="2" t="s">
        <v>6426</v>
      </c>
      <c r="B6429" s="2" t="s">
        <v>3</v>
      </c>
      <c r="C6429" s="1" t="str">
        <f>IFERROR(__xludf.DUMMYFUNCTION("GOOGLETRANSLATE(A6429,""en"",""pt-br"")"),"instável")</f>
        <v>instável</v>
      </c>
      <c r="D6429" s="1" t="str">
        <f>IFERROR(__xludf.DUMMYFUNCTION("GOOGLETRANSLATE(B6429,""en"",""pt-br"")"),"negativo")</f>
        <v>negativo</v>
      </c>
    </row>
    <row r="6430" ht="15.75" customHeight="1">
      <c r="A6430" s="2" t="s">
        <v>6427</v>
      </c>
      <c r="B6430" s="2" t="s">
        <v>3</v>
      </c>
      <c r="C6430" s="1" t="str">
        <f>IFERROR(__xludf.DUMMYFUNCTION("GOOGLETRANSLATE(A6430,""en"",""pt-br"")"),"unsteadily")</f>
        <v>unsteadily</v>
      </c>
      <c r="D6430" s="1" t="str">
        <f>IFERROR(__xludf.DUMMYFUNCTION("GOOGLETRANSLATE(B6430,""en"",""pt-br"")"),"negativo")</f>
        <v>negativo</v>
      </c>
    </row>
    <row r="6431" ht="15.75" customHeight="1">
      <c r="A6431" s="2" t="s">
        <v>6428</v>
      </c>
      <c r="B6431" s="2" t="s">
        <v>3</v>
      </c>
      <c r="C6431" s="1" t="str">
        <f>IFERROR(__xludf.DUMMYFUNCTION("GOOGLETRANSLATE(A6431,""en"",""pt-br"")"),"instabilidade")</f>
        <v>instabilidade</v>
      </c>
      <c r="D6431" s="1" t="str">
        <f>IFERROR(__xludf.DUMMYFUNCTION("GOOGLETRANSLATE(B6431,""en"",""pt-br"")"),"negativo")</f>
        <v>negativo</v>
      </c>
    </row>
    <row r="6432" ht="15.75" customHeight="1">
      <c r="A6432" s="2" t="s">
        <v>6429</v>
      </c>
      <c r="B6432" s="2" t="s">
        <v>3</v>
      </c>
      <c r="C6432" s="1" t="str">
        <f>IFERROR(__xludf.DUMMYFUNCTION("GOOGLETRANSLATE(A6432,""en"",""pt-br"")"),"instável")</f>
        <v>instável</v>
      </c>
      <c r="D6432" s="1" t="str">
        <f>IFERROR(__xludf.DUMMYFUNCTION("GOOGLETRANSLATE(B6432,""en"",""pt-br"")"),"negativo")</f>
        <v>negativo</v>
      </c>
    </row>
    <row r="6433" ht="15.75" customHeight="1">
      <c r="A6433" s="2" t="s">
        <v>6430</v>
      </c>
      <c r="B6433" s="2" t="s">
        <v>3</v>
      </c>
      <c r="C6433" s="1" t="str">
        <f>IFERROR(__xludf.DUMMYFUNCTION("GOOGLETRANSLATE(A6433,""en"",""pt-br"")"),"mal sucedido")</f>
        <v>mal sucedido</v>
      </c>
      <c r="D6433" s="1" t="str">
        <f>IFERROR(__xludf.DUMMYFUNCTION("GOOGLETRANSLATE(B6433,""en"",""pt-br"")"),"negativo")</f>
        <v>negativo</v>
      </c>
    </row>
    <row r="6434" ht="15.75" customHeight="1">
      <c r="A6434" s="2" t="s">
        <v>6431</v>
      </c>
      <c r="B6434" s="2" t="s">
        <v>3</v>
      </c>
      <c r="C6434" s="1" t="str">
        <f>IFERROR(__xludf.DUMMYFUNCTION("GOOGLETRANSLATE(A6434,""en"",""pt-br"")"),"sem sucesso")</f>
        <v>sem sucesso</v>
      </c>
      <c r="D6434" s="1" t="str">
        <f>IFERROR(__xludf.DUMMYFUNCTION("GOOGLETRANSLATE(B6434,""en"",""pt-br"")"),"negativo")</f>
        <v>negativo</v>
      </c>
    </row>
    <row r="6435" ht="15.75" customHeight="1">
      <c r="A6435" s="2" t="s">
        <v>6432</v>
      </c>
      <c r="B6435" s="2" t="s">
        <v>3</v>
      </c>
      <c r="C6435" s="1" t="str">
        <f>IFERROR(__xludf.DUMMYFUNCTION("GOOGLETRANSLATE(A6435,""en"",""pt-br"")"),"sem suporte")</f>
        <v>sem suporte</v>
      </c>
      <c r="D6435" s="1" t="str">
        <f>IFERROR(__xludf.DUMMYFUNCTION("GOOGLETRANSLATE(B6435,""en"",""pt-br"")"),"negativo")</f>
        <v>negativo</v>
      </c>
    </row>
    <row r="6436" ht="15.75" customHeight="1">
      <c r="A6436" s="2" t="s">
        <v>6433</v>
      </c>
      <c r="B6436" s="2" t="s">
        <v>3</v>
      </c>
      <c r="C6436" s="1" t="str">
        <f>IFERROR(__xludf.DUMMYFUNCTION("GOOGLETRANSLATE(A6436,""en"",""pt-br"")"),"unsupportive")</f>
        <v>unsupportive</v>
      </c>
      <c r="D6436" s="1" t="str">
        <f>IFERROR(__xludf.DUMMYFUNCTION("GOOGLETRANSLATE(B6436,""en"",""pt-br"")"),"negativo")</f>
        <v>negativo</v>
      </c>
    </row>
    <row r="6437" ht="15.75" customHeight="1">
      <c r="A6437" s="2" t="s">
        <v>6434</v>
      </c>
      <c r="B6437" s="2" t="s">
        <v>3</v>
      </c>
      <c r="C6437" s="1" t="str">
        <f>IFERROR(__xludf.DUMMYFUNCTION("GOOGLETRANSLATE(A6437,""en"",""pt-br"")"),"inseguro")</f>
        <v>inseguro</v>
      </c>
      <c r="D6437" s="1" t="str">
        <f>IFERROR(__xludf.DUMMYFUNCTION("GOOGLETRANSLATE(B6437,""en"",""pt-br"")"),"negativo")</f>
        <v>negativo</v>
      </c>
    </row>
    <row r="6438" ht="15.75" customHeight="1">
      <c r="A6438" s="2" t="s">
        <v>6435</v>
      </c>
      <c r="B6438" s="2" t="s">
        <v>3</v>
      </c>
      <c r="C6438" s="1" t="str">
        <f>IFERROR(__xludf.DUMMYFUNCTION("GOOGLETRANSLATE(A6438,""en"",""pt-br"")"),"confiante")</f>
        <v>confiante</v>
      </c>
      <c r="D6438" s="1" t="str">
        <f>IFERROR(__xludf.DUMMYFUNCTION("GOOGLETRANSLATE(B6438,""en"",""pt-br"")"),"negativo")</f>
        <v>negativo</v>
      </c>
    </row>
    <row r="6439" ht="15.75" customHeight="1">
      <c r="A6439" s="2" t="s">
        <v>6436</v>
      </c>
      <c r="B6439" s="2" t="s">
        <v>3</v>
      </c>
      <c r="C6439" s="1" t="str">
        <f>IFERROR(__xludf.DUMMYFUNCTION("GOOGLETRANSLATE(A6439,""en"",""pt-br"")"),"insustentável")</f>
        <v>insustentável</v>
      </c>
      <c r="D6439" s="1" t="str">
        <f>IFERROR(__xludf.DUMMYFUNCTION("GOOGLETRANSLATE(B6439,""en"",""pt-br"")"),"negativo")</f>
        <v>negativo</v>
      </c>
    </row>
    <row r="6440" ht="15.75" customHeight="1">
      <c r="A6440" s="2" t="s">
        <v>6437</v>
      </c>
      <c r="B6440" s="2" t="s">
        <v>3</v>
      </c>
      <c r="C6440" s="1" t="str">
        <f>IFERROR(__xludf.DUMMYFUNCTION("GOOGLETRANSLATE(A6440,""en"",""pt-br"")"),"insustentável")</f>
        <v>insustentável</v>
      </c>
      <c r="D6440" s="1" t="str">
        <f>IFERROR(__xludf.DUMMYFUNCTION("GOOGLETRANSLATE(B6440,""en"",""pt-br"")"),"negativo")</f>
        <v>negativo</v>
      </c>
    </row>
    <row r="6441" ht="15.75" customHeight="1">
      <c r="A6441" s="2" t="s">
        <v>6438</v>
      </c>
      <c r="B6441" s="2" t="s">
        <v>3</v>
      </c>
      <c r="C6441" s="1" t="str">
        <f>IFERROR(__xludf.DUMMYFUNCTION("GOOGLETRANSLATE(A6441,""en"",""pt-br"")"),"não testado")</f>
        <v>não testado</v>
      </c>
      <c r="D6441" s="1" t="str">
        <f>IFERROR(__xludf.DUMMYFUNCTION("GOOGLETRANSLATE(B6441,""en"",""pt-br"")"),"negativo")</f>
        <v>negativo</v>
      </c>
    </row>
    <row r="6442" ht="15.75" customHeight="1">
      <c r="A6442" s="2" t="s">
        <v>6439</v>
      </c>
      <c r="B6442" s="2" t="s">
        <v>3</v>
      </c>
      <c r="C6442" s="1" t="str">
        <f>IFERROR(__xludf.DUMMYFUNCTION("GOOGLETRANSLATE(A6442,""en"",""pt-br"")"),"impensável")</f>
        <v>impensável</v>
      </c>
      <c r="D6442" s="1" t="str">
        <f>IFERROR(__xludf.DUMMYFUNCTION("GOOGLETRANSLATE(B6442,""en"",""pt-br"")"),"negativo")</f>
        <v>negativo</v>
      </c>
    </row>
    <row r="6443" ht="15.75" customHeight="1">
      <c r="A6443" s="2" t="s">
        <v>6440</v>
      </c>
      <c r="B6443" s="2" t="s">
        <v>3</v>
      </c>
      <c r="C6443" s="1" t="str">
        <f>IFERROR(__xludf.DUMMYFUNCTION("GOOGLETRANSLATE(A6443,""en"",""pt-br"")"),"inconcebivelmente")</f>
        <v>inconcebivelmente</v>
      </c>
      <c r="D6443" s="1" t="str">
        <f>IFERROR(__xludf.DUMMYFUNCTION("GOOGLETRANSLATE(B6443,""en"",""pt-br"")"),"negativo")</f>
        <v>negativo</v>
      </c>
    </row>
    <row r="6444" ht="15.75" customHeight="1">
      <c r="A6444" s="2" t="s">
        <v>6441</v>
      </c>
      <c r="B6444" s="2" t="s">
        <v>3</v>
      </c>
      <c r="C6444" s="1" t="str">
        <f>IFERROR(__xludf.DUMMYFUNCTION("GOOGLETRANSLATE(A6444,""en"",""pt-br"")"),"intempestivo")</f>
        <v>intempestivo</v>
      </c>
      <c r="D6444" s="1" t="str">
        <f>IFERROR(__xludf.DUMMYFUNCTION("GOOGLETRANSLATE(B6444,""en"",""pt-br"")"),"negativo")</f>
        <v>negativo</v>
      </c>
    </row>
    <row r="6445" ht="15.75" customHeight="1">
      <c r="A6445" s="2" t="s">
        <v>6442</v>
      </c>
      <c r="B6445" s="2" t="s">
        <v>3</v>
      </c>
      <c r="C6445" s="1" t="str">
        <f>IFERROR(__xludf.DUMMYFUNCTION("GOOGLETRANSLATE(A6445,""en"",""pt-br"")"),"intocado")</f>
        <v>intocado</v>
      </c>
      <c r="D6445" s="1" t="str">
        <f>IFERROR(__xludf.DUMMYFUNCTION("GOOGLETRANSLATE(B6445,""en"",""pt-br"")"),"negativo")</f>
        <v>negativo</v>
      </c>
    </row>
    <row r="6446" ht="15.75" customHeight="1">
      <c r="A6446" s="2" t="s">
        <v>6443</v>
      </c>
      <c r="B6446" s="2" t="s">
        <v>3</v>
      </c>
      <c r="C6446" s="1" t="str">
        <f>IFERROR(__xludf.DUMMYFUNCTION("GOOGLETRANSLATE(A6446,""en"",""pt-br"")"),"falso")</f>
        <v>falso</v>
      </c>
      <c r="D6446" s="1" t="str">
        <f>IFERROR(__xludf.DUMMYFUNCTION("GOOGLETRANSLATE(B6446,""en"",""pt-br"")"),"negativo")</f>
        <v>negativo</v>
      </c>
    </row>
    <row r="6447" ht="15.75" customHeight="1">
      <c r="A6447" s="2" t="s">
        <v>6444</v>
      </c>
      <c r="B6447" s="2" t="s">
        <v>3</v>
      </c>
      <c r="C6447" s="1" t="str">
        <f>IFERROR(__xludf.DUMMYFUNCTION("GOOGLETRANSLATE(A6447,""en"",""pt-br"")"),"desonesto")</f>
        <v>desonesto</v>
      </c>
      <c r="D6447" s="1" t="str">
        <f>IFERROR(__xludf.DUMMYFUNCTION("GOOGLETRANSLATE(B6447,""en"",""pt-br"")"),"negativo")</f>
        <v>negativo</v>
      </c>
    </row>
    <row r="6448" ht="15.75" customHeight="1">
      <c r="A6448" s="2" t="s">
        <v>6445</v>
      </c>
      <c r="B6448" s="2" t="s">
        <v>3</v>
      </c>
      <c r="C6448" s="1" t="str">
        <f>IFERROR(__xludf.DUMMYFUNCTION("GOOGLETRANSLATE(A6448,""en"",""pt-br"")"),"untruthful")</f>
        <v>untruthful</v>
      </c>
      <c r="D6448" s="1" t="str">
        <f>IFERROR(__xludf.DUMMYFUNCTION("GOOGLETRANSLATE(B6448,""en"",""pt-br"")"),"negativo")</f>
        <v>negativo</v>
      </c>
    </row>
    <row r="6449" ht="15.75" customHeight="1">
      <c r="A6449" s="2" t="s">
        <v>6446</v>
      </c>
      <c r="B6449" s="2" t="s">
        <v>3</v>
      </c>
      <c r="C6449" s="1" t="str">
        <f>IFERROR(__xludf.DUMMYFUNCTION("GOOGLETRANSLATE(A6449,""en"",""pt-br"")"),"inutilizável")</f>
        <v>inutilizável</v>
      </c>
      <c r="D6449" s="1" t="str">
        <f>IFERROR(__xludf.DUMMYFUNCTION("GOOGLETRANSLATE(B6449,""en"",""pt-br"")"),"negativo")</f>
        <v>negativo</v>
      </c>
    </row>
    <row r="6450" ht="15.75" customHeight="1">
      <c r="A6450" s="2" t="s">
        <v>6447</v>
      </c>
      <c r="B6450" s="2" t="s">
        <v>3</v>
      </c>
      <c r="C6450" s="1" t="str">
        <f>IFERROR(__xludf.DUMMYFUNCTION("GOOGLETRANSLATE(A6450,""en"",""pt-br"")"),"unusably")</f>
        <v>unusably</v>
      </c>
      <c r="D6450" s="1" t="str">
        <f>IFERROR(__xludf.DUMMYFUNCTION("GOOGLETRANSLATE(B6450,""en"",""pt-br"")"),"negativo")</f>
        <v>negativo</v>
      </c>
    </row>
    <row r="6451" ht="15.75" customHeight="1">
      <c r="A6451" s="2" t="s">
        <v>6448</v>
      </c>
      <c r="B6451" s="2" t="s">
        <v>3</v>
      </c>
      <c r="C6451" s="1" t="str">
        <f>IFERROR(__xludf.DUMMYFUNCTION("GOOGLETRANSLATE(A6451,""en"",""pt-br"")"),"unuseable")</f>
        <v>unuseable</v>
      </c>
      <c r="D6451" s="1" t="str">
        <f>IFERROR(__xludf.DUMMYFUNCTION("GOOGLETRANSLATE(B6451,""en"",""pt-br"")"),"negativo")</f>
        <v>negativo</v>
      </c>
    </row>
    <row r="6452" ht="15.75" customHeight="1">
      <c r="A6452" s="2" t="s">
        <v>6449</v>
      </c>
      <c r="B6452" s="2" t="s">
        <v>3</v>
      </c>
      <c r="C6452" s="1" t="str">
        <f>IFERROR(__xludf.DUMMYFUNCTION("GOOGLETRANSLATE(A6452,""en"",""pt-br"")"),"unuseably")</f>
        <v>unuseably</v>
      </c>
      <c r="D6452" s="1" t="str">
        <f>IFERROR(__xludf.DUMMYFUNCTION("GOOGLETRANSLATE(B6452,""en"",""pt-br"")"),"negativo")</f>
        <v>negativo</v>
      </c>
    </row>
    <row r="6453" ht="15.75" customHeight="1">
      <c r="A6453" s="2" t="s">
        <v>6450</v>
      </c>
      <c r="B6453" s="2" t="s">
        <v>3</v>
      </c>
      <c r="C6453" s="1" t="str">
        <f>IFERROR(__xludf.DUMMYFUNCTION("GOOGLETRANSLATE(A6453,""en"",""pt-br"")"),"incomum")</f>
        <v>incomum</v>
      </c>
      <c r="D6453" s="1" t="str">
        <f>IFERROR(__xludf.DUMMYFUNCTION("GOOGLETRANSLATE(B6453,""en"",""pt-br"")"),"negativo")</f>
        <v>negativo</v>
      </c>
    </row>
    <row r="6454" ht="15.75" customHeight="1">
      <c r="A6454" s="2" t="s">
        <v>6451</v>
      </c>
      <c r="B6454" s="2" t="s">
        <v>3</v>
      </c>
      <c r="C6454" s="1" t="str">
        <f>IFERROR(__xludf.DUMMYFUNCTION("GOOGLETRANSLATE(A6454,""en"",""pt-br"")"),"incomumente")</f>
        <v>incomumente</v>
      </c>
      <c r="D6454" s="1" t="str">
        <f>IFERROR(__xludf.DUMMYFUNCTION("GOOGLETRANSLATE(B6454,""en"",""pt-br"")"),"negativo")</f>
        <v>negativo</v>
      </c>
    </row>
    <row r="6455" ht="15.75" customHeight="1">
      <c r="A6455" s="2" t="s">
        <v>6452</v>
      </c>
      <c r="B6455" s="2" t="s">
        <v>3</v>
      </c>
      <c r="C6455" s="1" t="str">
        <f>IFERROR(__xludf.DUMMYFUNCTION("GOOGLETRANSLATE(A6455,""en"",""pt-br"")"),"unviewable")</f>
        <v>unviewable</v>
      </c>
      <c r="D6455" s="1" t="str">
        <f>IFERROR(__xludf.DUMMYFUNCTION("GOOGLETRANSLATE(B6455,""en"",""pt-br"")"),"negativo")</f>
        <v>negativo</v>
      </c>
    </row>
    <row r="6456" ht="15.75" customHeight="1">
      <c r="A6456" s="2" t="s">
        <v>6453</v>
      </c>
      <c r="B6456" s="2" t="s">
        <v>3</v>
      </c>
      <c r="C6456" s="1" t="str">
        <f>IFERROR(__xludf.DUMMYFUNCTION("GOOGLETRANSLATE(A6456,""en"",""pt-br"")"),"não desejado")</f>
        <v>não desejado</v>
      </c>
      <c r="D6456" s="1" t="str">
        <f>IFERROR(__xludf.DUMMYFUNCTION("GOOGLETRANSLATE(B6456,""en"",""pt-br"")"),"negativo")</f>
        <v>negativo</v>
      </c>
    </row>
    <row r="6457" ht="15.75" customHeight="1">
      <c r="A6457" s="2" t="s">
        <v>6454</v>
      </c>
      <c r="B6457" s="2" t="s">
        <v>3</v>
      </c>
      <c r="C6457" s="1" t="str">
        <f>IFERROR(__xludf.DUMMYFUNCTION("GOOGLETRANSLATE(A6457,""en"",""pt-br"")"),"injustificável")</f>
        <v>injustificável</v>
      </c>
      <c r="D6457" s="1" t="str">
        <f>IFERROR(__xludf.DUMMYFUNCTION("GOOGLETRANSLATE(B6457,""en"",""pt-br"")"),"negativo")</f>
        <v>negativo</v>
      </c>
    </row>
    <row r="6458" ht="15.75" customHeight="1">
      <c r="A6458" s="2" t="s">
        <v>6455</v>
      </c>
      <c r="B6458" s="2" t="s">
        <v>3</v>
      </c>
      <c r="C6458" s="1" t="str">
        <f>IFERROR(__xludf.DUMMYFUNCTION("GOOGLETRANSLATE(A6458,""en"",""pt-br"")"),"inassistível")</f>
        <v>inassistível</v>
      </c>
      <c r="D6458" s="1" t="str">
        <f>IFERROR(__xludf.DUMMYFUNCTION("GOOGLETRANSLATE(B6458,""en"",""pt-br"")"),"negativo")</f>
        <v>negativo</v>
      </c>
    </row>
    <row r="6459" ht="15.75" customHeight="1">
      <c r="A6459" s="2" t="s">
        <v>6456</v>
      </c>
      <c r="B6459" s="2" t="s">
        <v>14</v>
      </c>
      <c r="C6459" s="1" t="str">
        <f>IFERROR(__xludf.DUMMYFUNCTION("GOOGLETRANSLATE(A6459,""en"",""pt-br"")"),"inabalável")</f>
        <v>inabalável</v>
      </c>
      <c r="D6459" s="1" t="str">
        <f>IFERROR(__xludf.DUMMYFUNCTION("GOOGLETRANSLATE(B6459,""en"",""pt-br"")"),"positivo")</f>
        <v>positivo</v>
      </c>
    </row>
    <row r="6460" ht="15.75" customHeight="1">
      <c r="A6460" s="2" t="s">
        <v>6457</v>
      </c>
      <c r="B6460" s="2" t="s">
        <v>3</v>
      </c>
      <c r="C6460" s="1" t="str">
        <f>IFERROR(__xludf.DUMMYFUNCTION("GOOGLETRANSLATE(A6460,""en"",""pt-br"")"),"indesejável")</f>
        <v>indesejável</v>
      </c>
      <c r="D6460" s="1" t="str">
        <f>IFERROR(__xludf.DUMMYFUNCTION("GOOGLETRANSLATE(B6460,""en"",""pt-br"")"),"negativo")</f>
        <v>negativo</v>
      </c>
    </row>
    <row r="6461" ht="15.75" customHeight="1">
      <c r="A6461" s="2" t="s">
        <v>6458</v>
      </c>
      <c r="B6461" s="2" t="s">
        <v>3</v>
      </c>
      <c r="C6461" s="1" t="str">
        <f>IFERROR(__xludf.DUMMYFUNCTION("GOOGLETRANSLATE(A6461,""en"",""pt-br"")"),"indisposto")</f>
        <v>indisposto</v>
      </c>
      <c r="D6461" s="1" t="str">
        <f>IFERROR(__xludf.DUMMYFUNCTION("GOOGLETRANSLATE(B6461,""en"",""pt-br"")"),"negativo")</f>
        <v>negativo</v>
      </c>
    </row>
    <row r="6462" ht="15.75" customHeight="1">
      <c r="A6462" s="2" t="s">
        <v>6459</v>
      </c>
      <c r="B6462" s="2" t="s">
        <v>3</v>
      </c>
      <c r="C6462" s="1" t="str">
        <f>IFERROR(__xludf.DUMMYFUNCTION("GOOGLETRANSLATE(A6462,""en"",""pt-br"")"),"pesado")</f>
        <v>pesado</v>
      </c>
      <c r="D6462" s="1" t="str">
        <f>IFERROR(__xludf.DUMMYFUNCTION("GOOGLETRANSLATE(B6462,""en"",""pt-br"")"),"negativo")</f>
        <v>negativo</v>
      </c>
    </row>
    <row r="6463" ht="15.75" customHeight="1">
      <c r="A6463" s="2" t="s">
        <v>6460</v>
      </c>
      <c r="B6463" s="2" t="s">
        <v>3</v>
      </c>
      <c r="C6463" s="1" t="str">
        <f>IFERROR(__xludf.DUMMYFUNCTION("GOOGLETRANSLATE(A6463,""en"",""pt-br"")"),"relutante")</f>
        <v>relutante</v>
      </c>
      <c r="D6463" s="1" t="str">
        <f>IFERROR(__xludf.DUMMYFUNCTION("GOOGLETRANSLATE(B6463,""en"",""pt-br"")"),"negativo")</f>
        <v>negativo</v>
      </c>
    </row>
    <row r="6464" ht="15.75" customHeight="1">
      <c r="A6464" s="2" t="s">
        <v>6461</v>
      </c>
      <c r="B6464" s="2" t="s">
        <v>3</v>
      </c>
      <c r="C6464" s="1" t="str">
        <f>IFERROR(__xludf.DUMMYFUNCTION("GOOGLETRANSLATE(A6464,""en"",""pt-br"")"),"de má vontade")</f>
        <v>de má vontade</v>
      </c>
      <c r="D6464" s="1" t="str">
        <f>IFERROR(__xludf.DUMMYFUNCTION("GOOGLETRANSLATE(B6464,""en"",""pt-br"")"),"negativo")</f>
        <v>negativo</v>
      </c>
    </row>
    <row r="6465" ht="15.75" customHeight="1">
      <c r="A6465" s="2" t="s">
        <v>6462</v>
      </c>
      <c r="B6465" s="2" t="s">
        <v>3</v>
      </c>
      <c r="C6465" s="1" t="str">
        <f>IFERROR(__xludf.DUMMYFUNCTION("GOOGLETRANSLATE(A6465,""en"",""pt-br"")"),"falta de vontade")</f>
        <v>falta de vontade</v>
      </c>
      <c r="D6465" s="1" t="str">
        <f>IFERROR(__xludf.DUMMYFUNCTION("GOOGLETRANSLATE(B6465,""en"",""pt-br"")"),"negativo")</f>
        <v>negativo</v>
      </c>
    </row>
    <row r="6466" ht="15.75" customHeight="1">
      <c r="A6466" s="2" t="s">
        <v>6463</v>
      </c>
      <c r="B6466" s="2" t="s">
        <v>3</v>
      </c>
      <c r="C6466" s="1" t="str">
        <f>IFERROR(__xludf.DUMMYFUNCTION("GOOGLETRANSLATE(A6466,""en"",""pt-br"")"),"imprudente")</f>
        <v>imprudente</v>
      </c>
      <c r="D6466" s="1" t="str">
        <f>IFERROR(__xludf.DUMMYFUNCTION("GOOGLETRANSLATE(B6466,""en"",""pt-br"")"),"negativo")</f>
        <v>negativo</v>
      </c>
    </row>
    <row r="6467" ht="15.75" customHeight="1">
      <c r="A6467" s="2" t="s">
        <v>6464</v>
      </c>
      <c r="B6467" s="2" t="s">
        <v>3</v>
      </c>
      <c r="C6467" s="1" t="str">
        <f>IFERROR(__xludf.DUMMYFUNCTION("GOOGLETRANSLATE(A6467,""en"",""pt-br"")"),"imprudentemente")</f>
        <v>imprudentemente</v>
      </c>
      <c r="D6467" s="1" t="str">
        <f>IFERROR(__xludf.DUMMYFUNCTION("GOOGLETRANSLATE(B6467,""en"",""pt-br"")"),"negativo")</f>
        <v>negativo</v>
      </c>
    </row>
    <row r="6468" ht="15.75" customHeight="1">
      <c r="A6468" s="2" t="s">
        <v>6465</v>
      </c>
      <c r="B6468" s="2" t="s">
        <v>3</v>
      </c>
      <c r="C6468" s="1" t="str">
        <f>IFERROR(__xludf.DUMMYFUNCTION("GOOGLETRANSLATE(A6468,""en"",""pt-br"")"),"impraticável")</f>
        <v>impraticável</v>
      </c>
      <c r="D6468" s="1" t="str">
        <f>IFERROR(__xludf.DUMMYFUNCTION("GOOGLETRANSLATE(B6468,""en"",""pt-br"")"),"negativo")</f>
        <v>negativo</v>
      </c>
    </row>
    <row r="6469" ht="15.75" customHeight="1">
      <c r="A6469" s="2" t="s">
        <v>6466</v>
      </c>
      <c r="B6469" s="2" t="s">
        <v>3</v>
      </c>
      <c r="C6469" s="1" t="str">
        <f>IFERROR(__xludf.DUMMYFUNCTION("GOOGLETRANSLATE(A6469,""en"",""pt-br"")"),"indigno")</f>
        <v>indigno</v>
      </c>
      <c r="D6469" s="1" t="str">
        <f>IFERROR(__xludf.DUMMYFUNCTION("GOOGLETRANSLATE(B6469,""en"",""pt-br"")"),"negativo")</f>
        <v>negativo</v>
      </c>
    </row>
    <row r="6470" ht="15.75" customHeight="1">
      <c r="A6470" s="2" t="s">
        <v>6467</v>
      </c>
      <c r="B6470" s="2" t="s">
        <v>3</v>
      </c>
      <c r="C6470" s="1" t="str">
        <f>IFERROR(__xludf.DUMMYFUNCTION("GOOGLETRANSLATE(A6470,""en"",""pt-br"")"),"inflexível")</f>
        <v>inflexível</v>
      </c>
      <c r="D6470" s="1" t="str">
        <f>IFERROR(__xludf.DUMMYFUNCTION("GOOGLETRANSLATE(B6470,""en"",""pt-br"")"),"negativo")</f>
        <v>negativo</v>
      </c>
    </row>
    <row r="6471" ht="15.75" customHeight="1">
      <c r="A6471" s="2" t="s">
        <v>6468</v>
      </c>
      <c r="B6471" s="2" t="s">
        <v>14</v>
      </c>
      <c r="C6471" s="1" t="str">
        <f>IFERROR(__xludf.DUMMYFUNCTION("GOOGLETRANSLATE(A6471,""en"",""pt-br"")"),"otimista")</f>
        <v>otimista</v>
      </c>
      <c r="D6471" s="1" t="str">
        <f>IFERROR(__xludf.DUMMYFUNCTION("GOOGLETRANSLATE(B6471,""en"",""pt-br"")"),"positivo")</f>
        <v>positivo</v>
      </c>
    </row>
    <row r="6472" ht="15.75" customHeight="1">
      <c r="A6472" s="2" t="s">
        <v>6469</v>
      </c>
      <c r="B6472" s="2" t="s">
        <v>3</v>
      </c>
      <c r="C6472" s="1" t="str">
        <f>IFERROR(__xludf.DUMMYFUNCTION("GOOGLETRANSLATE(A6472,""en"",""pt-br"")"),"censurar")</f>
        <v>censurar</v>
      </c>
      <c r="D6472" s="1" t="str">
        <f>IFERROR(__xludf.DUMMYFUNCTION("GOOGLETRANSLATE(B6472,""en"",""pt-br"")"),"negativo")</f>
        <v>negativo</v>
      </c>
    </row>
    <row r="6473" ht="15.75" customHeight="1">
      <c r="A6473" s="2" t="s">
        <v>6470</v>
      </c>
      <c r="B6473" s="2" t="s">
        <v>14</v>
      </c>
      <c r="C6473" s="1" t="str">
        <f>IFERROR(__xludf.DUMMYFUNCTION("GOOGLETRANSLATE(A6473,""en"",""pt-br"")"),"atualizável")</f>
        <v>atualizável</v>
      </c>
      <c r="D6473" s="1" t="str">
        <f>IFERROR(__xludf.DUMMYFUNCTION("GOOGLETRANSLATE(B6473,""en"",""pt-br"")"),"positivo")</f>
        <v>positivo</v>
      </c>
    </row>
    <row r="6474" ht="15.75" customHeight="1">
      <c r="A6474" s="2" t="s">
        <v>6471</v>
      </c>
      <c r="B6474" s="2" t="s">
        <v>14</v>
      </c>
      <c r="C6474" s="1" t="str">
        <f>IFERROR(__xludf.DUMMYFUNCTION("GOOGLETRANSLATE(A6474,""en"",""pt-br"")"),"atualizável")</f>
        <v>atualizável</v>
      </c>
      <c r="D6474" s="1" t="str">
        <f>IFERROR(__xludf.DUMMYFUNCTION("GOOGLETRANSLATE(B6474,""en"",""pt-br"")"),"positivo")</f>
        <v>positivo</v>
      </c>
    </row>
    <row r="6475" ht="15.75" customHeight="1">
      <c r="A6475" s="2" t="s">
        <v>6472</v>
      </c>
      <c r="B6475" s="2" t="s">
        <v>14</v>
      </c>
      <c r="C6475" s="1" t="str">
        <f>IFERROR(__xludf.DUMMYFUNCTION("GOOGLETRANSLATE(A6475,""en"",""pt-br"")"),"atualizado")</f>
        <v>atualizado</v>
      </c>
      <c r="D6475" s="1" t="str">
        <f>IFERROR(__xludf.DUMMYFUNCTION("GOOGLETRANSLATE(B6475,""en"",""pt-br"")"),"positivo")</f>
        <v>positivo</v>
      </c>
    </row>
    <row r="6476" ht="15.75" customHeight="1">
      <c r="A6476" s="2" t="s">
        <v>6473</v>
      </c>
      <c r="B6476" s="2" t="s">
        <v>3</v>
      </c>
      <c r="C6476" s="1" t="str">
        <f>IFERROR(__xludf.DUMMYFUNCTION("GOOGLETRANSLATE(A6476,""en"",""pt-br"")"),"agitação")</f>
        <v>agitação</v>
      </c>
      <c r="D6476" s="1" t="str">
        <f>IFERROR(__xludf.DUMMYFUNCTION("GOOGLETRANSLATE(B6476,""en"",""pt-br"")"),"negativo")</f>
        <v>negativo</v>
      </c>
    </row>
    <row r="6477" ht="15.75" customHeight="1">
      <c r="A6477" s="2" t="s">
        <v>6474</v>
      </c>
      <c r="B6477" s="2" t="s">
        <v>14</v>
      </c>
      <c r="C6477" s="1" t="str">
        <f>IFERROR(__xludf.DUMMYFUNCTION("GOOGLETRANSLATE(A6477,""en"",""pt-br"")"),"mantida")</f>
        <v>mantida</v>
      </c>
      <c r="D6477" s="1" t="str">
        <f>IFERROR(__xludf.DUMMYFUNCTION("GOOGLETRANSLATE(B6477,""en"",""pt-br"")"),"positivo")</f>
        <v>positivo</v>
      </c>
    </row>
    <row r="6478" ht="15.75" customHeight="1">
      <c r="A6478" s="2" t="s">
        <v>6475</v>
      </c>
      <c r="B6478" s="2" t="s">
        <v>14</v>
      </c>
      <c r="C6478" s="1" t="str">
        <f>IFERROR(__xludf.DUMMYFUNCTION("GOOGLETRANSLATE(A6478,""en"",""pt-br"")"),"Uphold")</f>
        <v>Uphold</v>
      </c>
      <c r="D6478" s="1" t="str">
        <f>IFERROR(__xludf.DUMMYFUNCTION("GOOGLETRANSLATE(B6478,""en"",""pt-br"")"),"positivo")</f>
        <v>positivo</v>
      </c>
    </row>
    <row r="6479" ht="15.75" customHeight="1">
      <c r="A6479" s="2" t="s">
        <v>6476</v>
      </c>
      <c r="B6479" s="2" t="s">
        <v>14</v>
      </c>
      <c r="C6479" s="1" t="str">
        <f>IFERROR(__xludf.DUMMYFUNCTION("GOOGLETRANSLATE(A6479,""en"",""pt-br"")"),"elevar")</f>
        <v>elevar</v>
      </c>
      <c r="D6479" s="1" t="str">
        <f>IFERROR(__xludf.DUMMYFUNCTION("GOOGLETRANSLATE(B6479,""en"",""pt-br"")"),"positivo")</f>
        <v>positivo</v>
      </c>
    </row>
    <row r="6480" ht="15.75" customHeight="1">
      <c r="A6480" s="2" t="s">
        <v>6477</v>
      </c>
      <c r="B6480" s="2" t="s">
        <v>14</v>
      </c>
      <c r="C6480" s="1" t="str">
        <f>IFERROR(__xludf.DUMMYFUNCTION("GOOGLETRANSLATE(A6480,""en"",""pt-br"")"),"inspirador")</f>
        <v>inspirador</v>
      </c>
      <c r="D6480" s="1" t="str">
        <f>IFERROR(__xludf.DUMMYFUNCTION("GOOGLETRANSLATE(B6480,""en"",""pt-br"")"),"positivo")</f>
        <v>positivo</v>
      </c>
    </row>
    <row r="6481" ht="15.75" customHeight="1">
      <c r="A6481" s="2" t="s">
        <v>6478</v>
      </c>
      <c r="B6481" s="2" t="s">
        <v>14</v>
      </c>
      <c r="C6481" s="1" t="str">
        <f>IFERROR(__xludf.DUMMYFUNCTION("GOOGLETRANSLATE(A6481,""en"",""pt-br"")"),"upliftingly")</f>
        <v>upliftingly</v>
      </c>
      <c r="D6481" s="1" t="str">
        <f>IFERROR(__xludf.DUMMYFUNCTION("GOOGLETRANSLATE(B6481,""en"",""pt-br"")"),"positivo")</f>
        <v>positivo</v>
      </c>
    </row>
    <row r="6482" ht="15.75" customHeight="1">
      <c r="A6482" s="2" t="s">
        <v>6479</v>
      </c>
      <c r="B6482" s="2" t="s">
        <v>14</v>
      </c>
      <c r="C6482" s="1" t="str">
        <f>IFERROR(__xludf.DUMMYFUNCTION("GOOGLETRANSLATE(A6482,""en"",""pt-br"")"),"elevação")</f>
        <v>elevação</v>
      </c>
      <c r="D6482" s="1" t="str">
        <f>IFERROR(__xludf.DUMMYFUNCTION("GOOGLETRANSLATE(B6482,""en"",""pt-br"")"),"positivo")</f>
        <v>positivo</v>
      </c>
    </row>
    <row r="6483" ht="15.75" customHeight="1">
      <c r="A6483" s="2" t="s">
        <v>6480</v>
      </c>
      <c r="B6483" s="2" t="s">
        <v>3</v>
      </c>
      <c r="C6483" s="1" t="str">
        <f>IFERROR(__xludf.DUMMYFUNCTION("GOOGLETRANSLATE(A6483,""en"",""pt-br"")"),"revolta")</f>
        <v>revolta</v>
      </c>
      <c r="D6483" s="1" t="str">
        <f>IFERROR(__xludf.DUMMYFUNCTION("GOOGLETRANSLATE(B6483,""en"",""pt-br"")"),"negativo")</f>
        <v>negativo</v>
      </c>
    </row>
    <row r="6484" ht="15.75" customHeight="1">
      <c r="A6484" s="2" t="s">
        <v>6481</v>
      </c>
      <c r="B6484" s="2" t="s">
        <v>3</v>
      </c>
      <c r="C6484" s="1" t="str">
        <f>IFERROR(__xludf.DUMMYFUNCTION("GOOGLETRANSLATE(A6484,""en"",""pt-br"")"),"tumulto")</f>
        <v>tumulto</v>
      </c>
      <c r="D6484" s="1" t="str">
        <f>IFERROR(__xludf.DUMMYFUNCTION("GOOGLETRANSLATE(B6484,""en"",""pt-br"")"),"negativo")</f>
        <v>negativo</v>
      </c>
    </row>
    <row r="6485" ht="15.75" customHeight="1">
      <c r="A6485" s="2" t="s">
        <v>6482</v>
      </c>
      <c r="B6485" s="2" t="s">
        <v>3</v>
      </c>
      <c r="C6485" s="1" t="str">
        <f>IFERROR(__xludf.DUMMYFUNCTION("GOOGLETRANSLATE(A6485,""en"",""pt-br"")"),"barulhento")</f>
        <v>barulhento</v>
      </c>
      <c r="D6485" s="1" t="str">
        <f>IFERROR(__xludf.DUMMYFUNCTION("GOOGLETRANSLATE(B6485,""en"",""pt-br"")"),"negativo")</f>
        <v>negativo</v>
      </c>
    </row>
    <row r="6486" ht="15.75" customHeight="1">
      <c r="A6486" s="2" t="s">
        <v>6483</v>
      </c>
      <c r="B6486" s="2" t="s">
        <v>3</v>
      </c>
      <c r="C6486" s="1" t="str">
        <f>IFERROR(__xludf.DUMMYFUNCTION("GOOGLETRANSLATE(A6486,""en"",""pt-br"")"),"uproariously")</f>
        <v>uproariously</v>
      </c>
      <c r="D6486" s="1" t="str">
        <f>IFERROR(__xludf.DUMMYFUNCTION("GOOGLETRANSLATE(B6486,""en"",""pt-br"")"),"negativo")</f>
        <v>negativo</v>
      </c>
    </row>
    <row r="6487" ht="15.75" customHeight="1">
      <c r="A6487" s="2" t="s">
        <v>6484</v>
      </c>
      <c r="B6487" s="2" t="s">
        <v>3</v>
      </c>
      <c r="C6487" s="1" t="str">
        <f>IFERROR(__xludf.DUMMYFUNCTION("GOOGLETRANSLATE(A6487,""en"",""pt-br"")"),"uproarous")</f>
        <v>uproarous</v>
      </c>
      <c r="D6487" s="1" t="str">
        <f>IFERROR(__xludf.DUMMYFUNCTION("GOOGLETRANSLATE(B6487,""en"",""pt-br"")"),"negativo")</f>
        <v>negativo</v>
      </c>
    </row>
    <row r="6488" ht="15.75" customHeight="1">
      <c r="A6488" s="2" t="s">
        <v>6485</v>
      </c>
      <c r="B6488" s="2" t="s">
        <v>3</v>
      </c>
      <c r="C6488" s="1" t="str">
        <f>IFERROR(__xludf.DUMMYFUNCTION("GOOGLETRANSLATE(A6488,""en"",""pt-br"")"),"uproarously")</f>
        <v>uproarously</v>
      </c>
      <c r="D6488" s="1" t="str">
        <f>IFERROR(__xludf.DUMMYFUNCTION("GOOGLETRANSLATE(B6488,""en"",""pt-br"")"),"negativo")</f>
        <v>negativo</v>
      </c>
    </row>
    <row r="6489" ht="15.75" customHeight="1">
      <c r="A6489" s="2" t="s">
        <v>6486</v>
      </c>
      <c r="B6489" s="2" t="s">
        <v>3</v>
      </c>
      <c r="C6489" s="1" t="str">
        <f>IFERROR(__xludf.DUMMYFUNCTION("GOOGLETRANSLATE(A6489,""en"",""pt-br"")"),"desenraizamento")</f>
        <v>desenraizamento</v>
      </c>
      <c r="D6489" s="1" t="str">
        <f>IFERROR(__xludf.DUMMYFUNCTION("GOOGLETRANSLATE(B6489,""en"",""pt-br"")"),"negativo")</f>
        <v>negativo</v>
      </c>
    </row>
    <row r="6490" ht="15.75" customHeight="1">
      <c r="A6490" s="2" t="s">
        <v>6487</v>
      </c>
      <c r="B6490" s="2" t="s">
        <v>14</v>
      </c>
      <c r="C6490" s="1" t="str">
        <f>IFERROR(__xludf.DUMMYFUNCTION("GOOGLETRANSLATE(A6490,""en"",""pt-br"")"),"de luxo")</f>
        <v>de luxo</v>
      </c>
      <c r="D6490" s="1" t="str">
        <f>IFERROR(__xludf.DUMMYFUNCTION("GOOGLETRANSLATE(B6490,""en"",""pt-br"")"),"positivo")</f>
        <v>positivo</v>
      </c>
    </row>
    <row r="6491" ht="15.75" customHeight="1">
      <c r="A6491" s="2" t="s">
        <v>6488</v>
      </c>
      <c r="B6491" s="2" t="s">
        <v>3</v>
      </c>
      <c r="C6491" s="1" t="str">
        <f>IFERROR(__xludf.DUMMYFUNCTION("GOOGLETRANSLATE(A6491,""en"",""pt-br"")"),"chateado")</f>
        <v>chateado</v>
      </c>
      <c r="D6491" s="1" t="str">
        <f>IFERROR(__xludf.DUMMYFUNCTION("GOOGLETRANSLATE(B6491,""en"",""pt-br"")"),"negativo")</f>
        <v>negativo</v>
      </c>
    </row>
    <row r="6492" ht="15.75" customHeight="1">
      <c r="A6492" s="2" t="s">
        <v>6489</v>
      </c>
      <c r="B6492" s="2" t="s">
        <v>3</v>
      </c>
      <c r="C6492" s="1" t="str">
        <f>IFERROR(__xludf.DUMMYFUNCTION("GOOGLETRANSLATE(A6492,""en"",""pt-br"")"),"upseting")</f>
        <v>upseting</v>
      </c>
      <c r="D6492" s="1" t="str">
        <f>IFERROR(__xludf.DUMMYFUNCTION("GOOGLETRANSLATE(B6492,""en"",""pt-br"")"),"negativo")</f>
        <v>negativo</v>
      </c>
    </row>
    <row r="6493" ht="15.75" customHeight="1">
      <c r="A6493" s="2" t="s">
        <v>6490</v>
      </c>
      <c r="B6493" s="2" t="s">
        <v>3</v>
      </c>
      <c r="C6493" s="1" t="str">
        <f>IFERROR(__xludf.DUMMYFUNCTION("GOOGLETRANSLATE(A6493,""en"",""pt-br"")"),"viradas")</f>
        <v>viradas</v>
      </c>
      <c r="D6493" s="1" t="str">
        <f>IFERROR(__xludf.DUMMYFUNCTION("GOOGLETRANSLATE(B6493,""en"",""pt-br"")"),"negativo")</f>
        <v>negativo</v>
      </c>
    </row>
    <row r="6494" ht="15.75" customHeight="1">
      <c r="A6494" s="2" t="s">
        <v>6491</v>
      </c>
      <c r="B6494" s="2" t="s">
        <v>3</v>
      </c>
      <c r="C6494" s="1" t="str">
        <f>IFERROR(__xludf.DUMMYFUNCTION("GOOGLETRANSLATE(A6494,""en"",""pt-br"")"),"perturbador")</f>
        <v>perturbador</v>
      </c>
      <c r="D6494" s="1" t="str">
        <f>IFERROR(__xludf.DUMMYFUNCTION("GOOGLETRANSLATE(B6494,""en"",""pt-br"")"),"negativo")</f>
        <v>negativo</v>
      </c>
    </row>
    <row r="6495" ht="15.75" customHeight="1">
      <c r="A6495" s="2" t="s">
        <v>6492</v>
      </c>
      <c r="B6495" s="2" t="s">
        <v>3</v>
      </c>
      <c r="C6495" s="1" t="str">
        <f>IFERROR(__xludf.DUMMYFUNCTION("GOOGLETRANSLATE(A6495,""en"",""pt-br"")"),"upsettingly")</f>
        <v>upsettingly</v>
      </c>
      <c r="D6495" s="1" t="str">
        <f>IFERROR(__xludf.DUMMYFUNCTION("GOOGLETRANSLATE(B6495,""en"",""pt-br"")"),"negativo")</f>
        <v>negativo</v>
      </c>
    </row>
    <row r="6496" ht="15.75" customHeight="1">
      <c r="A6496" s="2" t="s">
        <v>6493</v>
      </c>
      <c r="B6496" s="2" t="s">
        <v>3</v>
      </c>
      <c r="C6496" s="1" t="str">
        <f>IFERROR(__xludf.DUMMYFUNCTION("GOOGLETRANSLATE(A6496,""en"",""pt-br"")"),"urgente")</f>
        <v>urgente</v>
      </c>
      <c r="D6496" s="1" t="str">
        <f>IFERROR(__xludf.DUMMYFUNCTION("GOOGLETRANSLATE(B6496,""en"",""pt-br"")"),"negativo")</f>
        <v>negativo</v>
      </c>
    </row>
    <row r="6497" ht="15.75" customHeight="1">
      <c r="A6497" s="2" t="s">
        <v>6494</v>
      </c>
      <c r="B6497" s="2" t="s">
        <v>14</v>
      </c>
      <c r="C6497" s="1" t="str">
        <f>IFERROR(__xludf.DUMMYFUNCTION("GOOGLETRANSLATE(A6497,""en"",""pt-br"")"),"utilizável")</f>
        <v>utilizável</v>
      </c>
      <c r="D6497" s="1" t="str">
        <f>IFERROR(__xludf.DUMMYFUNCTION("GOOGLETRANSLATE(B6497,""en"",""pt-br"")"),"positivo")</f>
        <v>positivo</v>
      </c>
    </row>
    <row r="6498" ht="15.75" customHeight="1">
      <c r="A6498" s="2" t="s">
        <v>6495</v>
      </c>
      <c r="B6498" s="2" t="s">
        <v>14</v>
      </c>
      <c r="C6498" s="1" t="str">
        <f>IFERROR(__xludf.DUMMYFUNCTION("GOOGLETRANSLATE(A6498,""en"",""pt-br"")"),"utilizável")</f>
        <v>utilizável</v>
      </c>
      <c r="D6498" s="1" t="str">
        <f>IFERROR(__xludf.DUMMYFUNCTION("GOOGLETRANSLATE(B6498,""en"",""pt-br"")"),"positivo")</f>
        <v>positivo</v>
      </c>
    </row>
    <row r="6499" ht="15.75" customHeight="1">
      <c r="A6499" s="2" t="s">
        <v>6496</v>
      </c>
      <c r="B6499" s="2" t="s">
        <v>14</v>
      </c>
      <c r="C6499" s="1" t="str">
        <f>IFERROR(__xludf.DUMMYFUNCTION("GOOGLETRANSLATE(A6499,""en"",""pt-br"")"),"útil")</f>
        <v>útil</v>
      </c>
      <c r="D6499" s="1" t="str">
        <f>IFERROR(__xludf.DUMMYFUNCTION("GOOGLETRANSLATE(B6499,""en"",""pt-br"")"),"positivo")</f>
        <v>positivo</v>
      </c>
    </row>
    <row r="6500" ht="15.75" customHeight="1">
      <c r="A6500" s="2" t="s">
        <v>6497</v>
      </c>
      <c r="B6500" s="2" t="s">
        <v>3</v>
      </c>
      <c r="C6500" s="1" t="str">
        <f>IFERROR(__xludf.DUMMYFUNCTION("GOOGLETRANSLATE(A6500,""en"",""pt-br"")"),"sem utilidade")</f>
        <v>sem utilidade</v>
      </c>
      <c r="D6500" s="1" t="str">
        <f>IFERROR(__xludf.DUMMYFUNCTION("GOOGLETRANSLATE(B6500,""en"",""pt-br"")"),"negativo")</f>
        <v>negativo</v>
      </c>
    </row>
    <row r="6501" ht="15.75" customHeight="1">
      <c r="A6501" s="2" t="s">
        <v>6498</v>
      </c>
      <c r="B6501" s="2" t="s">
        <v>14</v>
      </c>
      <c r="C6501" s="1" t="str">
        <f>IFERROR(__xludf.DUMMYFUNCTION("GOOGLETRANSLATE(A6501,""en"",""pt-br"")"),"amigo do usuário")</f>
        <v>amigo do usuário</v>
      </c>
      <c r="D6501" s="1" t="str">
        <f>IFERROR(__xludf.DUMMYFUNCTION("GOOGLETRANSLATE(B6501,""en"",""pt-br"")"),"positivo")</f>
        <v>positivo</v>
      </c>
    </row>
    <row r="6502" ht="15.75" customHeight="1">
      <c r="A6502" s="2" t="s">
        <v>6499</v>
      </c>
      <c r="B6502" s="2" t="s">
        <v>14</v>
      </c>
      <c r="C6502" s="1" t="str">
        <f>IFERROR(__xludf.DUMMYFUNCTION("GOOGLETRANSLATE(A6502,""en"",""pt-br"")"),"substituível pelo utilizador")</f>
        <v>substituível pelo utilizador</v>
      </c>
      <c r="D6502" s="1" t="str">
        <f>IFERROR(__xludf.DUMMYFUNCTION("GOOGLETRANSLATE(B6502,""en"",""pt-br"")"),"positivo")</f>
        <v>positivo</v>
      </c>
    </row>
    <row r="6503" ht="15.75" customHeight="1">
      <c r="A6503" s="2" t="s">
        <v>6500</v>
      </c>
      <c r="B6503" s="2" t="s">
        <v>3</v>
      </c>
      <c r="C6503" s="1" t="str">
        <f>IFERROR(__xludf.DUMMYFUNCTION("GOOGLETRANSLATE(A6503,""en"",""pt-br"")"),"usurpar")</f>
        <v>usurpar</v>
      </c>
      <c r="D6503" s="1" t="str">
        <f>IFERROR(__xludf.DUMMYFUNCTION("GOOGLETRANSLATE(B6503,""en"",""pt-br"")"),"negativo")</f>
        <v>negativo</v>
      </c>
    </row>
    <row r="6504" ht="15.75" customHeight="1">
      <c r="A6504" s="2" t="s">
        <v>6501</v>
      </c>
      <c r="B6504" s="2" t="s">
        <v>3</v>
      </c>
      <c r="C6504" s="1" t="str">
        <f>IFERROR(__xludf.DUMMYFUNCTION("GOOGLETRANSLATE(A6504,""en"",""pt-br"")"),"usurpador")</f>
        <v>usurpador</v>
      </c>
      <c r="D6504" s="1" t="str">
        <f>IFERROR(__xludf.DUMMYFUNCTION("GOOGLETRANSLATE(B6504,""en"",""pt-br"")"),"negativo")</f>
        <v>negativo</v>
      </c>
    </row>
    <row r="6505" ht="15.75" customHeight="1">
      <c r="A6505" s="2" t="s">
        <v>6502</v>
      </c>
      <c r="B6505" s="2" t="s">
        <v>3</v>
      </c>
      <c r="C6505" s="1" t="str">
        <f>IFERROR(__xludf.DUMMYFUNCTION("GOOGLETRANSLATE(A6505,""en"",""pt-br"")"),"completamente")</f>
        <v>completamente</v>
      </c>
      <c r="D6505" s="1" t="str">
        <f>IFERROR(__xludf.DUMMYFUNCTION("GOOGLETRANSLATE(B6505,""en"",""pt-br"")"),"negativo")</f>
        <v>negativo</v>
      </c>
    </row>
    <row r="6506" ht="15.75" customHeight="1">
      <c r="A6506" s="2" t="s">
        <v>6503</v>
      </c>
      <c r="B6506" s="2" t="s">
        <v>3</v>
      </c>
      <c r="C6506" s="1" t="str">
        <f>IFERROR(__xludf.DUMMYFUNCTION("GOOGLETRANSLATE(A6506,""en"",""pt-br"")"),"vagabundo")</f>
        <v>vagabundo</v>
      </c>
      <c r="D6506" s="1" t="str">
        <f>IFERROR(__xludf.DUMMYFUNCTION("GOOGLETRANSLATE(B6506,""en"",""pt-br"")"),"negativo")</f>
        <v>negativo</v>
      </c>
    </row>
    <row r="6507" ht="15.75" customHeight="1">
      <c r="A6507" s="2" t="s">
        <v>6504</v>
      </c>
      <c r="B6507" s="2" t="s">
        <v>3</v>
      </c>
      <c r="C6507" s="1" t="str">
        <f>IFERROR(__xludf.DUMMYFUNCTION("GOOGLETRANSLATE(A6507,""en"",""pt-br"")"),"vago")</f>
        <v>vago</v>
      </c>
      <c r="D6507" s="1" t="str">
        <f>IFERROR(__xludf.DUMMYFUNCTION("GOOGLETRANSLATE(B6507,""en"",""pt-br"")"),"negativo")</f>
        <v>negativo</v>
      </c>
    </row>
    <row r="6508" ht="15.75" customHeight="1">
      <c r="A6508" s="2" t="s">
        <v>6505</v>
      </c>
      <c r="B6508" s="2" t="s">
        <v>3</v>
      </c>
      <c r="C6508" s="1" t="str">
        <f>IFERROR(__xludf.DUMMYFUNCTION("GOOGLETRANSLATE(A6508,""en"",""pt-br"")"),"imprecisão")</f>
        <v>imprecisão</v>
      </c>
      <c r="D6508" s="1" t="str">
        <f>IFERROR(__xludf.DUMMYFUNCTION("GOOGLETRANSLATE(B6508,""en"",""pt-br"")"),"negativo")</f>
        <v>negativo</v>
      </c>
    </row>
    <row r="6509" ht="15.75" customHeight="1">
      <c r="A6509" s="2" t="s">
        <v>6506</v>
      </c>
      <c r="B6509" s="2" t="s">
        <v>3</v>
      </c>
      <c r="C6509" s="1" t="str">
        <f>IFERROR(__xludf.DUMMYFUNCTION("GOOGLETRANSLATE(A6509,""en"",""pt-br"")"),"vão")</f>
        <v>vão</v>
      </c>
      <c r="D6509" s="1" t="str">
        <f>IFERROR(__xludf.DUMMYFUNCTION("GOOGLETRANSLATE(B6509,""en"",""pt-br"")"),"negativo")</f>
        <v>negativo</v>
      </c>
    </row>
    <row r="6510" ht="15.75" customHeight="1">
      <c r="A6510" s="2" t="s">
        <v>6507</v>
      </c>
      <c r="B6510" s="2" t="s">
        <v>3</v>
      </c>
      <c r="C6510" s="1" t="str">
        <f>IFERROR(__xludf.DUMMYFUNCTION("GOOGLETRANSLATE(A6510,""en"",""pt-br"")"),"em vão")</f>
        <v>em vão</v>
      </c>
      <c r="D6510" s="1" t="str">
        <f>IFERROR(__xludf.DUMMYFUNCTION("GOOGLETRANSLATE(B6510,""en"",""pt-br"")"),"negativo")</f>
        <v>negativo</v>
      </c>
    </row>
    <row r="6511" ht="15.75" customHeight="1">
      <c r="A6511" s="2" t="s">
        <v>6508</v>
      </c>
      <c r="B6511" s="2" t="s">
        <v>14</v>
      </c>
      <c r="C6511" s="1" t="str">
        <f>IFERROR(__xludf.DUMMYFUNCTION("GOOGLETRANSLATE(A6511,""en"",""pt-br"")"),"valente")</f>
        <v>valente</v>
      </c>
      <c r="D6511" s="1" t="str">
        <f>IFERROR(__xludf.DUMMYFUNCTION("GOOGLETRANSLATE(B6511,""en"",""pt-br"")"),"positivo")</f>
        <v>positivo</v>
      </c>
    </row>
    <row r="6512" ht="15.75" customHeight="1">
      <c r="A6512" s="2" t="s">
        <v>6509</v>
      </c>
      <c r="B6512" s="2" t="s">
        <v>14</v>
      </c>
      <c r="C6512" s="1" t="str">
        <f>IFERROR(__xludf.DUMMYFUNCTION("GOOGLETRANSLATE(A6512,""en"",""pt-br"")"),"valentemente")</f>
        <v>valentemente</v>
      </c>
      <c r="D6512" s="1" t="str">
        <f>IFERROR(__xludf.DUMMYFUNCTION("GOOGLETRANSLATE(B6512,""en"",""pt-br"")"),"positivo")</f>
        <v>positivo</v>
      </c>
    </row>
    <row r="6513" ht="15.75" customHeight="1">
      <c r="A6513" s="2" t="s">
        <v>6510</v>
      </c>
      <c r="B6513" s="2" t="s">
        <v>14</v>
      </c>
      <c r="C6513" s="1" t="str">
        <f>IFERROR(__xludf.DUMMYFUNCTION("GOOGLETRANSLATE(A6513,""en"",""pt-br"")"),"bravura")</f>
        <v>bravura</v>
      </c>
      <c r="D6513" s="1" t="str">
        <f>IFERROR(__xludf.DUMMYFUNCTION("GOOGLETRANSLATE(B6513,""en"",""pt-br"")"),"positivo")</f>
        <v>positivo</v>
      </c>
    </row>
    <row r="6514" ht="15.75" customHeight="1">
      <c r="A6514" s="2" t="s">
        <v>6511</v>
      </c>
      <c r="B6514" s="2" t="s">
        <v>14</v>
      </c>
      <c r="C6514" s="1" t="str">
        <f>IFERROR(__xludf.DUMMYFUNCTION("GOOGLETRANSLATE(A6514,""en"",""pt-br"")"),"valioso")</f>
        <v>valioso</v>
      </c>
      <c r="D6514" s="1" t="str">
        <f>IFERROR(__xludf.DUMMYFUNCTION("GOOGLETRANSLATE(B6514,""en"",""pt-br"")"),"positivo")</f>
        <v>positivo</v>
      </c>
    </row>
    <row r="6515" ht="15.75" customHeight="1">
      <c r="A6515" s="2" t="s">
        <v>6512</v>
      </c>
      <c r="B6515" s="2" t="s">
        <v>3</v>
      </c>
      <c r="C6515" s="1" t="str">
        <f>IFERROR(__xludf.DUMMYFUNCTION("GOOGLETRANSLATE(A6515,""en"",""pt-br"")"),"vaidade")</f>
        <v>vaidade</v>
      </c>
      <c r="D6515" s="1" t="str">
        <f>IFERROR(__xludf.DUMMYFUNCTION("GOOGLETRANSLATE(B6515,""en"",""pt-br"")"),"negativo")</f>
        <v>negativo</v>
      </c>
    </row>
    <row r="6516" ht="15.75" customHeight="1">
      <c r="A6516" s="2" t="s">
        <v>6513</v>
      </c>
      <c r="B6516" s="2" t="s">
        <v>14</v>
      </c>
      <c r="C6516" s="1" t="str">
        <f>IFERROR(__xludf.DUMMYFUNCTION("GOOGLETRANSLATE(A6516,""en"",""pt-br"")"),"variedade")</f>
        <v>variedade</v>
      </c>
      <c r="D6516" s="1" t="str">
        <f>IFERROR(__xludf.DUMMYFUNCTION("GOOGLETRANSLATE(B6516,""en"",""pt-br"")"),"positivo")</f>
        <v>positivo</v>
      </c>
    </row>
    <row r="6517" ht="15.75" customHeight="1">
      <c r="A6517" s="2" t="s">
        <v>6514</v>
      </c>
      <c r="B6517" s="2" t="s">
        <v>3</v>
      </c>
      <c r="C6517" s="1" t="str">
        <f>IFERROR(__xludf.DUMMYFUNCTION("GOOGLETRANSLATE(A6517,""en"",""pt-br"")"),"veemente")</f>
        <v>veemente</v>
      </c>
      <c r="D6517" s="1" t="str">
        <f>IFERROR(__xludf.DUMMYFUNCTION("GOOGLETRANSLATE(B6517,""en"",""pt-br"")"),"negativo")</f>
        <v>negativo</v>
      </c>
    </row>
    <row r="6518" ht="15.75" customHeight="1">
      <c r="A6518" s="2" t="s">
        <v>6515</v>
      </c>
      <c r="B6518" s="2" t="s">
        <v>3</v>
      </c>
      <c r="C6518" s="1" t="str">
        <f>IFERROR(__xludf.DUMMYFUNCTION("GOOGLETRANSLATE(A6518,""en"",""pt-br"")"),"veementemente")</f>
        <v>veementemente</v>
      </c>
      <c r="D6518" s="1" t="str">
        <f>IFERROR(__xludf.DUMMYFUNCTION("GOOGLETRANSLATE(B6518,""en"",""pt-br"")"),"negativo")</f>
        <v>negativo</v>
      </c>
    </row>
    <row r="6519" ht="15.75" customHeight="1">
      <c r="A6519" s="2" t="s">
        <v>6516</v>
      </c>
      <c r="B6519" s="2" t="s">
        <v>14</v>
      </c>
      <c r="C6519" s="1" t="str">
        <f>IFERROR(__xludf.DUMMYFUNCTION("GOOGLETRANSLATE(A6519,""en"",""pt-br"")"),"venerar")</f>
        <v>venerar</v>
      </c>
      <c r="D6519" s="1" t="str">
        <f>IFERROR(__xludf.DUMMYFUNCTION("GOOGLETRANSLATE(B6519,""en"",""pt-br"")"),"positivo")</f>
        <v>positivo</v>
      </c>
    </row>
    <row r="6520" ht="15.75" customHeight="1">
      <c r="A6520" s="2" t="s">
        <v>6517</v>
      </c>
      <c r="B6520" s="2" t="s">
        <v>3</v>
      </c>
      <c r="C6520" s="1" t="str">
        <f>IFERROR(__xludf.DUMMYFUNCTION("GOOGLETRANSLATE(A6520,""en"",""pt-br"")"),"vingança")</f>
        <v>vingança</v>
      </c>
      <c r="D6520" s="1" t="str">
        <f>IFERROR(__xludf.DUMMYFUNCTION("GOOGLETRANSLATE(B6520,""en"",""pt-br"")"),"negativo")</f>
        <v>negativo</v>
      </c>
    </row>
    <row r="6521" ht="15.75" customHeight="1">
      <c r="A6521" s="2" t="s">
        <v>6518</v>
      </c>
      <c r="B6521" s="2" t="s">
        <v>3</v>
      </c>
      <c r="C6521" s="1" t="str">
        <f>IFERROR(__xludf.DUMMYFUNCTION("GOOGLETRANSLATE(A6521,""en"",""pt-br"")"),"vingativo")</f>
        <v>vingativo</v>
      </c>
      <c r="D6521" s="1" t="str">
        <f>IFERROR(__xludf.DUMMYFUNCTION("GOOGLETRANSLATE(B6521,""en"",""pt-br"")"),"negativo")</f>
        <v>negativo</v>
      </c>
    </row>
    <row r="6522" ht="15.75" customHeight="1">
      <c r="A6522" s="2" t="s">
        <v>6519</v>
      </c>
      <c r="B6522" s="2" t="s">
        <v>3</v>
      </c>
      <c r="C6522" s="1" t="str">
        <f>IFERROR(__xludf.DUMMYFUNCTION("GOOGLETRANSLATE(A6522,""en"",""pt-br"")"),"vengefully")</f>
        <v>vengefully</v>
      </c>
      <c r="D6522" s="1" t="str">
        <f>IFERROR(__xludf.DUMMYFUNCTION("GOOGLETRANSLATE(B6522,""en"",""pt-br"")"),"negativo")</f>
        <v>negativo</v>
      </c>
    </row>
    <row r="6523" ht="15.75" customHeight="1">
      <c r="A6523" s="2" t="s">
        <v>6520</v>
      </c>
      <c r="B6523" s="2" t="s">
        <v>3</v>
      </c>
      <c r="C6523" s="1" t="str">
        <f>IFERROR(__xludf.DUMMYFUNCTION("GOOGLETRANSLATE(A6523,""en"",""pt-br"")"),"vengefulness")</f>
        <v>vengefulness</v>
      </c>
      <c r="D6523" s="1" t="str">
        <f>IFERROR(__xludf.DUMMYFUNCTION("GOOGLETRANSLATE(B6523,""en"",""pt-br"")"),"negativo")</f>
        <v>negativo</v>
      </c>
    </row>
    <row r="6524" ht="15.75" customHeight="1">
      <c r="A6524" s="2" t="s">
        <v>6521</v>
      </c>
      <c r="B6524" s="2" t="s">
        <v>3</v>
      </c>
      <c r="C6524" s="1" t="str">
        <f>IFERROR(__xludf.DUMMYFUNCTION("GOOGLETRANSLATE(A6524,""en"",""pt-br"")"),"veneno")</f>
        <v>veneno</v>
      </c>
      <c r="D6524" s="1" t="str">
        <f>IFERROR(__xludf.DUMMYFUNCTION("GOOGLETRANSLATE(B6524,""en"",""pt-br"")"),"negativo")</f>
        <v>negativo</v>
      </c>
    </row>
    <row r="6525" ht="15.75" customHeight="1">
      <c r="A6525" s="2" t="s">
        <v>6522</v>
      </c>
      <c r="B6525" s="2" t="s">
        <v>3</v>
      </c>
      <c r="C6525" s="1" t="str">
        <f>IFERROR(__xludf.DUMMYFUNCTION("GOOGLETRANSLATE(A6525,""en"",""pt-br"")"),"venenoso")</f>
        <v>venenoso</v>
      </c>
      <c r="D6525" s="1" t="str">
        <f>IFERROR(__xludf.DUMMYFUNCTION("GOOGLETRANSLATE(B6525,""en"",""pt-br"")"),"negativo")</f>
        <v>negativo</v>
      </c>
    </row>
    <row r="6526" ht="15.75" customHeight="1">
      <c r="A6526" s="2" t="s">
        <v>6523</v>
      </c>
      <c r="B6526" s="2" t="s">
        <v>3</v>
      </c>
      <c r="C6526" s="1" t="str">
        <f>IFERROR(__xludf.DUMMYFUNCTION("GOOGLETRANSLATE(A6526,""en"",""pt-br"")"),"venenosamente")</f>
        <v>venenosamente</v>
      </c>
      <c r="D6526" s="1" t="str">
        <f>IFERROR(__xludf.DUMMYFUNCTION("GOOGLETRANSLATE(B6526,""en"",""pt-br"")"),"negativo")</f>
        <v>negativo</v>
      </c>
    </row>
    <row r="6527" ht="15.75" customHeight="1">
      <c r="A6527" s="2" t="s">
        <v>6524</v>
      </c>
      <c r="B6527" s="2" t="s">
        <v>3</v>
      </c>
      <c r="C6527" s="1" t="str">
        <f>IFERROR(__xludf.DUMMYFUNCTION("GOOGLETRANSLATE(A6527,""en"",""pt-br"")"),"respiradouro")</f>
        <v>respiradouro</v>
      </c>
      <c r="D6527" s="1" t="str">
        <f>IFERROR(__xludf.DUMMYFUNCTION("GOOGLETRANSLATE(B6527,""en"",""pt-br"")"),"negativo")</f>
        <v>negativo</v>
      </c>
    </row>
    <row r="6528" ht="15.75" customHeight="1">
      <c r="A6528" s="2" t="s">
        <v>6525</v>
      </c>
      <c r="B6528" s="2" t="s">
        <v>14</v>
      </c>
      <c r="C6528" s="1" t="str">
        <f>IFERROR(__xludf.DUMMYFUNCTION("GOOGLETRANSLATE(A6528,""en"",""pt-br"")"),"verificável")</f>
        <v>verificável</v>
      </c>
      <c r="D6528" s="1" t="str">
        <f>IFERROR(__xludf.DUMMYFUNCTION("GOOGLETRANSLATE(B6528,""en"",""pt-br"")"),"positivo")</f>
        <v>positivo</v>
      </c>
    </row>
    <row r="6529" ht="15.75" customHeight="1">
      <c r="A6529" s="2" t="s">
        <v>6526</v>
      </c>
      <c r="B6529" s="2" t="s">
        <v>14</v>
      </c>
      <c r="C6529" s="1" t="str">
        <f>IFERROR(__xludf.DUMMYFUNCTION("GOOGLETRANSLATE(A6529,""en"",""pt-br"")"),"verdadeiro")</f>
        <v>verdadeiro</v>
      </c>
      <c r="D6529" s="1" t="str">
        <f>IFERROR(__xludf.DUMMYFUNCTION("GOOGLETRANSLATE(B6529,""en"",""pt-br"")"),"positivo")</f>
        <v>positivo</v>
      </c>
    </row>
    <row r="6530" ht="15.75" customHeight="1">
      <c r="A6530" s="2" t="s">
        <v>6527</v>
      </c>
      <c r="B6530" s="2" t="s">
        <v>14</v>
      </c>
      <c r="C6530" s="1" t="str">
        <f>IFERROR(__xludf.DUMMYFUNCTION("GOOGLETRANSLATE(A6530,""en"",""pt-br"")"),"versátil")</f>
        <v>versátil</v>
      </c>
      <c r="D6530" s="1" t="str">
        <f>IFERROR(__xludf.DUMMYFUNCTION("GOOGLETRANSLATE(B6530,""en"",""pt-br"")"),"positivo")</f>
        <v>positivo</v>
      </c>
    </row>
    <row r="6531" ht="15.75" customHeight="1">
      <c r="A6531" s="2" t="s">
        <v>6528</v>
      </c>
      <c r="B6531" s="2" t="s">
        <v>14</v>
      </c>
      <c r="C6531" s="1" t="str">
        <f>IFERROR(__xludf.DUMMYFUNCTION("GOOGLETRANSLATE(A6531,""en"",""pt-br"")"),"versatilidade")</f>
        <v>versatilidade</v>
      </c>
      <c r="D6531" s="1" t="str">
        <f>IFERROR(__xludf.DUMMYFUNCTION("GOOGLETRANSLATE(B6531,""en"",""pt-br"")"),"positivo")</f>
        <v>positivo</v>
      </c>
    </row>
    <row r="6532" ht="15.75" customHeight="1">
      <c r="A6532" s="2" t="s">
        <v>6529</v>
      </c>
      <c r="B6532" s="2" t="s">
        <v>3</v>
      </c>
      <c r="C6532" s="1" t="str">
        <f>IFERROR(__xludf.DUMMYFUNCTION("GOOGLETRANSLATE(A6532,""en"",""pt-br"")"),"vestígios")</f>
        <v>vestígios</v>
      </c>
      <c r="D6532" s="1" t="str">
        <f>IFERROR(__xludf.DUMMYFUNCTION("GOOGLETRANSLATE(B6532,""en"",""pt-br"")"),"negativo")</f>
        <v>negativo</v>
      </c>
    </row>
    <row r="6533" ht="15.75" customHeight="1">
      <c r="A6533" s="2" t="s">
        <v>6530</v>
      </c>
      <c r="B6533" s="2" t="s">
        <v>3</v>
      </c>
      <c r="C6533" s="1" t="str">
        <f>IFERROR(__xludf.DUMMYFUNCTION("GOOGLETRANSLATE(A6533,""en"",""pt-br"")"),"molestar")</f>
        <v>molestar</v>
      </c>
      <c r="D6533" s="1" t="str">
        <f>IFERROR(__xludf.DUMMYFUNCTION("GOOGLETRANSLATE(B6533,""en"",""pt-br"")"),"negativo")</f>
        <v>negativo</v>
      </c>
    </row>
    <row r="6534" ht="15.75" customHeight="1">
      <c r="A6534" s="2" t="s">
        <v>6531</v>
      </c>
      <c r="B6534" s="2" t="s">
        <v>3</v>
      </c>
      <c r="C6534" s="1" t="str">
        <f>IFERROR(__xludf.DUMMYFUNCTION("GOOGLETRANSLATE(A6534,""en"",""pt-br"")"),"vexação")</f>
        <v>vexação</v>
      </c>
      <c r="D6534" s="1" t="str">
        <f>IFERROR(__xludf.DUMMYFUNCTION("GOOGLETRANSLATE(B6534,""en"",""pt-br"")"),"negativo")</f>
        <v>negativo</v>
      </c>
    </row>
    <row r="6535" ht="15.75" customHeight="1">
      <c r="A6535" s="2" t="s">
        <v>6532</v>
      </c>
      <c r="B6535" s="2" t="s">
        <v>3</v>
      </c>
      <c r="C6535" s="1" t="str">
        <f>IFERROR(__xludf.DUMMYFUNCTION("GOOGLETRANSLATE(A6535,""en"",""pt-br"")"),"vexatório")</f>
        <v>vexatório</v>
      </c>
      <c r="D6535" s="1" t="str">
        <f>IFERROR(__xludf.DUMMYFUNCTION("GOOGLETRANSLATE(B6535,""en"",""pt-br"")"),"negativo")</f>
        <v>negativo</v>
      </c>
    </row>
    <row r="6536" ht="15.75" customHeight="1">
      <c r="A6536" s="2" t="s">
        <v>6533</v>
      </c>
      <c r="B6536" s="2" t="s">
        <v>3</v>
      </c>
      <c r="C6536" s="1" t="str">
        <f>IFERROR(__xludf.DUMMYFUNCTION("GOOGLETRANSLATE(A6536,""en"",""pt-br"")"),"vexingly")</f>
        <v>vexingly</v>
      </c>
      <c r="D6536" s="1" t="str">
        <f>IFERROR(__xludf.DUMMYFUNCTION("GOOGLETRANSLATE(B6536,""en"",""pt-br"")"),"negativo")</f>
        <v>negativo</v>
      </c>
    </row>
    <row r="6537" ht="15.75" customHeight="1">
      <c r="A6537" s="2" t="s">
        <v>6534</v>
      </c>
      <c r="B6537" s="2" t="s">
        <v>14</v>
      </c>
      <c r="C6537" s="1" t="str">
        <f>IFERROR(__xludf.DUMMYFUNCTION("GOOGLETRANSLATE(A6537,""en"",""pt-br"")"),"vibrante")</f>
        <v>vibrante</v>
      </c>
      <c r="D6537" s="1" t="str">
        <f>IFERROR(__xludf.DUMMYFUNCTION("GOOGLETRANSLATE(B6537,""en"",""pt-br"")"),"positivo")</f>
        <v>positivo</v>
      </c>
    </row>
    <row r="6538" ht="15.75" customHeight="1">
      <c r="A6538" s="2" t="s">
        <v>6535</v>
      </c>
      <c r="B6538" s="2" t="s">
        <v>14</v>
      </c>
      <c r="C6538" s="1" t="str">
        <f>IFERROR(__xludf.DUMMYFUNCTION("GOOGLETRANSLATE(A6538,""en"",""pt-br"")"),"vibrantemente")</f>
        <v>vibrantemente</v>
      </c>
      <c r="D6538" s="1" t="str">
        <f>IFERROR(__xludf.DUMMYFUNCTION("GOOGLETRANSLATE(B6538,""en"",""pt-br"")"),"positivo")</f>
        <v>positivo</v>
      </c>
    </row>
    <row r="6539" ht="15.75" customHeight="1">
      <c r="A6539" s="2" t="s">
        <v>6536</v>
      </c>
      <c r="B6539" s="2" t="s">
        <v>3</v>
      </c>
      <c r="C6539" s="1" t="str">
        <f>IFERROR(__xludf.DUMMYFUNCTION("GOOGLETRANSLATE(A6539,""en"",""pt-br"")"),"vibrar")</f>
        <v>vibrar</v>
      </c>
      <c r="D6539" s="1" t="str">
        <f>IFERROR(__xludf.DUMMYFUNCTION("GOOGLETRANSLATE(B6539,""en"",""pt-br"")"),"negativo")</f>
        <v>negativo</v>
      </c>
    </row>
    <row r="6540" ht="15.75" customHeight="1">
      <c r="A6540" s="2" t="s">
        <v>6537</v>
      </c>
      <c r="B6540" s="2" t="s">
        <v>3</v>
      </c>
      <c r="C6540" s="1" t="str">
        <f>IFERROR(__xludf.DUMMYFUNCTION("GOOGLETRANSLATE(A6540,""en"",""pt-br"")"),"vibrado")</f>
        <v>vibrado</v>
      </c>
      <c r="D6540" s="1" t="str">
        <f>IFERROR(__xludf.DUMMYFUNCTION("GOOGLETRANSLATE(B6540,""en"",""pt-br"")"),"negativo")</f>
        <v>negativo</v>
      </c>
    </row>
    <row r="6541" ht="15.75" customHeight="1">
      <c r="A6541" s="2" t="s">
        <v>6538</v>
      </c>
      <c r="B6541" s="2" t="s">
        <v>3</v>
      </c>
      <c r="C6541" s="1" t="str">
        <f>IFERROR(__xludf.DUMMYFUNCTION("GOOGLETRANSLATE(A6541,""en"",""pt-br"")"),"vibra")</f>
        <v>vibra</v>
      </c>
      <c r="D6541" s="1" t="str">
        <f>IFERROR(__xludf.DUMMYFUNCTION("GOOGLETRANSLATE(B6541,""en"",""pt-br"")"),"negativo")</f>
        <v>negativo</v>
      </c>
    </row>
    <row r="6542" ht="15.75" customHeight="1">
      <c r="A6542" s="2" t="s">
        <v>6539</v>
      </c>
      <c r="B6542" s="2" t="s">
        <v>3</v>
      </c>
      <c r="C6542" s="1" t="str">
        <f>IFERROR(__xludf.DUMMYFUNCTION("GOOGLETRANSLATE(A6542,""en"",""pt-br"")"),"vibrando")</f>
        <v>vibrando</v>
      </c>
      <c r="D6542" s="1" t="str">
        <f>IFERROR(__xludf.DUMMYFUNCTION("GOOGLETRANSLATE(B6542,""en"",""pt-br"")"),"negativo")</f>
        <v>negativo</v>
      </c>
    </row>
    <row r="6543" ht="15.75" customHeight="1">
      <c r="A6543" s="2" t="s">
        <v>6540</v>
      </c>
      <c r="B6543" s="2" t="s">
        <v>3</v>
      </c>
      <c r="C6543" s="1" t="str">
        <f>IFERROR(__xludf.DUMMYFUNCTION("GOOGLETRANSLATE(A6543,""en"",""pt-br"")"),"vibração")</f>
        <v>vibração</v>
      </c>
      <c r="D6543" s="1" t="str">
        <f>IFERROR(__xludf.DUMMYFUNCTION("GOOGLETRANSLATE(B6543,""en"",""pt-br"")"),"negativo")</f>
        <v>negativo</v>
      </c>
    </row>
    <row r="6544" ht="15.75" customHeight="1">
      <c r="A6544" s="2" t="s">
        <v>6541</v>
      </c>
      <c r="B6544" s="2" t="s">
        <v>3</v>
      </c>
      <c r="C6544" s="1" t="str">
        <f>IFERROR(__xludf.DUMMYFUNCTION("GOOGLETRANSLATE(A6544,""en"",""pt-br"")"),"vício")</f>
        <v>vício</v>
      </c>
      <c r="D6544" s="1" t="str">
        <f>IFERROR(__xludf.DUMMYFUNCTION("GOOGLETRANSLATE(B6544,""en"",""pt-br"")"),"negativo")</f>
        <v>negativo</v>
      </c>
    </row>
    <row r="6545" ht="15.75" customHeight="1">
      <c r="A6545" s="2" t="s">
        <v>6542</v>
      </c>
      <c r="B6545" s="2" t="s">
        <v>3</v>
      </c>
      <c r="C6545" s="1" t="str">
        <f>IFERROR(__xludf.DUMMYFUNCTION("GOOGLETRANSLATE(A6545,""en"",""pt-br"")"),"vicioso")</f>
        <v>vicioso</v>
      </c>
      <c r="D6545" s="1" t="str">
        <f>IFERROR(__xludf.DUMMYFUNCTION("GOOGLETRANSLATE(B6545,""en"",""pt-br"")"),"negativo")</f>
        <v>negativo</v>
      </c>
    </row>
    <row r="6546" ht="15.75" customHeight="1">
      <c r="A6546" s="2" t="s">
        <v>6543</v>
      </c>
      <c r="B6546" s="2" t="s">
        <v>3</v>
      </c>
      <c r="C6546" s="1" t="str">
        <f>IFERROR(__xludf.DUMMYFUNCTION("GOOGLETRANSLATE(A6546,""en"",""pt-br"")"),"viciosamente")</f>
        <v>viciosamente</v>
      </c>
      <c r="D6546" s="1" t="str">
        <f>IFERROR(__xludf.DUMMYFUNCTION("GOOGLETRANSLATE(B6546,""en"",""pt-br"")"),"negativo")</f>
        <v>negativo</v>
      </c>
    </row>
    <row r="6547" ht="15.75" customHeight="1">
      <c r="A6547" s="2" t="s">
        <v>6544</v>
      </c>
      <c r="B6547" s="2" t="s">
        <v>3</v>
      </c>
      <c r="C6547" s="1" t="str">
        <f>IFERROR(__xludf.DUMMYFUNCTION("GOOGLETRANSLATE(A6547,""en"",""pt-br"")"),"viciousness")</f>
        <v>viciousness</v>
      </c>
      <c r="D6547" s="1" t="str">
        <f>IFERROR(__xludf.DUMMYFUNCTION("GOOGLETRANSLATE(B6547,""en"",""pt-br"")"),"negativo")</f>
        <v>negativo</v>
      </c>
    </row>
    <row r="6548" ht="15.75" customHeight="1">
      <c r="A6548" s="2" t="s">
        <v>6545</v>
      </c>
      <c r="B6548" s="2" t="s">
        <v>3</v>
      </c>
      <c r="C6548" s="1" t="str">
        <f>IFERROR(__xludf.DUMMYFUNCTION("GOOGLETRANSLATE(A6548,""en"",""pt-br"")"),"Vitimizar")</f>
        <v>Vitimizar</v>
      </c>
      <c r="D6548" s="1" t="str">
        <f>IFERROR(__xludf.DUMMYFUNCTION("GOOGLETRANSLATE(B6548,""en"",""pt-br"")"),"negativo")</f>
        <v>negativo</v>
      </c>
    </row>
    <row r="6549" ht="15.75" customHeight="1">
      <c r="A6549" s="2" t="s">
        <v>6546</v>
      </c>
      <c r="B6549" s="2" t="s">
        <v>14</v>
      </c>
      <c r="C6549" s="1" t="str">
        <f>IFERROR(__xludf.DUMMYFUNCTION("GOOGLETRANSLATE(A6549,""en"",""pt-br"")"),"vitorioso")</f>
        <v>vitorioso</v>
      </c>
      <c r="D6549" s="1" t="str">
        <f>IFERROR(__xludf.DUMMYFUNCTION("GOOGLETRANSLATE(B6549,""en"",""pt-br"")"),"positivo")</f>
        <v>positivo</v>
      </c>
    </row>
    <row r="6550" ht="15.75" customHeight="1">
      <c r="A6550" s="2" t="s">
        <v>6547</v>
      </c>
      <c r="B6550" s="2" t="s">
        <v>14</v>
      </c>
      <c r="C6550" s="1" t="str">
        <f>IFERROR(__xludf.DUMMYFUNCTION("GOOGLETRANSLATE(A6550,""en"",""pt-br"")"),"vitória")</f>
        <v>vitória</v>
      </c>
      <c r="D6550" s="1" t="str">
        <f>IFERROR(__xludf.DUMMYFUNCTION("GOOGLETRANSLATE(B6550,""en"",""pt-br"")"),"positivo")</f>
        <v>positivo</v>
      </c>
    </row>
    <row r="6551" ht="15.75" customHeight="1">
      <c r="A6551" s="2" t="s">
        <v>6548</v>
      </c>
      <c r="B6551" s="2" t="s">
        <v>14</v>
      </c>
      <c r="C6551" s="1" t="str">
        <f>IFERROR(__xludf.DUMMYFUNCTION("GOOGLETRANSLATE(A6551,""en"",""pt-br"")"),"visível")</f>
        <v>visível</v>
      </c>
      <c r="D6551" s="1" t="str">
        <f>IFERROR(__xludf.DUMMYFUNCTION("GOOGLETRANSLATE(B6551,""en"",""pt-br"")"),"positivo")</f>
        <v>positivo</v>
      </c>
    </row>
    <row r="6552" ht="15.75" customHeight="1">
      <c r="A6552" s="2" t="s">
        <v>6549</v>
      </c>
      <c r="B6552" s="2" t="s">
        <v>14</v>
      </c>
      <c r="C6552" s="1" t="str">
        <f>IFERROR(__xludf.DUMMYFUNCTION("GOOGLETRANSLATE(A6552,""en"",""pt-br"")"),"vigilância")</f>
        <v>vigilância</v>
      </c>
      <c r="D6552" s="1" t="str">
        <f>IFERROR(__xludf.DUMMYFUNCTION("GOOGLETRANSLATE(B6552,""en"",""pt-br"")"),"positivo")</f>
        <v>positivo</v>
      </c>
    </row>
    <row r="6553" ht="15.75" customHeight="1">
      <c r="A6553" s="2" t="s">
        <v>6550</v>
      </c>
      <c r="B6553" s="2" t="s">
        <v>14</v>
      </c>
      <c r="C6553" s="1" t="str">
        <f>IFERROR(__xludf.DUMMYFUNCTION("GOOGLETRANSLATE(A6553,""en"",""pt-br"")"),"Vigilância")</f>
        <v>Vigilância</v>
      </c>
      <c r="D6553" s="1" t="str">
        <f>IFERROR(__xludf.DUMMYFUNCTION("GOOGLETRANSLATE(B6553,""en"",""pt-br"")"),"positivo")</f>
        <v>positivo</v>
      </c>
    </row>
    <row r="6554" ht="15.75" customHeight="1">
      <c r="A6554" s="2" t="s">
        <v>6551</v>
      </c>
      <c r="B6554" s="2" t="s">
        <v>3</v>
      </c>
      <c r="C6554" s="1" t="str">
        <f>IFERROR(__xludf.DUMMYFUNCTION("GOOGLETRANSLATE(A6554,""en"",""pt-br"")"),"vil")</f>
        <v>vil</v>
      </c>
      <c r="D6554" s="1" t="str">
        <f>IFERROR(__xludf.DUMMYFUNCTION("GOOGLETRANSLATE(B6554,""en"",""pt-br"")"),"negativo")</f>
        <v>negativo</v>
      </c>
    </row>
    <row r="6555" ht="15.75" customHeight="1">
      <c r="A6555" s="2" t="s">
        <v>6552</v>
      </c>
      <c r="B6555" s="2" t="s">
        <v>3</v>
      </c>
      <c r="C6555" s="1" t="str">
        <f>IFERROR(__xludf.DUMMYFUNCTION("GOOGLETRANSLATE(A6555,""en"",""pt-br"")"),"vileza")</f>
        <v>vileza</v>
      </c>
      <c r="D6555" s="1" t="str">
        <f>IFERROR(__xludf.DUMMYFUNCTION("GOOGLETRANSLATE(B6555,""en"",""pt-br"")"),"negativo")</f>
        <v>negativo</v>
      </c>
    </row>
    <row r="6556" ht="15.75" customHeight="1">
      <c r="A6556" s="2" t="s">
        <v>6553</v>
      </c>
      <c r="B6556" s="2" t="s">
        <v>3</v>
      </c>
      <c r="C6556" s="1" t="str">
        <f>IFERROR(__xludf.DUMMYFUNCTION("GOOGLETRANSLATE(A6556,""en"",""pt-br"")"),"Difamar")</f>
        <v>Difamar</v>
      </c>
      <c r="D6556" s="1" t="str">
        <f>IFERROR(__xludf.DUMMYFUNCTION("GOOGLETRANSLATE(B6556,""en"",""pt-br"")"),"negativo")</f>
        <v>negativo</v>
      </c>
    </row>
    <row r="6557" ht="15.75" customHeight="1">
      <c r="A6557" s="2" t="s">
        <v>6554</v>
      </c>
      <c r="B6557" s="2" t="s">
        <v>3</v>
      </c>
      <c r="C6557" s="1" t="str">
        <f>IFERROR(__xludf.DUMMYFUNCTION("GOOGLETRANSLATE(A6557,""en"",""pt-br"")"),"vil")</f>
        <v>vil</v>
      </c>
      <c r="D6557" s="1" t="str">
        <f>IFERROR(__xludf.DUMMYFUNCTION("GOOGLETRANSLATE(B6557,""en"",""pt-br"")"),"negativo")</f>
        <v>negativo</v>
      </c>
    </row>
    <row r="6558" ht="15.75" customHeight="1">
      <c r="A6558" s="2" t="s">
        <v>6555</v>
      </c>
      <c r="B6558" s="2" t="s">
        <v>3</v>
      </c>
      <c r="C6558" s="1" t="str">
        <f>IFERROR(__xludf.DUMMYFUNCTION("GOOGLETRANSLATE(A6558,""en"",""pt-br"")"),"vilmente")</f>
        <v>vilmente</v>
      </c>
      <c r="D6558" s="1" t="str">
        <f>IFERROR(__xludf.DUMMYFUNCTION("GOOGLETRANSLATE(B6558,""en"",""pt-br"")"),"negativo")</f>
        <v>negativo</v>
      </c>
    </row>
    <row r="6559" ht="15.75" customHeight="1">
      <c r="A6559" s="2" t="s">
        <v>6556</v>
      </c>
      <c r="B6559" s="2" t="s">
        <v>3</v>
      </c>
      <c r="C6559" s="1" t="str">
        <f>IFERROR(__xludf.DUMMYFUNCTION("GOOGLETRANSLATE(A6559,""en"",""pt-br"")"),"vilões")</f>
        <v>vilões</v>
      </c>
      <c r="D6559" s="1" t="str">
        <f>IFERROR(__xludf.DUMMYFUNCTION("GOOGLETRANSLATE(B6559,""en"",""pt-br"")"),"negativo")</f>
        <v>negativo</v>
      </c>
    </row>
    <row r="6560" ht="15.75" customHeight="1">
      <c r="A6560" s="2" t="s">
        <v>6557</v>
      </c>
      <c r="B6560" s="2" t="s">
        <v>3</v>
      </c>
      <c r="C6560" s="1" t="str">
        <f>IFERROR(__xludf.DUMMYFUNCTION("GOOGLETRANSLATE(A6560,""en"",""pt-br"")"),"villian")</f>
        <v>villian</v>
      </c>
      <c r="D6560" s="1" t="str">
        <f>IFERROR(__xludf.DUMMYFUNCTION("GOOGLETRANSLATE(B6560,""en"",""pt-br"")"),"negativo")</f>
        <v>negativo</v>
      </c>
    </row>
    <row r="6561" ht="15.75" customHeight="1">
      <c r="A6561" s="2" t="s">
        <v>6558</v>
      </c>
      <c r="B6561" s="2" t="s">
        <v>3</v>
      </c>
      <c r="C6561" s="1" t="str">
        <f>IFERROR(__xludf.DUMMYFUNCTION("GOOGLETRANSLATE(A6561,""en"",""pt-br"")"),"villianous")</f>
        <v>villianous</v>
      </c>
      <c r="D6561" s="1" t="str">
        <f>IFERROR(__xludf.DUMMYFUNCTION("GOOGLETRANSLATE(B6561,""en"",""pt-br"")"),"negativo")</f>
        <v>negativo</v>
      </c>
    </row>
    <row r="6562" ht="15.75" customHeight="1">
      <c r="A6562" s="2" t="s">
        <v>6559</v>
      </c>
      <c r="B6562" s="2" t="s">
        <v>3</v>
      </c>
      <c r="C6562" s="1" t="str">
        <f>IFERROR(__xludf.DUMMYFUNCTION("GOOGLETRANSLATE(A6562,""en"",""pt-br"")"),"villianously")</f>
        <v>villianously</v>
      </c>
      <c r="D6562" s="1" t="str">
        <f>IFERROR(__xludf.DUMMYFUNCTION("GOOGLETRANSLATE(B6562,""en"",""pt-br"")"),"negativo")</f>
        <v>negativo</v>
      </c>
    </row>
    <row r="6563" ht="15.75" customHeight="1">
      <c r="A6563" s="2" t="s">
        <v>6560</v>
      </c>
      <c r="B6563" s="2" t="s">
        <v>3</v>
      </c>
      <c r="C6563" s="1" t="str">
        <f>IFERROR(__xludf.DUMMYFUNCTION("GOOGLETRANSLATE(A6563,""en"",""pt-br"")"),"vilificar")</f>
        <v>vilificar</v>
      </c>
      <c r="D6563" s="1" t="str">
        <f>IFERROR(__xludf.DUMMYFUNCTION("GOOGLETRANSLATE(B6563,""en"",""pt-br"")"),"negativo")</f>
        <v>negativo</v>
      </c>
    </row>
    <row r="6564" ht="15.75" customHeight="1">
      <c r="A6564" s="2" t="s">
        <v>6561</v>
      </c>
      <c r="B6564" s="2" t="s">
        <v>3</v>
      </c>
      <c r="C6564" s="1" t="str">
        <f>IFERROR(__xludf.DUMMYFUNCTION("GOOGLETRANSLATE(A6564,""en"",""pt-br"")"),"vingativo")</f>
        <v>vingativo</v>
      </c>
      <c r="D6564" s="1" t="str">
        <f>IFERROR(__xludf.DUMMYFUNCTION("GOOGLETRANSLATE(B6564,""en"",""pt-br"")"),"negativo")</f>
        <v>negativo</v>
      </c>
    </row>
    <row r="6565" ht="15.75" customHeight="1">
      <c r="A6565" s="2" t="s">
        <v>6562</v>
      </c>
      <c r="B6565" s="2" t="s">
        <v>3</v>
      </c>
      <c r="C6565" s="1" t="str">
        <f>IFERROR(__xludf.DUMMYFUNCTION("GOOGLETRANSLATE(A6565,""en"",""pt-br"")"),"vindictively")</f>
        <v>vindictively</v>
      </c>
      <c r="D6565" s="1" t="str">
        <f>IFERROR(__xludf.DUMMYFUNCTION("GOOGLETRANSLATE(B6565,""en"",""pt-br"")"),"negativo")</f>
        <v>negativo</v>
      </c>
    </row>
    <row r="6566" ht="15.75" customHeight="1">
      <c r="A6566" s="2" t="s">
        <v>6563</v>
      </c>
      <c r="B6566" s="2" t="s">
        <v>3</v>
      </c>
      <c r="C6566" s="1" t="str">
        <f>IFERROR(__xludf.DUMMYFUNCTION("GOOGLETRANSLATE(A6566,""en"",""pt-br"")"),"vindictiveness")</f>
        <v>vindictiveness</v>
      </c>
      <c r="D6566" s="1" t="str">
        <f>IFERROR(__xludf.DUMMYFUNCTION("GOOGLETRANSLATE(B6566,""en"",""pt-br"")"),"negativo")</f>
        <v>negativo</v>
      </c>
    </row>
    <row r="6567" ht="15.75" customHeight="1">
      <c r="A6567" s="2" t="s">
        <v>6564</v>
      </c>
      <c r="B6567" s="2" t="s">
        <v>3</v>
      </c>
      <c r="C6567" s="1" t="str">
        <f>IFERROR(__xludf.DUMMYFUNCTION("GOOGLETRANSLATE(A6567,""en"",""pt-br"")"),"violar")</f>
        <v>violar</v>
      </c>
      <c r="D6567" s="1" t="str">
        <f>IFERROR(__xludf.DUMMYFUNCTION("GOOGLETRANSLATE(B6567,""en"",""pt-br"")"),"negativo")</f>
        <v>negativo</v>
      </c>
    </row>
    <row r="6568" ht="15.75" customHeight="1">
      <c r="A6568" s="2" t="s">
        <v>6565</v>
      </c>
      <c r="B6568" s="2" t="s">
        <v>3</v>
      </c>
      <c r="C6568" s="1" t="str">
        <f>IFERROR(__xludf.DUMMYFUNCTION("GOOGLETRANSLATE(A6568,""en"",""pt-br"")"),"violação")</f>
        <v>violação</v>
      </c>
      <c r="D6568" s="1" t="str">
        <f>IFERROR(__xludf.DUMMYFUNCTION("GOOGLETRANSLATE(B6568,""en"",""pt-br"")"),"negativo")</f>
        <v>negativo</v>
      </c>
    </row>
    <row r="6569" ht="15.75" customHeight="1">
      <c r="A6569" s="2" t="s">
        <v>6566</v>
      </c>
      <c r="B6569" s="2" t="s">
        <v>3</v>
      </c>
      <c r="C6569" s="1" t="str">
        <f>IFERROR(__xludf.DUMMYFUNCTION("GOOGLETRANSLATE(A6569,""en"",""pt-br"")"),"infrator")</f>
        <v>infrator</v>
      </c>
      <c r="D6569" s="1" t="str">
        <f>IFERROR(__xludf.DUMMYFUNCTION("GOOGLETRANSLATE(B6569,""en"",""pt-br"")"),"negativo")</f>
        <v>negativo</v>
      </c>
    </row>
    <row r="6570" ht="15.75" customHeight="1">
      <c r="A6570" s="2" t="s">
        <v>6567</v>
      </c>
      <c r="B6570" s="2" t="s">
        <v>3</v>
      </c>
      <c r="C6570" s="1" t="str">
        <f>IFERROR(__xludf.DUMMYFUNCTION("GOOGLETRANSLATE(A6570,""en"",""pt-br"")"),"violadores")</f>
        <v>violadores</v>
      </c>
      <c r="D6570" s="1" t="str">
        <f>IFERROR(__xludf.DUMMYFUNCTION("GOOGLETRANSLATE(B6570,""en"",""pt-br"")"),"negativo")</f>
        <v>negativo</v>
      </c>
    </row>
    <row r="6571" ht="15.75" customHeight="1">
      <c r="A6571" s="2" t="s">
        <v>6568</v>
      </c>
      <c r="B6571" s="2" t="s">
        <v>3</v>
      </c>
      <c r="C6571" s="1" t="str">
        <f>IFERROR(__xludf.DUMMYFUNCTION("GOOGLETRANSLATE(A6571,""en"",""pt-br"")"),"violento")</f>
        <v>violento</v>
      </c>
      <c r="D6571" s="1" t="str">
        <f>IFERROR(__xludf.DUMMYFUNCTION("GOOGLETRANSLATE(B6571,""en"",""pt-br"")"),"negativo")</f>
        <v>negativo</v>
      </c>
    </row>
    <row r="6572" ht="15.75" customHeight="1">
      <c r="A6572" s="2" t="s">
        <v>6569</v>
      </c>
      <c r="B6572" s="2" t="s">
        <v>3</v>
      </c>
      <c r="C6572" s="1" t="str">
        <f>IFERROR(__xludf.DUMMYFUNCTION("GOOGLETRANSLATE(A6572,""en"",""pt-br"")"),"violentamente")</f>
        <v>violentamente</v>
      </c>
      <c r="D6572" s="1" t="str">
        <f>IFERROR(__xludf.DUMMYFUNCTION("GOOGLETRANSLATE(B6572,""en"",""pt-br"")"),"negativo")</f>
        <v>negativo</v>
      </c>
    </row>
    <row r="6573" ht="15.75" customHeight="1">
      <c r="A6573" s="2" t="s">
        <v>6570</v>
      </c>
      <c r="B6573" s="2" t="s">
        <v>3</v>
      </c>
      <c r="C6573" s="1" t="str">
        <f>IFERROR(__xludf.DUMMYFUNCTION("GOOGLETRANSLATE(A6573,""en"",""pt-br"")"),"víbora")</f>
        <v>víbora</v>
      </c>
      <c r="D6573" s="1" t="str">
        <f>IFERROR(__xludf.DUMMYFUNCTION("GOOGLETRANSLATE(B6573,""en"",""pt-br"")"),"negativo")</f>
        <v>negativo</v>
      </c>
    </row>
    <row r="6574" ht="15.75" customHeight="1">
      <c r="A6574" s="2" t="s">
        <v>6571</v>
      </c>
      <c r="B6574" s="2" t="s">
        <v>14</v>
      </c>
      <c r="C6574" s="1" t="str">
        <f>IFERROR(__xludf.DUMMYFUNCTION("GOOGLETRANSLATE(A6574,""en"",""pt-br"")"),"virtude")</f>
        <v>virtude</v>
      </c>
      <c r="D6574" s="1" t="str">
        <f>IFERROR(__xludf.DUMMYFUNCTION("GOOGLETRANSLATE(B6574,""en"",""pt-br"")"),"positivo")</f>
        <v>positivo</v>
      </c>
    </row>
    <row r="6575" ht="15.75" customHeight="1">
      <c r="A6575" s="2" t="s">
        <v>6572</v>
      </c>
      <c r="B6575" s="2" t="s">
        <v>14</v>
      </c>
      <c r="C6575" s="1" t="str">
        <f>IFERROR(__xludf.DUMMYFUNCTION("GOOGLETRANSLATE(A6575,""en"",""pt-br"")"),"virtuoso")</f>
        <v>virtuoso</v>
      </c>
      <c r="D6575" s="1" t="str">
        <f>IFERROR(__xludf.DUMMYFUNCTION("GOOGLETRANSLATE(B6575,""en"",""pt-br"")"),"positivo")</f>
        <v>positivo</v>
      </c>
    </row>
    <row r="6576" ht="15.75" customHeight="1">
      <c r="A6576" s="2" t="s">
        <v>6573</v>
      </c>
      <c r="B6576" s="2" t="s">
        <v>14</v>
      </c>
      <c r="C6576" s="1" t="str">
        <f>IFERROR(__xludf.DUMMYFUNCTION("GOOGLETRANSLATE(A6576,""en"",""pt-br"")"),"virtuosamente")</f>
        <v>virtuosamente</v>
      </c>
      <c r="D6576" s="1" t="str">
        <f>IFERROR(__xludf.DUMMYFUNCTION("GOOGLETRANSLATE(B6576,""en"",""pt-br"")"),"positivo")</f>
        <v>positivo</v>
      </c>
    </row>
    <row r="6577" ht="15.75" customHeight="1">
      <c r="A6577" s="2" t="s">
        <v>6574</v>
      </c>
      <c r="B6577" s="2" t="s">
        <v>3</v>
      </c>
      <c r="C6577" s="1" t="str">
        <f>IFERROR(__xludf.DUMMYFUNCTION("GOOGLETRANSLATE(A6577,""en"",""pt-br"")"),"virulência")</f>
        <v>virulência</v>
      </c>
      <c r="D6577" s="1" t="str">
        <f>IFERROR(__xludf.DUMMYFUNCTION("GOOGLETRANSLATE(B6577,""en"",""pt-br"")"),"negativo")</f>
        <v>negativo</v>
      </c>
    </row>
    <row r="6578" ht="15.75" customHeight="1">
      <c r="A6578" s="2" t="s">
        <v>6575</v>
      </c>
      <c r="B6578" s="2" t="s">
        <v>3</v>
      </c>
      <c r="C6578" s="1" t="str">
        <f>IFERROR(__xludf.DUMMYFUNCTION("GOOGLETRANSLATE(A6578,""en"",""pt-br"")"),"virulento")</f>
        <v>virulento</v>
      </c>
      <c r="D6578" s="1" t="str">
        <f>IFERROR(__xludf.DUMMYFUNCTION("GOOGLETRANSLATE(B6578,""en"",""pt-br"")"),"negativo")</f>
        <v>negativo</v>
      </c>
    </row>
    <row r="6579" ht="15.75" customHeight="1">
      <c r="A6579" s="2" t="s">
        <v>6576</v>
      </c>
      <c r="B6579" s="2" t="s">
        <v>3</v>
      </c>
      <c r="C6579" s="1" t="str">
        <f>IFERROR(__xludf.DUMMYFUNCTION("GOOGLETRANSLATE(A6579,""en"",""pt-br"")"),"virulentamente")</f>
        <v>virulentamente</v>
      </c>
      <c r="D6579" s="1" t="str">
        <f>IFERROR(__xludf.DUMMYFUNCTION("GOOGLETRANSLATE(B6579,""en"",""pt-br"")"),"negativo")</f>
        <v>negativo</v>
      </c>
    </row>
    <row r="6580" ht="15.75" customHeight="1">
      <c r="A6580" s="2" t="s">
        <v>6577</v>
      </c>
      <c r="B6580" s="2" t="s">
        <v>3</v>
      </c>
      <c r="C6580" s="1" t="str">
        <f>IFERROR(__xludf.DUMMYFUNCTION("GOOGLETRANSLATE(A6580,""en"",""pt-br"")"),"vírus")</f>
        <v>vírus</v>
      </c>
      <c r="D6580" s="1" t="str">
        <f>IFERROR(__xludf.DUMMYFUNCTION("GOOGLETRANSLATE(B6580,""en"",""pt-br"")"),"negativo")</f>
        <v>negativo</v>
      </c>
    </row>
    <row r="6581" ht="15.75" customHeight="1">
      <c r="A6581" s="2" t="s">
        <v>6578</v>
      </c>
      <c r="B6581" s="2" t="s">
        <v>14</v>
      </c>
      <c r="C6581" s="1" t="str">
        <f>IFERROR(__xludf.DUMMYFUNCTION("GOOGLETRANSLATE(A6581,""en"",""pt-br"")"),"visionário")</f>
        <v>visionário</v>
      </c>
      <c r="D6581" s="1" t="str">
        <f>IFERROR(__xludf.DUMMYFUNCTION("GOOGLETRANSLATE(B6581,""en"",""pt-br"")"),"positivo")</f>
        <v>positivo</v>
      </c>
    </row>
    <row r="6582" ht="15.75" customHeight="1">
      <c r="A6582" s="2" t="s">
        <v>6579</v>
      </c>
      <c r="B6582" s="2" t="s">
        <v>14</v>
      </c>
      <c r="C6582" s="1" t="str">
        <f>IFERROR(__xludf.DUMMYFUNCTION("GOOGLETRANSLATE(A6582,""en"",""pt-br"")"),"vivaz")</f>
        <v>vivaz</v>
      </c>
      <c r="D6582" s="1" t="str">
        <f>IFERROR(__xludf.DUMMYFUNCTION("GOOGLETRANSLATE(B6582,""en"",""pt-br"")"),"positivo")</f>
        <v>positivo</v>
      </c>
    </row>
    <row r="6583" ht="15.75" customHeight="1">
      <c r="A6583" s="2" t="s">
        <v>6580</v>
      </c>
      <c r="B6583" s="2" t="s">
        <v>14</v>
      </c>
      <c r="C6583" s="1" t="str">
        <f>IFERROR(__xludf.DUMMYFUNCTION("GOOGLETRANSLATE(A6583,""en"",""pt-br"")"),"vívido")</f>
        <v>vívido</v>
      </c>
      <c r="D6583" s="1" t="str">
        <f>IFERROR(__xludf.DUMMYFUNCTION("GOOGLETRANSLATE(B6583,""en"",""pt-br"")"),"positivo")</f>
        <v>positivo</v>
      </c>
    </row>
    <row r="6584" ht="15.75" customHeight="1">
      <c r="A6584" s="2" t="s">
        <v>6581</v>
      </c>
      <c r="B6584" s="2" t="s">
        <v>3</v>
      </c>
      <c r="C6584" s="1" t="str">
        <f>IFERROR(__xludf.DUMMYFUNCTION("GOOGLETRANSLATE(A6584,""en"",""pt-br"")"),"vociferador")</f>
        <v>vociferador</v>
      </c>
      <c r="D6584" s="1" t="str">
        <f>IFERROR(__xludf.DUMMYFUNCTION("GOOGLETRANSLATE(B6584,""en"",""pt-br"")"),"negativo")</f>
        <v>negativo</v>
      </c>
    </row>
    <row r="6585" ht="15.75" customHeight="1">
      <c r="A6585" s="2" t="s">
        <v>6582</v>
      </c>
      <c r="B6585" s="2" t="s">
        <v>3</v>
      </c>
      <c r="C6585" s="1" t="str">
        <f>IFERROR(__xludf.DUMMYFUNCTION("GOOGLETRANSLATE(A6585,""en"",""pt-br"")"),"vociferously")</f>
        <v>vociferously</v>
      </c>
      <c r="D6585" s="1" t="str">
        <f>IFERROR(__xludf.DUMMYFUNCTION("GOOGLETRANSLATE(B6585,""en"",""pt-br"")"),"negativo")</f>
        <v>negativo</v>
      </c>
    </row>
    <row r="6586" ht="15.75" customHeight="1">
      <c r="A6586" s="2" t="s">
        <v>6583</v>
      </c>
      <c r="B6586" s="2" t="s">
        <v>3</v>
      </c>
      <c r="C6586" s="1" t="str">
        <f>IFERROR(__xludf.DUMMYFUNCTION("GOOGLETRANSLATE(A6586,""en"",""pt-br"")"),"volátil")</f>
        <v>volátil</v>
      </c>
      <c r="D6586" s="1" t="str">
        <f>IFERROR(__xludf.DUMMYFUNCTION("GOOGLETRANSLATE(B6586,""en"",""pt-br"")"),"negativo")</f>
        <v>negativo</v>
      </c>
    </row>
    <row r="6587" ht="15.75" customHeight="1">
      <c r="A6587" s="2" t="s">
        <v>6584</v>
      </c>
      <c r="B6587" s="2" t="s">
        <v>3</v>
      </c>
      <c r="C6587" s="1" t="str">
        <f>IFERROR(__xludf.DUMMYFUNCTION("GOOGLETRANSLATE(A6587,""en"",""pt-br"")"),"volatilidade")</f>
        <v>volatilidade</v>
      </c>
      <c r="D6587" s="1" t="str">
        <f>IFERROR(__xludf.DUMMYFUNCTION("GOOGLETRANSLATE(B6587,""en"",""pt-br"")"),"negativo")</f>
        <v>negativo</v>
      </c>
    </row>
    <row r="6588" ht="15.75" customHeight="1">
      <c r="A6588" s="2" t="s">
        <v>6585</v>
      </c>
      <c r="B6588" s="2" t="s">
        <v>3</v>
      </c>
      <c r="C6588" s="1" t="str">
        <f>IFERROR(__xludf.DUMMYFUNCTION("GOOGLETRANSLATE(A6588,""en"",""pt-br"")"),"vomitar")</f>
        <v>vomitar</v>
      </c>
      <c r="D6588" s="1" t="str">
        <f>IFERROR(__xludf.DUMMYFUNCTION("GOOGLETRANSLATE(B6588,""en"",""pt-br"")"),"negativo")</f>
        <v>negativo</v>
      </c>
    </row>
    <row r="6589" ht="15.75" customHeight="1">
      <c r="A6589" s="2" t="s">
        <v>6586</v>
      </c>
      <c r="B6589" s="2" t="s">
        <v>3</v>
      </c>
      <c r="C6589" s="1" t="str">
        <f>IFERROR(__xludf.DUMMYFUNCTION("GOOGLETRANSLATE(A6589,""en"",""pt-br"")"),"Vomited")</f>
        <v>Vomited</v>
      </c>
      <c r="D6589" s="1" t="str">
        <f>IFERROR(__xludf.DUMMYFUNCTION("GOOGLETRANSLATE(B6589,""en"",""pt-br"")"),"negativo")</f>
        <v>negativo</v>
      </c>
    </row>
    <row r="6590" ht="15.75" customHeight="1">
      <c r="A6590" s="2" t="s">
        <v>6587</v>
      </c>
      <c r="B6590" s="2" t="s">
        <v>3</v>
      </c>
      <c r="C6590" s="1" t="str">
        <f>IFERROR(__xludf.DUMMYFUNCTION("GOOGLETRANSLATE(A6590,""en"",""pt-br"")"),"vómitos")</f>
        <v>vómitos</v>
      </c>
      <c r="D6590" s="1" t="str">
        <f>IFERROR(__xludf.DUMMYFUNCTION("GOOGLETRANSLATE(B6590,""en"",""pt-br"")"),"negativo")</f>
        <v>negativo</v>
      </c>
    </row>
    <row r="6591" ht="15.75" customHeight="1">
      <c r="A6591" s="2" t="s">
        <v>6588</v>
      </c>
      <c r="B6591" s="2" t="s">
        <v>3</v>
      </c>
      <c r="C6591" s="1" t="str">
        <f>IFERROR(__xludf.DUMMYFUNCTION("GOOGLETRANSLATE(A6591,""en"",""pt-br"")"),"vômitos")</f>
        <v>vômitos</v>
      </c>
      <c r="D6591" s="1" t="str">
        <f>IFERROR(__xludf.DUMMYFUNCTION("GOOGLETRANSLATE(B6591,""en"",""pt-br"")"),"negativo")</f>
        <v>negativo</v>
      </c>
    </row>
    <row r="6592" ht="15.75" customHeight="1">
      <c r="A6592" s="2" t="s">
        <v>6589</v>
      </c>
      <c r="B6592" s="2" t="s">
        <v>14</v>
      </c>
      <c r="C6592" s="1" t="str">
        <f>IFERROR(__xludf.DUMMYFUNCTION("GOOGLETRANSLATE(A6592,""en"",""pt-br"")"),"atestar")</f>
        <v>atestar</v>
      </c>
      <c r="D6592" s="1" t="str">
        <f>IFERROR(__xludf.DUMMYFUNCTION("GOOGLETRANSLATE(B6592,""en"",""pt-br"")"),"positivo")</f>
        <v>positivo</v>
      </c>
    </row>
    <row r="6593" ht="15.75" customHeight="1">
      <c r="A6593" s="2" t="s">
        <v>6590</v>
      </c>
      <c r="B6593" s="2" t="s">
        <v>14</v>
      </c>
      <c r="C6593" s="1" t="str">
        <f>IFERROR(__xludf.DUMMYFUNCTION("GOOGLETRANSLATE(A6593,""en"",""pt-br"")"),"Vouchsafe")</f>
        <v>Vouchsafe</v>
      </c>
      <c r="D6593" s="1" t="str">
        <f>IFERROR(__xludf.DUMMYFUNCTION("GOOGLETRANSLATE(B6593,""en"",""pt-br"")"),"positivo")</f>
        <v>positivo</v>
      </c>
    </row>
    <row r="6594" ht="15.75" customHeight="1">
      <c r="A6594" s="2" t="s">
        <v>6591</v>
      </c>
      <c r="B6594" s="2" t="s">
        <v>3</v>
      </c>
      <c r="C6594" s="1" t="str">
        <f>IFERROR(__xludf.DUMMYFUNCTION("GOOGLETRANSLATE(A6594,""en"",""pt-br"")"),"vulgar")</f>
        <v>vulgar</v>
      </c>
      <c r="D6594" s="1" t="str">
        <f>IFERROR(__xludf.DUMMYFUNCTION("GOOGLETRANSLATE(B6594,""en"",""pt-br"")"),"negativo")</f>
        <v>negativo</v>
      </c>
    </row>
    <row r="6595" ht="15.75" customHeight="1">
      <c r="A6595" s="2" t="s">
        <v>6592</v>
      </c>
      <c r="B6595" s="2" t="s">
        <v>3</v>
      </c>
      <c r="C6595" s="1" t="str">
        <f>IFERROR(__xludf.DUMMYFUNCTION("GOOGLETRANSLATE(A6595,""en"",""pt-br"")"),"vulnerável")</f>
        <v>vulnerável</v>
      </c>
      <c r="D6595" s="1" t="str">
        <f>IFERROR(__xludf.DUMMYFUNCTION("GOOGLETRANSLATE(B6595,""en"",""pt-br"")"),"negativo")</f>
        <v>negativo</v>
      </c>
    </row>
    <row r="6596" ht="15.75" customHeight="1">
      <c r="A6596" s="2" t="s">
        <v>6593</v>
      </c>
      <c r="B6596" s="2" t="s">
        <v>3</v>
      </c>
      <c r="C6596" s="1" t="str">
        <f>IFERROR(__xludf.DUMMYFUNCTION("GOOGLETRANSLATE(A6596,""en"",""pt-br"")"),"Wack")</f>
        <v>Wack</v>
      </c>
      <c r="D6596" s="1" t="str">
        <f>IFERROR(__xludf.DUMMYFUNCTION("GOOGLETRANSLATE(B6596,""en"",""pt-br"")"),"negativo")</f>
        <v>negativo</v>
      </c>
    </row>
    <row r="6597" ht="15.75" customHeight="1">
      <c r="A6597" s="2" t="s">
        <v>6594</v>
      </c>
      <c r="B6597" s="2" t="s">
        <v>3</v>
      </c>
      <c r="C6597" s="1" t="str">
        <f>IFERROR(__xludf.DUMMYFUNCTION("GOOGLETRANSLATE(A6597,""en"",""pt-br"")"),"lamúria")</f>
        <v>lamúria</v>
      </c>
      <c r="D6597" s="1" t="str">
        <f>IFERROR(__xludf.DUMMYFUNCTION("GOOGLETRANSLATE(B6597,""en"",""pt-br"")"),"negativo")</f>
        <v>negativo</v>
      </c>
    </row>
    <row r="6598" ht="15.75" customHeight="1">
      <c r="A6598" s="2" t="s">
        <v>6595</v>
      </c>
      <c r="B6598" s="2" t="s">
        <v>3</v>
      </c>
      <c r="C6598" s="1" t="str">
        <f>IFERROR(__xludf.DUMMYFUNCTION("GOOGLETRANSLATE(A6598,""en"",""pt-br"")"),"chafurdar")</f>
        <v>chafurdar</v>
      </c>
      <c r="D6598" s="1" t="str">
        <f>IFERROR(__xludf.DUMMYFUNCTION("GOOGLETRANSLATE(B6598,""en"",""pt-br"")"),"negativo")</f>
        <v>negativo</v>
      </c>
    </row>
    <row r="6599" ht="15.75" customHeight="1">
      <c r="A6599" s="2" t="s">
        <v>6596</v>
      </c>
      <c r="B6599" s="2" t="s">
        <v>3</v>
      </c>
      <c r="C6599" s="1" t="str">
        <f>IFERROR(__xludf.DUMMYFUNCTION("GOOGLETRANSLATE(A6599,""en"",""pt-br"")"),"declínio")</f>
        <v>declínio</v>
      </c>
      <c r="D6599" s="1" t="str">
        <f>IFERROR(__xludf.DUMMYFUNCTION("GOOGLETRANSLATE(B6599,""en"",""pt-br"")"),"negativo")</f>
        <v>negativo</v>
      </c>
    </row>
    <row r="6600" ht="15.75" customHeight="1">
      <c r="A6600" s="2" t="s">
        <v>6597</v>
      </c>
      <c r="B6600" s="2" t="s">
        <v>3</v>
      </c>
      <c r="C6600" s="1" t="str">
        <f>IFERROR(__xludf.DUMMYFUNCTION("GOOGLETRANSLATE(A6600,""en"",""pt-br"")"),"minguante")</f>
        <v>minguante</v>
      </c>
      <c r="D6600" s="1" t="str">
        <f>IFERROR(__xludf.DUMMYFUNCTION("GOOGLETRANSLATE(B6600,""en"",""pt-br"")"),"negativo")</f>
        <v>negativo</v>
      </c>
    </row>
    <row r="6601" ht="15.75" customHeight="1">
      <c r="A6601" s="2" t="s">
        <v>6598</v>
      </c>
      <c r="B6601" s="2" t="s">
        <v>3</v>
      </c>
      <c r="C6601" s="1" t="str">
        <f>IFERROR(__xludf.DUMMYFUNCTION("GOOGLETRANSLATE(A6601,""en"",""pt-br"")"),"arbitrário")</f>
        <v>arbitrário</v>
      </c>
      <c r="D6601" s="1" t="str">
        <f>IFERROR(__xludf.DUMMYFUNCTION("GOOGLETRANSLATE(B6601,""en"",""pt-br"")"),"negativo")</f>
        <v>negativo</v>
      </c>
    </row>
    <row r="6602" ht="15.75" customHeight="1">
      <c r="A6602" s="2" t="s">
        <v>6599</v>
      </c>
      <c r="B6602" s="2" t="s">
        <v>3</v>
      </c>
      <c r="C6602" s="1" t="str">
        <f>IFERROR(__xludf.DUMMYFUNCTION("GOOGLETRANSLATE(A6602,""en"",""pt-br"")"),"bélica")</f>
        <v>bélica</v>
      </c>
      <c r="D6602" s="1" t="str">
        <f>IFERROR(__xludf.DUMMYFUNCTION("GOOGLETRANSLATE(B6602,""en"",""pt-br"")"),"negativo")</f>
        <v>negativo</v>
      </c>
    </row>
    <row r="6603" ht="15.75" customHeight="1">
      <c r="A6603" s="2" t="s">
        <v>6600</v>
      </c>
      <c r="B6603" s="2" t="s">
        <v>3</v>
      </c>
      <c r="C6603" s="1" t="str">
        <f>IFERROR(__xludf.DUMMYFUNCTION("GOOGLETRANSLATE(A6603,""en"",""pt-br"")"),"cautelosamente")</f>
        <v>cautelosamente</v>
      </c>
      <c r="D6603" s="1" t="str">
        <f>IFERROR(__xludf.DUMMYFUNCTION("GOOGLETRANSLATE(B6603,""en"",""pt-br"")"),"negativo")</f>
        <v>negativo</v>
      </c>
    </row>
    <row r="6604" ht="15.75" customHeight="1">
      <c r="A6604" s="2" t="s">
        <v>6601</v>
      </c>
      <c r="B6604" s="2" t="s">
        <v>3</v>
      </c>
      <c r="C6604" s="1" t="str">
        <f>IFERROR(__xludf.DUMMYFUNCTION("GOOGLETRANSLATE(A6604,""en"",""pt-br"")"),"cautela")</f>
        <v>cautela</v>
      </c>
      <c r="D6604" s="1" t="str">
        <f>IFERROR(__xludf.DUMMYFUNCTION("GOOGLETRANSLATE(B6604,""en"",""pt-br"")"),"negativo")</f>
        <v>negativo</v>
      </c>
    </row>
    <row r="6605" ht="15.75" customHeight="1">
      <c r="A6605" s="2" t="s">
        <v>6602</v>
      </c>
      <c r="B6605" s="2" t="s">
        <v>3</v>
      </c>
      <c r="C6605" s="1" t="str">
        <f>IFERROR(__xludf.DUMMYFUNCTION("GOOGLETRANSLATE(A6605,""en"",""pt-br"")"),"bélico")</f>
        <v>bélico</v>
      </c>
      <c r="D6605" s="1" t="str">
        <f>IFERROR(__xludf.DUMMYFUNCTION("GOOGLETRANSLATE(B6605,""en"",""pt-br"")"),"negativo")</f>
        <v>negativo</v>
      </c>
    </row>
    <row r="6606" ht="15.75" customHeight="1">
      <c r="A6606" s="2" t="s">
        <v>6603</v>
      </c>
      <c r="B6606" s="2" t="s">
        <v>14</v>
      </c>
      <c r="C6606" s="1" t="str">
        <f>IFERROR(__xludf.DUMMYFUNCTION("GOOGLETRANSLATE(A6606,""en"",""pt-br"")"),"caloroso")</f>
        <v>caloroso</v>
      </c>
      <c r="D6606" s="1" t="str">
        <f>IFERROR(__xludf.DUMMYFUNCTION("GOOGLETRANSLATE(B6606,""en"",""pt-br"")"),"positivo")</f>
        <v>positivo</v>
      </c>
    </row>
    <row r="6607" ht="15.75" customHeight="1">
      <c r="A6607" s="2" t="s">
        <v>6604</v>
      </c>
      <c r="B6607" s="2" t="s">
        <v>14</v>
      </c>
      <c r="C6607" s="1" t="str">
        <f>IFERROR(__xludf.DUMMYFUNCTION("GOOGLETRANSLATE(A6607,""en"",""pt-br"")"),"aquecedor")</f>
        <v>aquecedor</v>
      </c>
      <c r="D6607" s="1" t="str">
        <f>IFERROR(__xludf.DUMMYFUNCTION("GOOGLETRANSLATE(B6607,""en"",""pt-br"")"),"positivo")</f>
        <v>positivo</v>
      </c>
    </row>
    <row r="6608" ht="15.75" customHeight="1">
      <c r="A6608" s="2" t="s">
        <v>6605</v>
      </c>
      <c r="B6608" s="2" t="s">
        <v>14</v>
      </c>
      <c r="C6608" s="1" t="str">
        <f>IFERROR(__xludf.DUMMYFUNCTION("GOOGLETRANSLATE(A6608,""en"",""pt-br"")"),"warmhearted")</f>
        <v>warmhearted</v>
      </c>
      <c r="D6608" s="1" t="str">
        <f>IFERROR(__xludf.DUMMYFUNCTION("GOOGLETRANSLATE(B6608,""en"",""pt-br"")"),"positivo")</f>
        <v>positivo</v>
      </c>
    </row>
    <row r="6609" ht="15.75" customHeight="1">
      <c r="A6609" s="2" t="s">
        <v>6606</v>
      </c>
      <c r="B6609" s="2" t="s">
        <v>14</v>
      </c>
      <c r="C6609" s="1" t="str">
        <f>IFERROR(__xludf.DUMMYFUNCTION("GOOGLETRANSLATE(A6609,""en"",""pt-br"")"),"calorosamente")</f>
        <v>calorosamente</v>
      </c>
      <c r="D6609" s="1" t="str">
        <f>IFERROR(__xludf.DUMMYFUNCTION("GOOGLETRANSLATE(B6609,""en"",""pt-br"")"),"positivo")</f>
        <v>positivo</v>
      </c>
    </row>
    <row r="6610" ht="15.75" customHeight="1">
      <c r="A6610" s="2" t="s">
        <v>6607</v>
      </c>
      <c r="B6610" s="2" t="s">
        <v>14</v>
      </c>
      <c r="C6610" s="1" t="str">
        <f>IFERROR(__xludf.DUMMYFUNCTION("GOOGLETRANSLATE(A6610,""en"",""pt-br"")"),"calor")</f>
        <v>calor</v>
      </c>
      <c r="D6610" s="1" t="str">
        <f>IFERROR(__xludf.DUMMYFUNCTION("GOOGLETRANSLATE(B6610,""en"",""pt-br"")"),"positivo")</f>
        <v>positivo</v>
      </c>
    </row>
    <row r="6611" ht="15.75" customHeight="1">
      <c r="A6611" s="2" t="s">
        <v>6608</v>
      </c>
      <c r="B6611" s="2" t="s">
        <v>3</v>
      </c>
      <c r="C6611" s="1" t="str">
        <f>IFERROR(__xludf.DUMMYFUNCTION("GOOGLETRANSLATE(A6611,""en"",""pt-br"")"),"avisou")</f>
        <v>avisou</v>
      </c>
      <c r="D6611" s="1" t="str">
        <f>IFERROR(__xludf.DUMMYFUNCTION("GOOGLETRANSLATE(B6611,""en"",""pt-br"")"),"negativo")</f>
        <v>negativo</v>
      </c>
    </row>
    <row r="6612" ht="15.75" customHeight="1">
      <c r="A6612" s="2" t="s">
        <v>6609</v>
      </c>
      <c r="B6612" s="2" t="s">
        <v>3</v>
      </c>
      <c r="C6612" s="1" t="str">
        <f>IFERROR(__xludf.DUMMYFUNCTION("GOOGLETRANSLATE(A6612,""en"",""pt-br"")"),"Atenção")</f>
        <v>Atenção</v>
      </c>
      <c r="D6612" s="1" t="str">
        <f>IFERROR(__xludf.DUMMYFUNCTION("GOOGLETRANSLATE(B6612,""en"",""pt-br"")"),"negativo")</f>
        <v>negativo</v>
      </c>
    </row>
    <row r="6613" ht="15.75" customHeight="1">
      <c r="A6613" s="2" t="s">
        <v>6610</v>
      </c>
      <c r="B6613" s="2" t="s">
        <v>3</v>
      </c>
      <c r="C6613" s="1" t="str">
        <f>IFERROR(__xludf.DUMMYFUNCTION("GOOGLETRANSLATE(A6613,""en"",""pt-br"")"),"urdidura")</f>
        <v>urdidura</v>
      </c>
      <c r="D6613" s="1" t="str">
        <f>IFERROR(__xludf.DUMMYFUNCTION("GOOGLETRANSLATE(B6613,""en"",""pt-br"")"),"negativo")</f>
        <v>negativo</v>
      </c>
    </row>
    <row r="6614" ht="15.75" customHeight="1">
      <c r="A6614" s="2" t="s">
        <v>6611</v>
      </c>
      <c r="B6614" s="2" t="s">
        <v>3</v>
      </c>
      <c r="C6614" s="1" t="str">
        <f>IFERROR(__xludf.DUMMYFUNCTION("GOOGLETRANSLATE(A6614,""en"",""pt-br"")"),"deformado")</f>
        <v>deformado</v>
      </c>
      <c r="D6614" s="1" t="str">
        <f>IFERROR(__xludf.DUMMYFUNCTION("GOOGLETRANSLATE(B6614,""en"",""pt-br"")"),"negativo")</f>
        <v>negativo</v>
      </c>
    </row>
    <row r="6615" ht="15.75" customHeight="1">
      <c r="A6615" s="2" t="s">
        <v>6612</v>
      </c>
      <c r="B6615" s="2" t="s">
        <v>3</v>
      </c>
      <c r="C6615" s="1" t="str">
        <f>IFERROR(__xludf.DUMMYFUNCTION("GOOGLETRANSLATE(A6615,""en"",""pt-br"")"),"desconfiado")</f>
        <v>desconfiado</v>
      </c>
      <c r="D6615" s="1" t="str">
        <f>IFERROR(__xludf.DUMMYFUNCTION("GOOGLETRANSLATE(B6615,""en"",""pt-br"")"),"negativo")</f>
        <v>negativo</v>
      </c>
    </row>
    <row r="6616" ht="15.75" customHeight="1">
      <c r="A6616" s="2" t="s">
        <v>6613</v>
      </c>
      <c r="B6616" s="2" t="s">
        <v>3</v>
      </c>
      <c r="C6616" s="1" t="str">
        <f>IFERROR(__xludf.DUMMYFUNCTION("GOOGLETRANSLATE(A6616,""en"",""pt-br"")"),"lavado")</f>
        <v>lavado</v>
      </c>
      <c r="D6616" s="1" t="str">
        <f>IFERROR(__xludf.DUMMYFUNCTION("GOOGLETRANSLATE(B6616,""en"",""pt-br"")"),"negativo")</f>
        <v>negativo</v>
      </c>
    </row>
    <row r="6617" ht="15.75" customHeight="1">
      <c r="A6617" s="2" t="s">
        <v>6614</v>
      </c>
      <c r="B6617" s="2" t="s">
        <v>3</v>
      </c>
      <c r="C6617" s="1" t="str">
        <f>IFERROR(__xludf.DUMMYFUNCTION("GOOGLETRANSLATE(A6617,""en"",""pt-br"")"),"desperdício")</f>
        <v>desperdício</v>
      </c>
      <c r="D6617" s="1" t="str">
        <f>IFERROR(__xludf.DUMMYFUNCTION("GOOGLETRANSLATE(B6617,""en"",""pt-br"")"),"negativo")</f>
        <v>negativo</v>
      </c>
    </row>
    <row r="6618" ht="15.75" customHeight="1">
      <c r="A6618" s="2" t="s">
        <v>6615</v>
      </c>
      <c r="B6618" s="2" t="s">
        <v>3</v>
      </c>
      <c r="C6618" s="1" t="str">
        <f>IFERROR(__xludf.DUMMYFUNCTION("GOOGLETRANSLATE(A6618,""en"",""pt-br"")"),"desperdiçado")</f>
        <v>desperdiçado</v>
      </c>
      <c r="D6618" s="1" t="str">
        <f>IFERROR(__xludf.DUMMYFUNCTION("GOOGLETRANSLATE(B6618,""en"",""pt-br"")"),"negativo")</f>
        <v>negativo</v>
      </c>
    </row>
    <row r="6619" ht="15.75" customHeight="1">
      <c r="A6619" s="2" t="s">
        <v>6616</v>
      </c>
      <c r="B6619" s="2" t="s">
        <v>3</v>
      </c>
      <c r="C6619" s="1" t="str">
        <f>IFERROR(__xludf.DUMMYFUNCTION("GOOGLETRANSLATE(A6619,""en"",""pt-br"")"),"desperdício")</f>
        <v>desperdício</v>
      </c>
      <c r="D6619" s="1" t="str">
        <f>IFERROR(__xludf.DUMMYFUNCTION("GOOGLETRANSLATE(B6619,""en"",""pt-br"")"),"negativo")</f>
        <v>negativo</v>
      </c>
    </row>
    <row r="6620" ht="15.75" customHeight="1">
      <c r="A6620" s="2" t="s">
        <v>6617</v>
      </c>
      <c r="B6620" s="2" t="s">
        <v>3</v>
      </c>
      <c r="C6620" s="1" t="str">
        <f>IFERROR(__xludf.DUMMYFUNCTION("GOOGLETRANSLATE(A6620,""en"",""pt-br"")"),"desperdício")</f>
        <v>desperdício</v>
      </c>
      <c r="D6620" s="1" t="str">
        <f>IFERROR(__xludf.DUMMYFUNCTION("GOOGLETRANSLATE(B6620,""en"",""pt-br"")"),"negativo")</f>
        <v>negativo</v>
      </c>
    </row>
    <row r="6621" ht="15.75" customHeight="1">
      <c r="A6621" s="2" t="s">
        <v>6618</v>
      </c>
      <c r="B6621" s="2" t="s">
        <v>3</v>
      </c>
      <c r="C6621" s="1" t="str">
        <f>IFERROR(__xludf.DUMMYFUNCTION("GOOGLETRANSLATE(A6621,""en"",""pt-br"")"),"desperdício")</f>
        <v>desperdício</v>
      </c>
      <c r="D6621" s="1" t="str">
        <f>IFERROR(__xludf.DUMMYFUNCTION("GOOGLETRANSLATE(B6621,""en"",""pt-br"")"),"negativo")</f>
        <v>negativo</v>
      </c>
    </row>
    <row r="6622" ht="15.75" customHeight="1">
      <c r="A6622" s="2" t="s">
        <v>6619</v>
      </c>
      <c r="B6622" s="2" t="s">
        <v>3</v>
      </c>
      <c r="C6622" s="1" t="str">
        <f>IFERROR(__xludf.DUMMYFUNCTION("GOOGLETRANSLATE(A6622,""en"",""pt-br"")"),"água-para baixo")</f>
        <v>água-para baixo</v>
      </c>
      <c r="D6622" s="1" t="str">
        <f>IFERROR(__xludf.DUMMYFUNCTION("GOOGLETRANSLATE(B6622,""en"",""pt-br"")"),"negativo")</f>
        <v>negativo</v>
      </c>
    </row>
    <row r="6623" ht="15.75" customHeight="1">
      <c r="A6623" s="2" t="s">
        <v>6620</v>
      </c>
      <c r="B6623" s="2" t="s">
        <v>3</v>
      </c>
      <c r="C6623" s="1" t="str">
        <f>IFERROR(__xludf.DUMMYFUNCTION("GOOGLETRANSLATE(A6623,""en"",""pt-br"")"),"aguado")</f>
        <v>aguado</v>
      </c>
      <c r="D6623" s="1" t="str">
        <f>IFERROR(__xludf.DUMMYFUNCTION("GOOGLETRANSLATE(B6623,""en"",""pt-br"")"),"negativo")</f>
        <v>negativo</v>
      </c>
    </row>
    <row r="6624" ht="15.75" customHeight="1">
      <c r="A6624" s="2" t="s">
        <v>6621</v>
      </c>
      <c r="B6624" s="2" t="s">
        <v>3</v>
      </c>
      <c r="C6624" s="1" t="str">
        <f>IFERROR(__xludf.DUMMYFUNCTION("GOOGLETRANSLATE(A6624,""en"",""pt-br"")"),"desobediente")</f>
        <v>desobediente</v>
      </c>
      <c r="D6624" s="1" t="str">
        <f>IFERROR(__xludf.DUMMYFUNCTION("GOOGLETRANSLATE(B6624,""en"",""pt-br"")"),"negativo")</f>
        <v>negativo</v>
      </c>
    </row>
    <row r="6625" ht="15.75" customHeight="1">
      <c r="A6625" s="2" t="s">
        <v>6622</v>
      </c>
      <c r="B6625" s="2" t="s">
        <v>3</v>
      </c>
      <c r="C6625" s="1" t="str">
        <f>IFERROR(__xludf.DUMMYFUNCTION("GOOGLETRANSLATE(A6625,""en"",""pt-br"")"),"fraco")</f>
        <v>fraco</v>
      </c>
      <c r="D6625" s="1" t="str">
        <f>IFERROR(__xludf.DUMMYFUNCTION("GOOGLETRANSLATE(B6625,""en"",""pt-br"")"),"negativo")</f>
        <v>negativo</v>
      </c>
    </row>
    <row r="6626" ht="15.75" customHeight="1">
      <c r="A6626" s="2" t="s">
        <v>6623</v>
      </c>
      <c r="B6626" s="2" t="s">
        <v>3</v>
      </c>
      <c r="C6626" s="1" t="str">
        <f>IFERROR(__xludf.DUMMYFUNCTION("GOOGLETRANSLATE(A6626,""en"",""pt-br"")"),"enfraquecer")</f>
        <v>enfraquecer</v>
      </c>
      <c r="D6626" s="1" t="str">
        <f>IFERROR(__xludf.DUMMYFUNCTION("GOOGLETRANSLATE(B6626,""en"",""pt-br"")"),"negativo")</f>
        <v>negativo</v>
      </c>
    </row>
    <row r="6627" ht="15.75" customHeight="1">
      <c r="A6627" s="2" t="s">
        <v>6624</v>
      </c>
      <c r="B6627" s="2" t="s">
        <v>3</v>
      </c>
      <c r="C6627" s="1" t="str">
        <f>IFERROR(__xludf.DUMMYFUNCTION("GOOGLETRANSLATE(A6627,""en"",""pt-br"")"),"enfraquecimento")</f>
        <v>enfraquecimento</v>
      </c>
      <c r="D6627" s="1" t="str">
        <f>IFERROR(__xludf.DUMMYFUNCTION("GOOGLETRANSLATE(B6627,""en"",""pt-br"")"),"negativo")</f>
        <v>negativo</v>
      </c>
    </row>
    <row r="6628" ht="15.75" customHeight="1">
      <c r="A6628" s="2" t="s">
        <v>6625</v>
      </c>
      <c r="B6628" s="2" t="s">
        <v>3</v>
      </c>
      <c r="C6628" s="1" t="str">
        <f>IFERROR(__xludf.DUMMYFUNCTION("GOOGLETRANSLATE(A6628,""en"",""pt-br"")"),"mais fraco")</f>
        <v>mais fraco</v>
      </c>
      <c r="D6628" s="1" t="str">
        <f>IFERROR(__xludf.DUMMYFUNCTION("GOOGLETRANSLATE(B6628,""en"",""pt-br"")"),"negativo")</f>
        <v>negativo</v>
      </c>
    </row>
    <row r="6629" ht="15.75" customHeight="1">
      <c r="A6629" s="2" t="s">
        <v>6626</v>
      </c>
      <c r="B6629" s="2" t="s">
        <v>3</v>
      </c>
      <c r="C6629" s="1" t="str">
        <f>IFERROR(__xludf.DUMMYFUNCTION("GOOGLETRANSLATE(A6629,""en"",""pt-br"")"),"fraqueza")</f>
        <v>fraqueza</v>
      </c>
      <c r="D6629" s="1" t="str">
        <f>IFERROR(__xludf.DUMMYFUNCTION("GOOGLETRANSLATE(B6629,""en"",""pt-br"")"),"negativo")</f>
        <v>negativo</v>
      </c>
    </row>
    <row r="6630" ht="15.75" customHeight="1">
      <c r="A6630" s="2" t="s">
        <v>6627</v>
      </c>
      <c r="B6630" s="2" t="s">
        <v>3</v>
      </c>
      <c r="C6630" s="1" t="str">
        <f>IFERROR(__xludf.DUMMYFUNCTION("GOOGLETRANSLATE(A6630,""en"",""pt-br"")"),"fraquezas")</f>
        <v>fraquezas</v>
      </c>
      <c r="D6630" s="1" t="str">
        <f>IFERROR(__xludf.DUMMYFUNCTION("GOOGLETRANSLATE(B6630,""en"",""pt-br"")"),"negativo")</f>
        <v>negativo</v>
      </c>
    </row>
    <row r="6631" ht="15.75" customHeight="1">
      <c r="A6631" s="2" t="s">
        <v>6628</v>
      </c>
      <c r="B6631" s="2" t="s">
        <v>14</v>
      </c>
      <c r="C6631" s="1" t="str">
        <f>IFERROR(__xludf.DUMMYFUNCTION("GOOGLETRANSLATE(A6631,""en"",""pt-br"")"),"rico")</f>
        <v>rico</v>
      </c>
      <c r="D6631" s="1" t="str">
        <f>IFERROR(__xludf.DUMMYFUNCTION("GOOGLETRANSLATE(B6631,""en"",""pt-br"")"),"positivo")</f>
        <v>positivo</v>
      </c>
    </row>
    <row r="6632" ht="15.75" customHeight="1">
      <c r="A6632" s="2" t="s">
        <v>6629</v>
      </c>
      <c r="B6632" s="2" t="s">
        <v>3</v>
      </c>
      <c r="C6632" s="1" t="str">
        <f>IFERROR(__xludf.DUMMYFUNCTION("GOOGLETRANSLATE(A6632,""en"",""pt-br"")"),"cansaço")</f>
        <v>cansaço</v>
      </c>
      <c r="D6632" s="1" t="str">
        <f>IFERROR(__xludf.DUMMYFUNCTION("GOOGLETRANSLATE(B6632,""en"",""pt-br"")"),"negativo")</f>
        <v>negativo</v>
      </c>
    </row>
    <row r="6633" ht="15.75" customHeight="1">
      <c r="A6633" s="2" t="s">
        <v>6630</v>
      </c>
      <c r="B6633" s="2" t="s">
        <v>3</v>
      </c>
      <c r="C6633" s="1" t="str">
        <f>IFERROR(__xludf.DUMMYFUNCTION("GOOGLETRANSLATE(A6633,""en"",""pt-br"")"),"enfadonho")</f>
        <v>enfadonho</v>
      </c>
      <c r="D6633" s="1" t="str">
        <f>IFERROR(__xludf.DUMMYFUNCTION("GOOGLETRANSLATE(B6633,""en"",""pt-br"")"),"negativo")</f>
        <v>negativo</v>
      </c>
    </row>
    <row r="6634" ht="15.75" customHeight="1">
      <c r="A6634" s="2" t="s">
        <v>6631</v>
      </c>
      <c r="B6634" s="2" t="s">
        <v>3</v>
      </c>
      <c r="C6634" s="1" t="str">
        <f>IFERROR(__xludf.DUMMYFUNCTION("GOOGLETRANSLATE(A6634,""en"",""pt-br"")"),"cansado")</f>
        <v>cansado</v>
      </c>
      <c r="D6634" s="1" t="str">
        <f>IFERROR(__xludf.DUMMYFUNCTION("GOOGLETRANSLATE(B6634,""en"",""pt-br"")"),"negativo")</f>
        <v>negativo</v>
      </c>
    </row>
    <row r="6635" ht="15.75" customHeight="1">
      <c r="A6635" s="2" t="s">
        <v>6632</v>
      </c>
      <c r="B6635" s="2" t="s">
        <v>3</v>
      </c>
      <c r="C6635" s="1" t="str">
        <f>IFERROR(__xludf.DUMMYFUNCTION("GOOGLETRANSLATE(A6635,""en"",""pt-br"")"),"cunha")</f>
        <v>cunha</v>
      </c>
      <c r="D6635" s="1" t="str">
        <f>IFERROR(__xludf.DUMMYFUNCTION("GOOGLETRANSLATE(B6635,""en"",""pt-br"")"),"negativo")</f>
        <v>negativo</v>
      </c>
    </row>
    <row r="6636" ht="15.75" customHeight="1">
      <c r="A6636" s="2" t="s">
        <v>6633</v>
      </c>
      <c r="B6636" s="2" t="s">
        <v>3</v>
      </c>
      <c r="C6636" s="1" t="str">
        <f>IFERROR(__xludf.DUMMYFUNCTION("GOOGLETRANSLATE(A6636,""en"",""pt-br"")"),"erva daninha")</f>
        <v>erva daninha</v>
      </c>
      <c r="D6636" s="1" t="str">
        <f>IFERROR(__xludf.DUMMYFUNCTION("GOOGLETRANSLATE(B6636,""en"",""pt-br"")"),"negativo")</f>
        <v>negativo</v>
      </c>
    </row>
    <row r="6637" ht="15.75" customHeight="1">
      <c r="A6637" s="2" t="s">
        <v>6634</v>
      </c>
      <c r="B6637" s="2" t="s">
        <v>3</v>
      </c>
      <c r="C6637" s="1" t="str">
        <f>IFERROR(__xludf.DUMMYFUNCTION("GOOGLETRANSLATE(A6637,""en"",""pt-br"")"),"chorar")</f>
        <v>chorar</v>
      </c>
      <c r="D6637" s="1" t="str">
        <f>IFERROR(__xludf.DUMMYFUNCTION("GOOGLETRANSLATE(B6637,""en"",""pt-br"")"),"negativo")</f>
        <v>negativo</v>
      </c>
    </row>
    <row r="6638" ht="15.75" customHeight="1">
      <c r="A6638" s="2" t="s">
        <v>6635</v>
      </c>
      <c r="B6638" s="2" t="s">
        <v>3</v>
      </c>
      <c r="C6638" s="1" t="str">
        <f>IFERROR(__xludf.DUMMYFUNCTION("GOOGLETRANSLATE(A6638,""en"",""pt-br"")"),"esquisito")</f>
        <v>esquisito</v>
      </c>
      <c r="D6638" s="1" t="str">
        <f>IFERROR(__xludf.DUMMYFUNCTION("GOOGLETRANSLATE(B6638,""en"",""pt-br"")"),"negativo")</f>
        <v>negativo</v>
      </c>
    </row>
    <row r="6639" ht="15.75" customHeight="1">
      <c r="A6639" s="2" t="s">
        <v>6636</v>
      </c>
      <c r="B6639" s="2" t="s">
        <v>3</v>
      </c>
      <c r="C6639" s="1" t="str">
        <f>IFERROR(__xludf.DUMMYFUNCTION("GOOGLETRANSLATE(A6639,""en"",""pt-br"")"),"estranhamente")</f>
        <v>estranhamente</v>
      </c>
      <c r="D6639" s="1" t="str">
        <f>IFERROR(__xludf.DUMMYFUNCTION("GOOGLETRANSLATE(B6639,""en"",""pt-br"")"),"negativo")</f>
        <v>negativo</v>
      </c>
    </row>
    <row r="6640" ht="15.75" customHeight="1">
      <c r="A6640" s="2" t="s">
        <v>6637</v>
      </c>
      <c r="B6640" s="2" t="s">
        <v>14</v>
      </c>
      <c r="C6640" s="1" t="str">
        <f>IFERROR(__xludf.DUMMYFUNCTION("GOOGLETRANSLATE(A6640,""en"",""pt-br"")"),"bem-vinda")</f>
        <v>bem-vinda</v>
      </c>
      <c r="D6640" s="1" t="str">
        <f>IFERROR(__xludf.DUMMYFUNCTION("GOOGLETRANSLATE(B6640,""en"",""pt-br"")"),"positivo")</f>
        <v>positivo</v>
      </c>
    </row>
    <row r="6641" ht="15.75" customHeight="1">
      <c r="A6641" s="2" t="s">
        <v>6638</v>
      </c>
      <c r="B6641" s="2" t="s">
        <v>14</v>
      </c>
      <c r="C6641" s="1" t="str">
        <f>IFERROR(__xludf.DUMMYFUNCTION("GOOGLETRANSLATE(A6641,""en"",""pt-br"")"),"bem")</f>
        <v>bem</v>
      </c>
      <c r="D6641" s="1" t="str">
        <f>IFERROR(__xludf.DUMMYFUNCTION("GOOGLETRANSLATE(B6641,""en"",""pt-br"")"),"positivo")</f>
        <v>positivo</v>
      </c>
    </row>
    <row r="6642" ht="15.75" customHeight="1">
      <c r="A6642" s="2" t="s">
        <v>6639</v>
      </c>
      <c r="B6642" s="2" t="s">
        <v>14</v>
      </c>
      <c r="C6642" s="1" t="str">
        <f>IFERROR(__xludf.DUMMYFUNCTION("GOOGLETRANSLATE(A6642,""en"",""pt-br"")"),"bem retroiluminado")</f>
        <v>bem retroiluminado</v>
      </c>
      <c r="D6642" s="1" t="str">
        <f>IFERROR(__xludf.DUMMYFUNCTION("GOOGLETRANSLATE(B6642,""en"",""pt-br"")"),"positivo")</f>
        <v>positivo</v>
      </c>
    </row>
    <row r="6643" ht="15.75" customHeight="1">
      <c r="A6643" s="2" t="s">
        <v>6640</v>
      </c>
      <c r="B6643" s="2" t="s">
        <v>14</v>
      </c>
      <c r="C6643" s="1" t="str">
        <f>IFERROR(__xludf.DUMMYFUNCTION("GOOGLETRANSLATE(A6643,""en"",""pt-br"")"),"bem equilibrada")</f>
        <v>bem equilibrada</v>
      </c>
      <c r="D6643" s="1" t="str">
        <f>IFERROR(__xludf.DUMMYFUNCTION("GOOGLETRANSLATE(B6643,""en"",""pt-br"")"),"positivo")</f>
        <v>positivo</v>
      </c>
    </row>
    <row r="6644" ht="15.75" customHeight="1">
      <c r="A6644" s="2" t="s">
        <v>6641</v>
      </c>
      <c r="B6644" s="2" t="s">
        <v>14</v>
      </c>
      <c r="C6644" s="1" t="str">
        <f>IFERROR(__xludf.DUMMYFUNCTION("GOOGLETRANSLATE(A6644,""en"",""pt-br"")"),"bem comportado")</f>
        <v>bem comportado</v>
      </c>
      <c r="D6644" s="1" t="str">
        <f>IFERROR(__xludf.DUMMYFUNCTION("GOOGLETRANSLATE(B6644,""en"",""pt-br"")"),"positivo")</f>
        <v>positivo</v>
      </c>
    </row>
    <row r="6645" ht="15.75" customHeight="1">
      <c r="A6645" s="2" t="s">
        <v>6642</v>
      </c>
      <c r="B6645" s="2" t="s">
        <v>14</v>
      </c>
      <c r="C6645" s="1" t="str">
        <f>IFERROR(__xludf.DUMMYFUNCTION("GOOGLETRANSLATE(A6645,""en"",""pt-br"")"),"bem-estar")</f>
        <v>bem-estar</v>
      </c>
      <c r="D6645" s="1" t="str">
        <f>IFERROR(__xludf.DUMMYFUNCTION("GOOGLETRANSLATE(B6645,""en"",""pt-br"")"),"positivo")</f>
        <v>positivo</v>
      </c>
    </row>
    <row r="6646" ht="15.75" customHeight="1">
      <c r="A6646" s="2" t="s">
        <v>6643</v>
      </c>
      <c r="B6646" s="2" t="s">
        <v>14</v>
      </c>
      <c r="C6646" s="1" t="str">
        <f>IFERROR(__xludf.DUMMYFUNCTION("GOOGLETRANSLATE(A6646,""en"",""pt-br"")"),"bem educado")</f>
        <v>bem educado</v>
      </c>
      <c r="D6646" s="1" t="str">
        <f>IFERROR(__xludf.DUMMYFUNCTION("GOOGLETRANSLATE(B6646,""en"",""pt-br"")"),"positivo")</f>
        <v>positivo</v>
      </c>
    </row>
    <row r="6647" ht="15.75" customHeight="1">
      <c r="A6647" s="2" t="s">
        <v>6644</v>
      </c>
      <c r="B6647" s="2" t="s">
        <v>14</v>
      </c>
      <c r="C6647" s="1" t="str">
        <f>IFERROR(__xludf.DUMMYFUNCTION("GOOGLETRANSLATE(A6647,""en"",""pt-br"")"),"bem ligado")</f>
        <v>bem ligado</v>
      </c>
      <c r="D6647" s="1" t="str">
        <f>IFERROR(__xludf.DUMMYFUNCTION("GOOGLETRANSLATE(B6647,""en"",""pt-br"")"),"positivo")</f>
        <v>positivo</v>
      </c>
    </row>
    <row r="6648" ht="15.75" customHeight="1">
      <c r="A6648" s="2" t="s">
        <v>6645</v>
      </c>
      <c r="B6648" s="2" t="s">
        <v>14</v>
      </c>
      <c r="C6648" s="1" t="str">
        <f>IFERROR(__xludf.DUMMYFUNCTION("GOOGLETRANSLATE(A6648,""en"",""pt-br"")"),"bem-educado")</f>
        <v>bem-educado</v>
      </c>
      <c r="D6648" s="1" t="str">
        <f>IFERROR(__xludf.DUMMYFUNCTION("GOOGLETRANSLATE(B6648,""en"",""pt-br"")"),"positivo")</f>
        <v>positivo</v>
      </c>
    </row>
    <row r="6649" ht="15.75" customHeight="1">
      <c r="A6649" s="2" t="s">
        <v>6646</v>
      </c>
      <c r="B6649" s="2" t="s">
        <v>14</v>
      </c>
      <c r="C6649" s="1" t="str">
        <f>IFERROR(__xludf.DUMMYFUNCTION("GOOGLETRANSLATE(A6649,""en"",""pt-br"")"),"bem estabelecido")</f>
        <v>bem estabelecido</v>
      </c>
      <c r="D6649" s="1" t="str">
        <f>IFERROR(__xludf.DUMMYFUNCTION("GOOGLETRANSLATE(B6649,""en"",""pt-br"")"),"positivo")</f>
        <v>positivo</v>
      </c>
    </row>
    <row r="6650" ht="15.75" customHeight="1">
      <c r="A6650" s="2" t="s">
        <v>6647</v>
      </c>
      <c r="B6650" s="2" t="s">
        <v>14</v>
      </c>
      <c r="C6650" s="1" t="str">
        <f>IFERROR(__xludf.DUMMYFUNCTION("GOOGLETRANSLATE(A6650,""en"",""pt-br"")"),"bem informado")</f>
        <v>bem informado</v>
      </c>
      <c r="D6650" s="1" t="str">
        <f>IFERROR(__xludf.DUMMYFUNCTION("GOOGLETRANSLATE(B6650,""en"",""pt-br"")"),"positivo")</f>
        <v>positivo</v>
      </c>
    </row>
    <row r="6651" ht="15.75" customHeight="1">
      <c r="A6651" s="2" t="s">
        <v>6648</v>
      </c>
      <c r="B6651" s="2" t="s">
        <v>14</v>
      </c>
      <c r="C6651" s="1" t="str">
        <f>IFERROR(__xludf.DUMMYFUNCTION("GOOGLETRANSLATE(A6651,""en"",""pt-br"")"),"bem-intencionado")</f>
        <v>bem-intencionado</v>
      </c>
      <c r="D6651" s="1" t="str">
        <f>IFERROR(__xludf.DUMMYFUNCTION("GOOGLETRANSLATE(B6651,""en"",""pt-br"")"),"positivo")</f>
        <v>positivo</v>
      </c>
    </row>
    <row r="6652" ht="15.75" customHeight="1">
      <c r="A6652" s="2" t="s">
        <v>6649</v>
      </c>
      <c r="B6652" s="2" t="s">
        <v>14</v>
      </c>
      <c r="C6652" s="1" t="str">
        <f>IFERROR(__xludf.DUMMYFUNCTION("GOOGLETRANSLATE(A6652,""en"",""pt-br"")"),"bem conhecido")</f>
        <v>bem conhecido</v>
      </c>
      <c r="D6652" s="1" t="str">
        <f>IFERROR(__xludf.DUMMYFUNCTION("GOOGLETRANSLATE(B6652,""en"",""pt-br"")"),"positivo")</f>
        <v>positivo</v>
      </c>
    </row>
    <row r="6653" ht="15.75" customHeight="1">
      <c r="A6653" s="2" t="s">
        <v>6650</v>
      </c>
      <c r="B6653" s="2" t="s">
        <v>14</v>
      </c>
      <c r="C6653" s="1" t="str">
        <f>IFERROR(__xludf.DUMMYFUNCTION("GOOGLETRANSLATE(A6653,""en"",""pt-br"")"),"bem feito")</f>
        <v>bem feito</v>
      </c>
      <c r="D6653" s="1" t="str">
        <f>IFERROR(__xludf.DUMMYFUNCTION("GOOGLETRANSLATE(B6653,""en"",""pt-br"")"),"positivo")</f>
        <v>positivo</v>
      </c>
    </row>
    <row r="6654" ht="15.75" customHeight="1">
      <c r="A6654" s="2" t="s">
        <v>6651</v>
      </c>
      <c r="B6654" s="2" t="s">
        <v>14</v>
      </c>
      <c r="C6654" s="1" t="str">
        <f>IFERROR(__xludf.DUMMYFUNCTION("GOOGLETRANSLATE(A6654,""en"",""pt-br"")"),"bem administrado")</f>
        <v>bem administrado</v>
      </c>
      <c r="D6654" s="1" t="str">
        <f>IFERROR(__xludf.DUMMYFUNCTION("GOOGLETRANSLATE(B6654,""en"",""pt-br"")"),"positivo")</f>
        <v>positivo</v>
      </c>
    </row>
    <row r="6655" ht="15.75" customHeight="1">
      <c r="A6655" s="2" t="s">
        <v>6652</v>
      </c>
      <c r="B6655" s="2" t="s">
        <v>14</v>
      </c>
      <c r="C6655" s="1" t="str">
        <f>IFERROR(__xludf.DUMMYFUNCTION("GOOGLETRANSLATE(A6655,""en"",""pt-br"")"),"educado")</f>
        <v>educado</v>
      </c>
      <c r="D6655" s="1" t="str">
        <f>IFERROR(__xludf.DUMMYFUNCTION("GOOGLETRANSLATE(B6655,""en"",""pt-br"")"),"positivo")</f>
        <v>positivo</v>
      </c>
    </row>
    <row r="6656" ht="15.75" customHeight="1">
      <c r="A6656" s="2" t="s">
        <v>6653</v>
      </c>
      <c r="B6656" s="2" t="s">
        <v>14</v>
      </c>
      <c r="C6656" s="1" t="str">
        <f>IFERROR(__xludf.DUMMYFUNCTION("GOOGLETRANSLATE(A6656,""en"",""pt-br"")"),"bem posicionado")</f>
        <v>bem posicionado</v>
      </c>
      <c r="D6656" s="1" t="str">
        <f>IFERROR(__xludf.DUMMYFUNCTION("GOOGLETRANSLATE(B6656,""en"",""pt-br"")"),"positivo")</f>
        <v>positivo</v>
      </c>
    </row>
    <row r="6657" ht="15.75" customHeight="1">
      <c r="A6657" s="2" t="s">
        <v>6654</v>
      </c>
      <c r="B6657" s="2" t="s">
        <v>14</v>
      </c>
      <c r="C6657" s="1" t="str">
        <f>IFERROR(__xludf.DUMMYFUNCTION("GOOGLETRANSLATE(A6657,""en"",""pt-br"")"),"bem recebido")</f>
        <v>bem recebido</v>
      </c>
      <c r="D6657" s="1" t="str">
        <f>IFERROR(__xludf.DUMMYFUNCTION("GOOGLETRANSLATE(B6657,""en"",""pt-br"")"),"positivo")</f>
        <v>positivo</v>
      </c>
    </row>
    <row r="6658" ht="15.75" customHeight="1">
      <c r="A6658" s="2" t="s">
        <v>6655</v>
      </c>
      <c r="B6658" s="2" t="s">
        <v>14</v>
      </c>
      <c r="C6658" s="1" t="str">
        <f>IFERROR(__xludf.DUMMYFUNCTION("GOOGLETRANSLATE(A6658,""en"",""pt-br"")"),"bem visto")</f>
        <v>bem visto</v>
      </c>
      <c r="D6658" s="1" t="str">
        <f>IFERROR(__xludf.DUMMYFUNCTION("GOOGLETRANSLATE(B6658,""en"",""pt-br"")"),"positivo")</f>
        <v>positivo</v>
      </c>
    </row>
    <row r="6659" ht="15.75" customHeight="1">
      <c r="A6659" s="2" t="s">
        <v>6656</v>
      </c>
      <c r="B6659" s="2" t="s">
        <v>14</v>
      </c>
      <c r="C6659" s="1" t="str">
        <f>IFERROR(__xludf.DUMMYFUNCTION("GOOGLETRANSLATE(A6659,""en"",""pt-br"")"),"bem equilibrada")</f>
        <v>bem equilibrada</v>
      </c>
      <c r="D6659" s="1" t="str">
        <f>IFERROR(__xludf.DUMMYFUNCTION("GOOGLETRANSLATE(B6659,""en"",""pt-br"")"),"positivo")</f>
        <v>positivo</v>
      </c>
    </row>
    <row r="6660" ht="15.75" customHeight="1">
      <c r="A6660" s="2" t="s">
        <v>6657</v>
      </c>
      <c r="B6660" s="2" t="s">
        <v>14</v>
      </c>
      <c r="C6660" s="1" t="str">
        <f>IFERROR(__xludf.DUMMYFUNCTION("GOOGLETRANSLATE(A6660,""en"",""pt-br"")"),"bem organizado")</f>
        <v>bem organizado</v>
      </c>
      <c r="D6660" s="1" t="str">
        <f>IFERROR(__xludf.DUMMYFUNCTION("GOOGLETRANSLATE(B6660,""en"",""pt-br"")"),"positivo")</f>
        <v>positivo</v>
      </c>
    </row>
    <row r="6661" ht="15.75" customHeight="1">
      <c r="A6661" s="2" t="s">
        <v>6658</v>
      </c>
      <c r="B6661" s="2" t="s">
        <v>14</v>
      </c>
      <c r="C6661" s="1" t="str">
        <f>IFERROR(__xludf.DUMMYFUNCTION("GOOGLETRANSLATE(A6661,""en"",""pt-br"")"),"benquerentes")</f>
        <v>benquerentes</v>
      </c>
      <c r="D6661" s="1" t="str">
        <f>IFERROR(__xludf.DUMMYFUNCTION("GOOGLETRANSLATE(B6661,""en"",""pt-br"")"),"positivo")</f>
        <v>positivo</v>
      </c>
    </row>
    <row r="6662" ht="15.75" customHeight="1">
      <c r="A6662" s="2" t="s">
        <v>6659</v>
      </c>
      <c r="B6662" s="2" t="s">
        <v>14</v>
      </c>
      <c r="C6662" s="1" t="str">
        <f>IFERROR(__xludf.DUMMYFUNCTION("GOOGLETRANSLATE(A6662,""en"",""pt-br"")"),"bem-estar")</f>
        <v>bem-estar</v>
      </c>
      <c r="D6662" s="1" t="str">
        <f>IFERROR(__xludf.DUMMYFUNCTION("GOOGLETRANSLATE(B6662,""en"",""pt-br"")"),"positivo")</f>
        <v>positivo</v>
      </c>
    </row>
    <row r="6663" ht="15.75" customHeight="1">
      <c r="A6663" s="2" t="s">
        <v>6660</v>
      </c>
      <c r="B6663" s="2" t="s">
        <v>3</v>
      </c>
      <c r="C6663" s="1" t="str">
        <f>IFERROR(__xludf.DUMMYFUNCTION("GOOGLETRANSLATE(A6663,""en"",""pt-br"")"),"wheedle")</f>
        <v>wheedle</v>
      </c>
      <c r="D6663" s="1" t="str">
        <f>IFERROR(__xludf.DUMMYFUNCTION("GOOGLETRANSLATE(B6663,""en"",""pt-br"")"),"negativo")</f>
        <v>negativo</v>
      </c>
    </row>
    <row r="6664" ht="15.75" customHeight="1">
      <c r="A6664" s="2" t="s">
        <v>6661</v>
      </c>
      <c r="B6664" s="2" t="s">
        <v>3</v>
      </c>
      <c r="C6664" s="1" t="str">
        <f>IFERROR(__xludf.DUMMYFUNCTION("GOOGLETRANSLATE(A6664,""en"",""pt-br"")"),"choramingar")</f>
        <v>choramingar</v>
      </c>
      <c r="D6664" s="1" t="str">
        <f>IFERROR(__xludf.DUMMYFUNCTION("GOOGLETRANSLATE(B6664,""en"",""pt-br"")"),"negativo")</f>
        <v>negativo</v>
      </c>
    </row>
    <row r="6665" ht="15.75" customHeight="1">
      <c r="A6665" s="2" t="s">
        <v>6662</v>
      </c>
      <c r="B6665" s="2" t="s">
        <v>3</v>
      </c>
      <c r="C6665" s="1" t="str">
        <f>IFERROR(__xludf.DUMMYFUNCTION("GOOGLETRANSLATE(A6665,""en"",""pt-br"")"),"ganir")</f>
        <v>ganir</v>
      </c>
      <c r="D6665" s="1" t="str">
        <f>IFERROR(__xludf.DUMMYFUNCTION("GOOGLETRANSLATE(B6665,""en"",""pt-br"")"),"negativo")</f>
        <v>negativo</v>
      </c>
    </row>
    <row r="6666" ht="15.75" customHeight="1">
      <c r="A6666" s="2" t="s">
        <v>6663</v>
      </c>
      <c r="B6666" s="2" t="s">
        <v>3</v>
      </c>
      <c r="C6666" s="1" t="str">
        <f>IFERROR(__xludf.DUMMYFUNCTION("GOOGLETRANSLATE(A6666,""en"",""pt-br"")"),"choramingar")</f>
        <v>choramingar</v>
      </c>
      <c r="D6666" s="1" t="str">
        <f>IFERROR(__xludf.DUMMYFUNCTION("GOOGLETRANSLATE(B6666,""en"",""pt-br"")"),"negativo")</f>
        <v>negativo</v>
      </c>
    </row>
    <row r="6667" ht="15.75" customHeight="1">
      <c r="A6667" s="2" t="s">
        <v>6664</v>
      </c>
      <c r="B6667" s="2" t="s">
        <v>3</v>
      </c>
      <c r="C6667" s="1" t="str">
        <f>IFERROR(__xludf.DUMMYFUNCTION("GOOGLETRANSLATE(A6667,""en"",""pt-br"")"),"whiny")</f>
        <v>whiny</v>
      </c>
      <c r="D6667" s="1" t="str">
        <f>IFERROR(__xludf.DUMMYFUNCTION("GOOGLETRANSLATE(B6667,""en"",""pt-br"")"),"negativo")</f>
        <v>negativo</v>
      </c>
    </row>
    <row r="6668" ht="15.75" customHeight="1">
      <c r="A6668" s="2" t="s">
        <v>6665</v>
      </c>
      <c r="B6668" s="2" t="s">
        <v>3</v>
      </c>
      <c r="C6668" s="1" t="str">
        <f>IFERROR(__xludf.DUMMYFUNCTION("GOOGLETRANSLATE(A6668,""en"",""pt-br"")"),"chicotes")</f>
        <v>chicotes</v>
      </c>
      <c r="D6668" s="1" t="str">
        <f>IFERROR(__xludf.DUMMYFUNCTION("GOOGLETRANSLATE(B6668,""en"",""pt-br"")"),"negativo")</f>
        <v>negativo</v>
      </c>
    </row>
    <row r="6669" ht="15.75" customHeight="1">
      <c r="A6669" s="2" t="s">
        <v>6666</v>
      </c>
      <c r="B6669" s="2" t="s">
        <v>14</v>
      </c>
      <c r="C6669" s="1" t="str">
        <f>IFERROR(__xludf.DUMMYFUNCTION("GOOGLETRANSLATE(A6669,""en"",""pt-br"")"),"Uau")</f>
        <v>Uau</v>
      </c>
      <c r="D6669" s="1" t="str">
        <f>IFERROR(__xludf.DUMMYFUNCTION("GOOGLETRANSLATE(B6669,""en"",""pt-br"")"),"positivo")</f>
        <v>positivo</v>
      </c>
    </row>
    <row r="6670" ht="15.75" customHeight="1">
      <c r="A6670" s="2" t="s">
        <v>6667</v>
      </c>
      <c r="B6670" s="2" t="s">
        <v>14</v>
      </c>
      <c r="C6670" s="1" t="str">
        <f>IFERROR(__xludf.DUMMYFUNCTION("GOOGLETRANSLATE(A6670,""en"",""pt-br"")"),"sinceramente")</f>
        <v>sinceramente</v>
      </c>
      <c r="D6670" s="1" t="str">
        <f>IFERROR(__xludf.DUMMYFUNCTION("GOOGLETRANSLATE(B6670,""en"",""pt-br"")"),"positivo")</f>
        <v>positivo</v>
      </c>
    </row>
    <row r="6671" ht="15.75" customHeight="1">
      <c r="A6671" s="2" t="s">
        <v>6668</v>
      </c>
      <c r="B6671" s="2" t="s">
        <v>14</v>
      </c>
      <c r="C6671" s="1" t="str">
        <f>IFERROR(__xludf.DUMMYFUNCTION("GOOGLETRANSLATE(A6671,""en"",""pt-br"")"),"saudável")</f>
        <v>saudável</v>
      </c>
      <c r="D6671" s="1" t="str">
        <f>IFERROR(__xludf.DUMMYFUNCTION("GOOGLETRANSLATE(B6671,""en"",""pt-br"")"),"positivo")</f>
        <v>positivo</v>
      </c>
    </row>
    <row r="6672" ht="15.75" customHeight="1">
      <c r="A6672" s="2" t="s">
        <v>6669</v>
      </c>
      <c r="B6672" s="2" t="s">
        <v>14</v>
      </c>
      <c r="C6672" s="1" t="str">
        <f>IFERROR(__xludf.DUMMYFUNCTION("GOOGLETRANSLATE(A6672,""en"",""pt-br"")"),"Whooa")</f>
        <v>Whooa</v>
      </c>
      <c r="D6672" s="1" t="str">
        <f>IFERROR(__xludf.DUMMYFUNCTION("GOOGLETRANSLATE(B6672,""en"",""pt-br"")"),"positivo")</f>
        <v>positivo</v>
      </c>
    </row>
    <row r="6673" ht="15.75" customHeight="1">
      <c r="A6673" s="2" t="s">
        <v>6670</v>
      </c>
      <c r="B6673" s="2" t="s">
        <v>14</v>
      </c>
      <c r="C6673" s="1" t="str">
        <f>IFERROR(__xludf.DUMMYFUNCTION("GOOGLETRANSLATE(A6673,""en"",""pt-br"")"),"whoooa")</f>
        <v>whoooa</v>
      </c>
      <c r="D6673" s="1" t="str">
        <f>IFERROR(__xludf.DUMMYFUNCTION("GOOGLETRANSLATE(B6673,""en"",""pt-br"")"),"positivo")</f>
        <v>positivo</v>
      </c>
    </row>
    <row r="6674" ht="15.75" customHeight="1">
      <c r="A6674" s="2" t="s">
        <v>6671</v>
      </c>
      <c r="B6674" s="2" t="s">
        <v>3</v>
      </c>
      <c r="C6674" s="1" t="str">
        <f>IFERROR(__xludf.DUMMYFUNCTION("GOOGLETRANSLATE(A6674,""en"",""pt-br"")"),"prostituta")</f>
        <v>prostituta</v>
      </c>
      <c r="D6674" s="1" t="str">
        <f>IFERROR(__xludf.DUMMYFUNCTION("GOOGLETRANSLATE(B6674,""en"",""pt-br"")"),"negativo")</f>
        <v>negativo</v>
      </c>
    </row>
    <row r="6675" ht="15.75" customHeight="1">
      <c r="A6675" s="2" t="s">
        <v>6672</v>
      </c>
      <c r="B6675" s="2" t="s">
        <v>3</v>
      </c>
      <c r="C6675" s="1" t="str">
        <f>IFERROR(__xludf.DUMMYFUNCTION("GOOGLETRANSLATE(A6675,""en"",""pt-br"")"),"prostitutas")</f>
        <v>prostitutas</v>
      </c>
      <c r="D6675" s="1" t="str">
        <f>IFERROR(__xludf.DUMMYFUNCTION("GOOGLETRANSLATE(B6675,""en"",""pt-br"")"),"negativo")</f>
        <v>negativo</v>
      </c>
    </row>
    <row r="6676" ht="15.75" customHeight="1">
      <c r="A6676" s="2" t="s">
        <v>6673</v>
      </c>
      <c r="B6676" s="2" t="s">
        <v>3</v>
      </c>
      <c r="C6676" s="1" t="str">
        <f>IFERROR(__xludf.DUMMYFUNCTION("GOOGLETRANSLATE(A6676,""en"",""pt-br"")"),"malvado")</f>
        <v>malvado</v>
      </c>
      <c r="D6676" s="1" t="str">
        <f>IFERROR(__xludf.DUMMYFUNCTION("GOOGLETRANSLATE(B6676,""en"",""pt-br"")"),"negativo")</f>
        <v>negativo</v>
      </c>
    </row>
    <row r="6677" ht="15.75" customHeight="1">
      <c r="A6677" s="2" t="s">
        <v>6674</v>
      </c>
      <c r="B6677" s="2" t="s">
        <v>3</v>
      </c>
      <c r="C6677" s="1" t="str">
        <f>IFERROR(__xludf.DUMMYFUNCTION("GOOGLETRANSLATE(A6677,""en"",""pt-br"")"),"perversamente")</f>
        <v>perversamente</v>
      </c>
      <c r="D6677" s="1" t="str">
        <f>IFERROR(__xludf.DUMMYFUNCTION("GOOGLETRANSLATE(B6677,""en"",""pt-br"")"),"negativo")</f>
        <v>negativo</v>
      </c>
    </row>
    <row r="6678" ht="15.75" customHeight="1">
      <c r="A6678" s="2" t="s">
        <v>6675</v>
      </c>
      <c r="B6678" s="2" t="s">
        <v>3</v>
      </c>
      <c r="C6678" s="1" t="str">
        <f>IFERROR(__xludf.DUMMYFUNCTION("GOOGLETRANSLATE(A6678,""en"",""pt-br"")"),"maldade")</f>
        <v>maldade</v>
      </c>
      <c r="D6678" s="1" t="str">
        <f>IFERROR(__xludf.DUMMYFUNCTION("GOOGLETRANSLATE(B6678,""en"",""pt-br"")"),"negativo")</f>
        <v>negativo</v>
      </c>
    </row>
    <row r="6679" ht="15.75" customHeight="1">
      <c r="A6679" s="2" t="s">
        <v>6676</v>
      </c>
      <c r="B6679" s="2" t="s">
        <v>14</v>
      </c>
      <c r="C6679" s="1" t="str">
        <f>IFERROR(__xludf.DUMMYFUNCTION("GOOGLETRANSLATE(A6679,""en"",""pt-br"")"),"habilidoso")</f>
        <v>habilidoso</v>
      </c>
      <c r="D6679" s="1" t="str">
        <f>IFERROR(__xludf.DUMMYFUNCTION("GOOGLETRANSLATE(B6679,""en"",""pt-br"")"),"positivo")</f>
        <v>positivo</v>
      </c>
    </row>
    <row r="6680" ht="15.75" customHeight="1">
      <c r="A6680" s="2" t="s">
        <v>6677</v>
      </c>
      <c r="B6680" s="2" t="s">
        <v>3</v>
      </c>
      <c r="C6680" s="1" t="str">
        <f>IFERROR(__xludf.DUMMYFUNCTION("GOOGLETRANSLATE(A6680,""en"",""pt-br"")"),"selvagem")</f>
        <v>selvagem</v>
      </c>
      <c r="D6680" s="1" t="str">
        <f>IFERROR(__xludf.DUMMYFUNCTION("GOOGLETRANSLATE(B6680,""en"",""pt-br"")"),"negativo")</f>
        <v>negativo</v>
      </c>
    </row>
    <row r="6681" ht="15.75" customHeight="1">
      <c r="A6681" s="2" t="s">
        <v>6678</v>
      </c>
      <c r="B6681" s="2" t="s">
        <v>3</v>
      </c>
      <c r="C6681" s="1" t="str">
        <f>IFERROR(__xludf.DUMMYFUNCTION("GOOGLETRANSLATE(A6681,""en"",""pt-br"")"),"descontroladamente")</f>
        <v>descontroladamente</v>
      </c>
      <c r="D6681" s="1" t="str">
        <f>IFERROR(__xludf.DUMMYFUNCTION("GOOGLETRANSLATE(B6681,""en"",""pt-br"")"),"negativo")</f>
        <v>negativo</v>
      </c>
    </row>
    <row r="6682" ht="15.75" customHeight="1">
      <c r="A6682" s="2" t="s">
        <v>6679</v>
      </c>
      <c r="B6682" s="2" t="s">
        <v>3</v>
      </c>
      <c r="C6682" s="1" t="str">
        <f>IFERROR(__xludf.DUMMYFUNCTION("GOOGLETRANSLATE(A6682,""en"",""pt-br"")"),"ardil")</f>
        <v>ardil</v>
      </c>
      <c r="D6682" s="1" t="str">
        <f>IFERROR(__xludf.DUMMYFUNCTION("GOOGLETRANSLATE(B6682,""en"",""pt-br"")"),"negativo")</f>
        <v>negativo</v>
      </c>
    </row>
    <row r="6683" ht="15.75" customHeight="1">
      <c r="A6683" s="2" t="s">
        <v>6680</v>
      </c>
      <c r="B6683" s="2" t="s">
        <v>14</v>
      </c>
      <c r="C6683" s="1" t="str">
        <f>IFERROR(__xludf.DUMMYFUNCTION("GOOGLETRANSLATE(A6683,""en"",""pt-br"")"),"disposto")</f>
        <v>disposto</v>
      </c>
      <c r="D6683" s="1" t="str">
        <f>IFERROR(__xludf.DUMMYFUNCTION("GOOGLETRANSLATE(B6683,""en"",""pt-br"")"),"positivo")</f>
        <v>positivo</v>
      </c>
    </row>
    <row r="6684" ht="15.75" customHeight="1">
      <c r="A6684" s="2" t="s">
        <v>6681</v>
      </c>
      <c r="B6684" s="2" t="s">
        <v>14</v>
      </c>
      <c r="C6684" s="1" t="str">
        <f>IFERROR(__xludf.DUMMYFUNCTION("GOOGLETRANSLATE(A6684,""en"",""pt-br"")"),"de boa vontade")</f>
        <v>de boa vontade</v>
      </c>
      <c r="D6684" s="1" t="str">
        <f>IFERROR(__xludf.DUMMYFUNCTION("GOOGLETRANSLATE(B6684,""en"",""pt-br"")"),"positivo")</f>
        <v>positivo</v>
      </c>
    </row>
    <row r="6685" ht="15.75" customHeight="1">
      <c r="A6685" s="2" t="s">
        <v>6682</v>
      </c>
      <c r="B6685" s="2" t="s">
        <v>14</v>
      </c>
      <c r="C6685" s="1" t="str">
        <f>IFERROR(__xludf.DUMMYFUNCTION("GOOGLETRANSLATE(A6685,""en"",""pt-br"")"),"boa vontade")</f>
        <v>boa vontade</v>
      </c>
      <c r="D6685" s="1" t="str">
        <f>IFERROR(__xludf.DUMMYFUNCTION("GOOGLETRANSLATE(B6685,""en"",""pt-br"")"),"positivo")</f>
        <v>positivo</v>
      </c>
    </row>
    <row r="6686" ht="15.75" customHeight="1">
      <c r="A6686" s="2" t="s">
        <v>6683</v>
      </c>
      <c r="B6686" s="2" t="s">
        <v>3</v>
      </c>
      <c r="C6686" s="1" t="str">
        <f>IFERROR(__xludf.DUMMYFUNCTION("GOOGLETRANSLATE(A6686,""en"",""pt-br"")"),"quiseres")</f>
        <v>quiseres</v>
      </c>
      <c r="D6686" s="1" t="str">
        <f>IFERROR(__xludf.DUMMYFUNCTION("GOOGLETRANSLATE(B6686,""en"",""pt-br"")"),"negativo")</f>
        <v>negativo</v>
      </c>
    </row>
    <row r="6687" ht="15.75" customHeight="1">
      <c r="A6687" s="2" t="s">
        <v>6684</v>
      </c>
      <c r="B6687" s="2" t="s">
        <v>3</v>
      </c>
      <c r="C6687" s="1" t="str">
        <f>IFERROR(__xludf.DUMMYFUNCTION("GOOGLETRANSLATE(A6687,""en"",""pt-br"")"),"astuto")</f>
        <v>astuto</v>
      </c>
      <c r="D6687" s="1" t="str">
        <f>IFERROR(__xludf.DUMMYFUNCTION("GOOGLETRANSLATE(B6687,""en"",""pt-br"")"),"negativo")</f>
        <v>negativo</v>
      </c>
    </row>
    <row r="6688" ht="15.75" customHeight="1">
      <c r="A6688" s="2" t="s">
        <v>6685</v>
      </c>
      <c r="B6688" s="2" t="s">
        <v>3</v>
      </c>
      <c r="C6688" s="1" t="str">
        <f>IFERROR(__xludf.DUMMYFUNCTION("GOOGLETRANSLATE(A6688,""en"",""pt-br"")"),"fracote")</f>
        <v>fracote</v>
      </c>
      <c r="D6688" s="1" t="str">
        <f>IFERROR(__xludf.DUMMYFUNCTION("GOOGLETRANSLATE(B6688,""en"",""pt-br"")"),"negativo")</f>
        <v>negativo</v>
      </c>
    </row>
    <row r="6689" ht="15.75" customHeight="1">
      <c r="A6689" s="2" t="s">
        <v>6686</v>
      </c>
      <c r="B6689" s="2" t="s">
        <v>14</v>
      </c>
      <c r="C6689" s="1" t="str">
        <f>IFERROR(__xludf.DUMMYFUNCTION("GOOGLETRANSLATE(A6689,""en"",""pt-br"")"),"ganhar")</f>
        <v>ganhar</v>
      </c>
      <c r="D6689" s="1" t="str">
        <f>IFERROR(__xludf.DUMMYFUNCTION("GOOGLETRANSLATE(B6689,""en"",""pt-br"")"),"positivo")</f>
        <v>positivo</v>
      </c>
    </row>
    <row r="6690" ht="15.75" customHeight="1">
      <c r="A6690" s="2" t="s">
        <v>6687</v>
      </c>
      <c r="B6690" s="2" t="s">
        <v>3</v>
      </c>
      <c r="C6690" s="1" t="str">
        <f>IFERROR(__xludf.DUMMYFUNCTION("GOOGLETRANSLATE(A6690,""en"",""pt-br"")"),"estremecimento")</f>
        <v>estremecimento</v>
      </c>
      <c r="D6690" s="1" t="str">
        <f>IFERROR(__xludf.DUMMYFUNCTION("GOOGLETRANSLATE(B6690,""en"",""pt-br"")"),"negativo")</f>
        <v>negativo</v>
      </c>
    </row>
    <row r="6691" ht="15.75" customHeight="1">
      <c r="A6691" s="2" t="s">
        <v>6688</v>
      </c>
      <c r="B6691" s="2" t="s">
        <v>14</v>
      </c>
      <c r="C6691" s="1" t="str">
        <f>IFERROR(__xludf.DUMMYFUNCTION("GOOGLETRANSLATE(A6691,""en"",""pt-br"")"),"windfall")</f>
        <v>windfall</v>
      </c>
      <c r="D6691" s="1" t="str">
        <f>IFERROR(__xludf.DUMMYFUNCTION("GOOGLETRANSLATE(B6691,""en"",""pt-br"")"),"positivo")</f>
        <v>positivo</v>
      </c>
    </row>
    <row r="6692" ht="15.75" customHeight="1">
      <c r="A6692" s="2" t="s">
        <v>6689</v>
      </c>
      <c r="B6692" s="2" t="s">
        <v>14</v>
      </c>
      <c r="C6692" s="1" t="str">
        <f>IFERROR(__xludf.DUMMYFUNCTION("GOOGLETRANSLATE(A6692,""en"",""pt-br"")"),"Ganhável")</f>
        <v>Ganhável</v>
      </c>
      <c r="D6692" s="1" t="str">
        <f>IFERROR(__xludf.DUMMYFUNCTION("GOOGLETRANSLATE(B6692,""en"",""pt-br"")"),"positivo")</f>
        <v>positivo</v>
      </c>
    </row>
    <row r="6693" ht="15.75" customHeight="1">
      <c r="A6693" s="2" t="s">
        <v>6690</v>
      </c>
      <c r="B6693" s="2" t="s">
        <v>14</v>
      </c>
      <c r="C6693" s="1" t="str">
        <f>IFERROR(__xludf.DUMMYFUNCTION("GOOGLETRANSLATE(A6693,""en"",""pt-br"")"),"vencedora")</f>
        <v>vencedora</v>
      </c>
      <c r="D6693" s="1" t="str">
        <f>IFERROR(__xludf.DUMMYFUNCTION("GOOGLETRANSLATE(B6693,""en"",""pt-br"")"),"positivo")</f>
        <v>positivo</v>
      </c>
    </row>
    <row r="6694" ht="15.75" customHeight="1">
      <c r="A6694" s="2" t="s">
        <v>6691</v>
      </c>
      <c r="B6694" s="2" t="s">
        <v>14</v>
      </c>
      <c r="C6694" s="1" t="str">
        <f>IFERROR(__xludf.DUMMYFUNCTION("GOOGLETRANSLATE(A6694,""en"",""pt-br"")"),"vencedores")</f>
        <v>vencedores</v>
      </c>
      <c r="D6694" s="1" t="str">
        <f>IFERROR(__xludf.DUMMYFUNCTION("GOOGLETRANSLATE(B6694,""en"",""pt-br"")"),"positivo")</f>
        <v>positivo</v>
      </c>
    </row>
    <row r="6695" ht="15.75" customHeight="1">
      <c r="A6695" s="2" t="s">
        <v>6692</v>
      </c>
      <c r="B6695" s="2" t="s">
        <v>14</v>
      </c>
      <c r="C6695" s="1" t="str">
        <f>IFERROR(__xludf.DUMMYFUNCTION("GOOGLETRANSLATE(A6695,""en"",""pt-br"")"),"ganhando")</f>
        <v>ganhando</v>
      </c>
      <c r="D6695" s="1" t="str">
        <f>IFERROR(__xludf.DUMMYFUNCTION("GOOGLETRANSLATE(B6695,""en"",""pt-br"")"),"positivo")</f>
        <v>positivo</v>
      </c>
    </row>
    <row r="6696" ht="15.75" customHeight="1">
      <c r="A6696" s="2" t="s">
        <v>6693</v>
      </c>
      <c r="B6696" s="2" t="s">
        <v>14</v>
      </c>
      <c r="C6696" s="1" t="str">
        <f>IFERROR(__xludf.DUMMYFUNCTION("GOOGLETRANSLATE(A6696,""en"",""pt-br"")"),"vitórias")</f>
        <v>vitórias</v>
      </c>
      <c r="D6696" s="1" t="str">
        <f>IFERROR(__xludf.DUMMYFUNCTION("GOOGLETRANSLATE(B6696,""en"",""pt-br"")"),"positivo")</f>
        <v>positivo</v>
      </c>
    </row>
    <row r="6697" ht="15.75" customHeight="1">
      <c r="A6697" s="2" t="s">
        <v>6694</v>
      </c>
      <c r="B6697" s="2" t="s">
        <v>14</v>
      </c>
      <c r="C6697" s="1" t="str">
        <f>IFERROR(__xludf.DUMMYFUNCTION("GOOGLETRANSLATE(A6697,""en"",""pt-br"")"),"sabedoria")</f>
        <v>sabedoria</v>
      </c>
      <c r="D6697" s="1" t="str">
        <f>IFERROR(__xludf.DUMMYFUNCTION("GOOGLETRANSLATE(B6697,""en"",""pt-br"")"),"positivo")</f>
        <v>positivo</v>
      </c>
    </row>
    <row r="6698" ht="15.75" customHeight="1">
      <c r="A6698" s="2" t="s">
        <v>6695</v>
      </c>
      <c r="B6698" s="2" t="s">
        <v>14</v>
      </c>
      <c r="C6698" s="1" t="str">
        <f>IFERROR(__xludf.DUMMYFUNCTION("GOOGLETRANSLATE(A6698,""en"",""pt-br"")"),"sensato")</f>
        <v>sensato</v>
      </c>
      <c r="D6698" s="1" t="str">
        <f>IFERROR(__xludf.DUMMYFUNCTION("GOOGLETRANSLATE(B6698,""en"",""pt-br"")"),"positivo")</f>
        <v>positivo</v>
      </c>
    </row>
    <row r="6699" ht="15.75" customHeight="1">
      <c r="A6699" s="2" t="s">
        <v>6696</v>
      </c>
      <c r="B6699" s="2" t="s">
        <v>14</v>
      </c>
      <c r="C6699" s="1" t="str">
        <f>IFERROR(__xludf.DUMMYFUNCTION("GOOGLETRANSLATE(A6699,""en"",""pt-br"")"),"sabiamente")</f>
        <v>sabiamente</v>
      </c>
      <c r="D6699" s="1" t="str">
        <f>IFERROR(__xludf.DUMMYFUNCTION("GOOGLETRANSLATE(B6699,""en"",""pt-br"")"),"positivo")</f>
        <v>positivo</v>
      </c>
    </row>
    <row r="6700" ht="15.75" customHeight="1">
      <c r="A6700" s="2" t="s">
        <v>6697</v>
      </c>
      <c r="B6700" s="2" t="s">
        <v>14</v>
      </c>
      <c r="C6700" s="1" t="str">
        <f>IFERROR(__xludf.DUMMYFUNCTION("GOOGLETRANSLATE(A6700,""en"",""pt-br"")"),"espirituoso")</f>
        <v>espirituoso</v>
      </c>
      <c r="D6700" s="1" t="str">
        <f>IFERROR(__xludf.DUMMYFUNCTION("GOOGLETRANSLATE(B6700,""en"",""pt-br"")"),"positivo")</f>
        <v>positivo</v>
      </c>
    </row>
    <row r="6701" ht="15.75" customHeight="1">
      <c r="A6701" s="2" t="s">
        <v>6698</v>
      </c>
      <c r="B6701" s="2" t="s">
        <v>3</v>
      </c>
      <c r="C6701" s="1" t="str">
        <f>IFERROR(__xludf.DUMMYFUNCTION("GOOGLETRANSLATE(A6701,""en"",""pt-br"")"),"oscilação")</f>
        <v>oscilação</v>
      </c>
      <c r="D6701" s="1" t="str">
        <f>IFERROR(__xludf.DUMMYFUNCTION("GOOGLETRANSLATE(B6701,""en"",""pt-br"")"),"negativo")</f>
        <v>negativo</v>
      </c>
    </row>
    <row r="6702" ht="15.75" customHeight="1">
      <c r="A6702" s="2" t="s">
        <v>6699</v>
      </c>
      <c r="B6702" s="2" t="s">
        <v>3</v>
      </c>
      <c r="C6702" s="1" t="str">
        <f>IFERROR(__xludf.DUMMYFUNCTION("GOOGLETRANSLATE(A6702,""en"",""pt-br"")"),"cambaleou")</f>
        <v>cambaleou</v>
      </c>
      <c r="D6702" s="1" t="str">
        <f>IFERROR(__xludf.DUMMYFUNCTION("GOOGLETRANSLATE(B6702,""en"",""pt-br"")"),"negativo")</f>
        <v>negativo</v>
      </c>
    </row>
    <row r="6703" ht="15.75" customHeight="1">
      <c r="A6703" s="2" t="s">
        <v>6700</v>
      </c>
      <c r="B6703" s="2" t="s">
        <v>3</v>
      </c>
      <c r="C6703" s="1" t="str">
        <f>IFERROR(__xludf.DUMMYFUNCTION("GOOGLETRANSLATE(A6703,""en"",""pt-br"")"),"wobbles")</f>
        <v>wobbles</v>
      </c>
      <c r="D6703" s="1" t="str">
        <f>IFERROR(__xludf.DUMMYFUNCTION("GOOGLETRANSLATE(B6703,""en"",""pt-br"")"),"negativo")</f>
        <v>negativo</v>
      </c>
    </row>
    <row r="6704" ht="15.75" customHeight="1">
      <c r="A6704" s="2" t="s">
        <v>6701</v>
      </c>
      <c r="B6704" s="2" t="s">
        <v>3</v>
      </c>
      <c r="C6704" s="1" t="str">
        <f>IFERROR(__xludf.DUMMYFUNCTION("GOOGLETRANSLATE(A6704,""en"",""pt-br"")"),"aflição")</f>
        <v>aflição</v>
      </c>
      <c r="D6704" s="1" t="str">
        <f>IFERROR(__xludf.DUMMYFUNCTION("GOOGLETRANSLATE(B6704,""en"",""pt-br"")"),"negativo")</f>
        <v>negativo</v>
      </c>
    </row>
    <row r="6705" ht="15.75" customHeight="1">
      <c r="A6705" s="2" t="s">
        <v>6702</v>
      </c>
      <c r="B6705" s="2" t="s">
        <v>3</v>
      </c>
      <c r="C6705" s="1" t="str">
        <f>IFERROR(__xludf.DUMMYFUNCTION("GOOGLETRANSLATE(A6705,""en"",""pt-br"")"),"acabrunhado")</f>
        <v>acabrunhado</v>
      </c>
      <c r="D6705" s="1" t="str">
        <f>IFERROR(__xludf.DUMMYFUNCTION("GOOGLETRANSLATE(B6705,""en"",""pt-br"")"),"negativo")</f>
        <v>negativo</v>
      </c>
    </row>
    <row r="6706" ht="15.75" customHeight="1">
      <c r="A6706" s="2" t="s">
        <v>6703</v>
      </c>
      <c r="B6706" s="2" t="s">
        <v>3</v>
      </c>
      <c r="C6706" s="1" t="str">
        <f>IFERROR(__xludf.DUMMYFUNCTION("GOOGLETRANSLATE(A6706,""en"",""pt-br"")"),"lastimável")</f>
        <v>lastimável</v>
      </c>
      <c r="D6706" s="1" t="str">
        <f>IFERROR(__xludf.DUMMYFUNCTION("GOOGLETRANSLATE(B6706,""en"",""pt-br"")"),"negativo")</f>
        <v>negativo</v>
      </c>
    </row>
    <row r="6707" ht="15.75" customHeight="1">
      <c r="A6707" s="2" t="s">
        <v>6704</v>
      </c>
      <c r="B6707" s="2" t="s">
        <v>3</v>
      </c>
      <c r="C6707" s="1" t="str">
        <f>IFERROR(__xludf.DUMMYFUNCTION("GOOGLETRANSLATE(A6707,""en"",""pt-br"")"),"lamentavelmente")</f>
        <v>lamentavelmente</v>
      </c>
      <c r="D6707" s="1" t="str">
        <f>IFERROR(__xludf.DUMMYFUNCTION("GOOGLETRANSLATE(B6707,""en"",""pt-br"")"),"negativo")</f>
        <v>negativo</v>
      </c>
    </row>
    <row r="6708" ht="15.75" customHeight="1">
      <c r="A6708" s="2" t="s">
        <v>6705</v>
      </c>
      <c r="B6708" s="2" t="s">
        <v>3</v>
      </c>
      <c r="C6708" s="1" t="str">
        <f>IFERROR(__xludf.DUMMYFUNCTION("GOOGLETRANSLATE(A6708,""en"",""pt-br"")"),"mulherengo")</f>
        <v>mulherengo</v>
      </c>
      <c r="D6708" s="1" t="str">
        <f>IFERROR(__xludf.DUMMYFUNCTION("GOOGLETRANSLATE(B6708,""en"",""pt-br"")"),"negativo")</f>
        <v>negativo</v>
      </c>
    </row>
    <row r="6709" ht="15.75" customHeight="1">
      <c r="A6709" s="2" t="s">
        <v>6706</v>
      </c>
      <c r="B6709" s="2" t="s">
        <v>3</v>
      </c>
      <c r="C6709" s="1" t="str">
        <f>IFERROR(__xludf.DUMMYFUNCTION("GOOGLETRANSLATE(A6709,""en"",""pt-br"")"),"mulherengo")</f>
        <v>mulherengo</v>
      </c>
      <c r="D6709" s="1" t="str">
        <f>IFERROR(__xludf.DUMMYFUNCTION("GOOGLETRANSLATE(B6709,""en"",""pt-br"")"),"negativo")</f>
        <v>negativo</v>
      </c>
    </row>
    <row r="6710" ht="15.75" customHeight="1">
      <c r="A6710" s="2" t="s">
        <v>6707</v>
      </c>
      <c r="B6710" s="2" t="s">
        <v>14</v>
      </c>
      <c r="C6710" s="1" t="str">
        <f>IFERROR(__xludf.DUMMYFUNCTION("GOOGLETRANSLATE(A6710,""en"",""pt-br"")"),"Ganhou")</f>
        <v>Ganhou</v>
      </c>
      <c r="D6710" s="1" t="str">
        <f>IFERROR(__xludf.DUMMYFUNCTION("GOOGLETRANSLATE(B6710,""en"",""pt-br"")"),"positivo")</f>
        <v>positivo</v>
      </c>
    </row>
    <row r="6711" ht="15.75" customHeight="1">
      <c r="A6711" s="2" t="s">
        <v>6708</v>
      </c>
      <c r="B6711" s="2" t="s">
        <v>14</v>
      </c>
      <c r="C6711" s="1" t="str">
        <f>IFERROR(__xludf.DUMMYFUNCTION("GOOGLETRANSLATE(A6711,""en"",""pt-br"")"),"maravilha")</f>
        <v>maravilha</v>
      </c>
      <c r="D6711" s="1" t="str">
        <f>IFERROR(__xludf.DUMMYFUNCTION("GOOGLETRANSLATE(B6711,""en"",""pt-br"")"),"positivo")</f>
        <v>positivo</v>
      </c>
    </row>
    <row r="6712" ht="15.75" customHeight="1">
      <c r="A6712" s="2" t="s">
        <v>6709</v>
      </c>
      <c r="B6712" s="2" t="s">
        <v>14</v>
      </c>
      <c r="C6712" s="1" t="str">
        <f>IFERROR(__xludf.DUMMYFUNCTION("GOOGLETRANSLATE(A6712,""en"",""pt-br"")"),"Maravilhoso")</f>
        <v>Maravilhoso</v>
      </c>
      <c r="D6712" s="1" t="str">
        <f>IFERROR(__xludf.DUMMYFUNCTION("GOOGLETRANSLATE(B6712,""en"",""pt-br"")"),"positivo")</f>
        <v>positivo</v>
      </c>
    </row>
    <row r="6713" ht="15.75" customHeight="1">
      <c r="A6713" s="2" t="s">
        <v>6710</v>
      </c>
      <c r="B6713" s="2" t="s">
        <v>14</v>
      </c>
      <c r="C6713" s="1" t="str">
        <f>IFERROR(__xludf.DUMMYFUNCTION("GOOGLETRANSLATE(A6713,""en"",""pt-br"")"),"maravilhosamente")</f>
        <v>maravilhosamente</v>
      </c>
      <c r="D6713" s="1" t="str">
        <f>IFERROR(__xludf.DUMMYFUNCTION("GOOGLETRANSLATE(B6713,""en"",""pt-br"")"),"positivo")</f>
        <v>positivo</v>
      </c>
    </row>
    <row r="6714" ht="15.75" customHeight="1">
      <c r="A6714" s="2" t="s">
        <v>6711</v>
      </c>
      <c r="B6714" s="2" t="s">
        <v>14</v>
      </c>
      <c r="C6714" s="1" t="str">
        <f>IFERROR(__xludf.DUMMYFUNCTION("GOOGLETRANSLATE(A6714,""en"",""pt-br"")"),"wonderous")</f>
        <v>wonderous</v>
      </c>
      <c r="D6714" s="1" t="str">
        <f>IFERROR(__xludf.DUMMYFUNCTION("GOOGLETRANSLATE(B6714,""en"",""pt-br"")"),"positivo")</f>
        <v>positivo</v>
      </c>
    </row>
    <row r="6715" ht="15.75" customHeight="1">
      <c r="A6715" s="2" t="s">
        <v>6712</v>
      </c>
      <c r="B6715" s="2" t="s">
        <v>14</v>
      </c>
      <c r="C6715" s="1" t="str">
        <f>IFERROR(__xludf.DUMMYFUNCTION("GOOGLETRANSLATE(A6715,""en"",""pt-br"")"),"wonderously")</f>
        <v>wonderously</v>
      </c>
      <c r="D6715" s="1" t="str">
        <f>IFERROR(__xludf.DUMMYFUNCTION("GOOGLETRANSLATE(B6715,""en"",""pt-br"")"),"positivo")</f>
        <v>positivo</v>
      </c>
    </row>
    <row r="6716" ht="15.75" customHeight="1">
      <c r="A6716" s="2" t="s">
        <v>6713</v>
      </c>
      <c r="B6716" s="2" t="s">
        <v>14</v>
      </c>
      <c r="C6716" s="1" t="str">
        <f>IFERROR(__xludf.DUMMYFUNCTION("GOOGLETRANSLATE(A6716,""en"",""pt-br"")"),"maravilhas")</f>
        <v>maravilhas</v>
      </c>
      <c r="D6716" s="1" t="str">
        <f>IFERROR(__xludf.DUMMYFUNCTION("GOOGLETRANSLATE(B6716,""en"",""pt-br"")"),"positivo")</f>
        <v>positivo</v>
      </c>
    </row>
    <row r="6717" ht="15.75" customHeight="1">
      <c r="A6717" s="2" t="s">
        <v>6714</v>
      </c>
      <c r="B6717" s="2" t="s">
        <v>14</v>
      </c>
      <c r="C6717" s="1" t="str">
        <f>IFERROR(__xludf.DUMMYFUNCTION("GOOGLETRANSLATE(A6717,""en"",""pt-br"")"),"maravilhoso")</f>
        <v>maravilhoso</v>
      </c>
      <c r="D6717" s="1" t="str">
        <f>IFERROR(__xludf.DUMMYFUNCTION("GOOGLETRANSLATE(B6717,""en"",""pt-br"")"),"positivo")</f>
        <v>positivo</v>
      </c>
    </row>
    <row r="6718" ht="15.75" customHeight="1">
      <c r="A6718" s="2" t="s">
        <v>6715</v>
      </c>
      <c r="B6718" s="2" t="s">
        <v>14</v>
      </c>
      <c r="C6718" s="1" t="str">
        <f>IFERROR(__xludf.DUMMYFUNCTION("GOOGLETRANSLATE(A6718,""en"",""pt-br"")"),"cortejar")</f>
        <v>cortejar</v>
      </c>
      <c r="D6718" s="1" t="str">
        <f>IFERROR(__xludf.DUMMYFUNCTION("GOOGLETRANSLATE(B6718,""en"",""pt-br"")"),"positivo")</f>
        <v>positivo</v>
      </c>
    </row>
    <row r="6719" ht="15.75" customHeight="1">
      <c r="A6719" s="2" t="s">
        <v>6716</v>
      </c>
      <c r="B6719" s="2" t="s">
        <v>14</v>
      </c>
      <c r="C6719" s="1" t="str">
        <f>IFERROR(__xludf.DUMMYFUNCTION("GOOGLETRANSLATE(A6719,""en"",""pt-br"")"),"trabalhos")</f>
        <v>trabalhos</v>
      </c>
      <c r="D6719" s="1" t="str">
        <f>IFERROR(__xludf.DUMMYFUNCTION("GOOGLETRANSLATE(B6719,""en"",""pt-br"")"),"positivo")</f>
        <v>positivo</v>
      </c>
    </row>
    <row r="6720" ht="15.75" customHeight="1">
      <c r="A6720" s="2" t="s">
        <v>6717</v>
      </c>
      <c r="B6720" s="2" t="s">
        <v>14</v>
      </c>
      <c r="C6720" s="1" t="str">
        <f>IFERROR(__xludf.DUMMYFUNCTION("GOOGLETRANSLATE(A6720,""en"",""pt-br"")"),"trabalhável")</f>
        <v>trabalhável</v>
      </c>
      <c r="D6720" s="1" t="str">
        <f>IFERROR(__xludf.DUMMYFUNCTION("GOOGLETRANSLATE(B6720,""en"",""pt-br"")"),"positivo")</f>
        <v>positivo</v>
      </c>
    </row>
    <row r="6721" ht="15.75" customHeight="1">
      <c r="A6721" s="2" t="s">
        <v>6718</v>
      </c>
      <c r="B6721" s="2" t="s">
        <v>14</v>
      </c>
      <c r="C6721" s="1" t="str">
        <f>IFERROR(__xludf.DUMMYFUNCTION("GOOGLETRANSLATE(A6721,""en"",""pt-br"")"),"trabalhou")</f>
        <v>trabalhou</v>
      </c>
      <c r="D6721" s="1" t="str">
        <f>IFERROR(__xludf.DUMMYFUNCTION("GOOGLETRANSLATE(B6721,""en"",""pt-br"")"),"positivo")</f>
        <v>positivo</v>
      </c>
    </row>
    <row r="6722" ht="15.75" customHeight="1">
      <c r="A6722" s="2" t="s">
        <v>6719</v>
      </c>
      <c r="B6722" s="2" t="s">
        <v>14</v>
      </c>
      <c r="C6722" s="1" t="str">
        <f>IFERROR(__xludf.DUMMYFUNCTION("GOOGLETRANSLATE(A6722,""en"",""pt-br"")"),"trabalho")</f>
        <v>trabalho</v>
      </c>
      <c r="D6722" s="1" t="str">
        <f>IFERROR(__xludf.DUMMYFUNCTION("GOOGLETRANSLATE(B6722,""en"",""pt-br"")"),"positivo")</f>
        <v>positivo</v>
      </c>
    </row>
    <row r="6723" ht="15.75" customHeight="1">
      <c r="A6723" s="2" t="s">
        <v>6720</v>
      </c>
      <c r="B6723" s="2" t="s">
        <v>14</v>
      </c>
      <c r="C6723" s="1" t="str">
        <f>IFERROR(__xludf.DUMMYFUNCTION("GOOGLETRANSLATE(A6723,""en"",""pt-br"")"),"famoso mundialmente")</f>
        <v>famoso mundialmente</v>
      </c>
      <c r="D6723" s="1" t="str">
        <f>IFERROR(__xludf.DUMMYFUNCTION("GOOGLETRANSLATE(B6723,""en"",""pt-br"")"),"positivo")</f>
        <v>positivo</v>
      </c>
    </row>
    <row r="6724" ht="15.75" customHeight="1">
      <c r="A6724" s="2" t="s">
        <v>6721</v>
      </c>
      <c r="B6724" s="2" t="s">
        <v>3</v>
      </c>
      <c r="C6724" s="1" t="str">
        <f>IFERROR(__xludf.DUMMYFUNCTION("GOOGLETRANSLATE(A6724,""en"",""pt-br"")"),"desgastado")</f>
        <v>desgastado</v>
      </c>
      <c r="D6724" s="1" t="str">
        <f>IFERROR(__xludf.DUMMYFUNCTION("GOOGLETRANSLATE(B6724,""en"",""pt-br"")"),"negativo")</f>
        <v>negativo</v>
      </c>
    </row>
    <row r="6725" ht="15.75" customHeight="1">
      <c r="A6725" s="2" t="s">
        <v>6722</v>
      </c>
      <c r="B6725" s="2" t="s">
        <v>3</v>
      </c>
      <c r="C6725" s="1" t="str">
        <f>IFERROR(__xludf.DUMMYFUNCTION("GOOGLETRANSLATE(A6725,""en"",""pt-br"")"),"preocupado")</f>
        <v>preocupado</v>
      </c>
      <c r="D6725" s="1" t="str">
        <f>IFERROR(__xludf.DUMMYFUNCTION("GOOGLETRANSLATE(B6725,""en"",""pt-br"")"),"negativo")</f>
        <v>negativo</v>
      </c>
    </row>
    <row r="6726" ht="15.75" customHeight="1">
      <c r="A6726" s="2" t="s">
        <v>6723</v>
      </c>
      <c r="B6726" s="2" t="s">
        <v>3</v>
      </c>
      <c r="C6726" s="1" t="str">
        <f>IFERROR(__xludf.DUMMYFUNCTION("GOOGLETRANSLATE(A6726,""en"",""pt-br"")"),"preocupadamente")</f>
        <v>preocupadamente</v>
      </c>
      <c r="D6726" s="1" t="str">
        <f>IFERROR(__xludf.DUMMYFUNCTION("GOOGLETRANSLATE(B6726,""en"",""pt-br"")"),"negativo")</f>
        <v>negativo</v>
      </c>
    </row>
    <row r="6727" ht="15.75" customHeight="1">
      <c r="A6727" s="2" t="s">
        <v>6724</v>
      </c>
      <c r="B6727" s="2" t="s">
        <v>3</v>
      </c>
      <c r="C6727" s="1" t="str">
        <f>IFERROR(__xludf.DUMMYFUNCTION("GOOGLETRANSLATE(A6727,""en"",""pt-br"")"),"worrier")</f>
        <v>worrier</v>
      </c>
      <c r="D6727" s="1" t="str">
        <f>IFERROR(__xludf.DUMMYFUNCTION("GOOGLETRANSLATE(B6727,""en"",""pt-br"")"),"negativo")</f>
        <v>negativo</v>
      </c>
    </row>
    <row r="6728" ht="15.75" customHeight="1">
      <c r="A6728" s="2" t="s">
        <v>6725</v>
      </c>
      <c r="B6728" s="2" t="s">
        <v>3</v>
      </c>
      <c r="C6728" s="1" t="str">
        <f>IFERROR(__xludf.DUMMYFUNCTION("GOOGLETRANSLATE(A6728,""en"",""pt-br"")"),"preocupações")</f>
        <v>preocupações</v>
      </c>
      <c r="D6728" s="1" t="str">
        <f>IFERROR(__xludf.DUMMYFUNCTION("GOOGLETRANSLATE(B6728,""en"",""pt-br"")"),"negativo")</f>
        <v>negativo</v>
      </c>
    </row>
    <row r="6729" ht="15.75" customHeight="1">
      <c r="A6729" s="2" t="s">
        <v>6726</v>
      </c>
      <c r="B6729" s="2" t="s">
        <v>3</v>
      </c>
      <c r="C6729" s="1" t="str">
        <f>IFERROR(__xludf.DUMMYFUNCTION("GOOGLETRANSLATE(A6729,""en"",""pt-br"")"),"incómodo")</f>
        <v>incómodo</v>
      </c>
      <c r="D6729" s="1" t="str">
        <f>IFERROR(__xludf.DUMMYFUNCTION("GOOGLETRANSLATE(B6729,""en"",""pt-br"")"),"negativo")</f>
        <v>negativo</v>
      </c>
    </row>
    <row r="6730" ht="15.75" customHeight="1">
      <c r="A6730" s="2" t="s">
        <v>6727</v>
      </c>
      <c r="B6730" s="2" t="s">
        <v>3</v>
      </c>
      <c r="C6730" s="1" t="str">
        <f>IFERROR(__xludf.DUMMYFUNCTION("GOOGLETRANSLATE(A6730,""en"",""pt-br"")"),"preocupação")</f>
        <v>preocupação</v>
      </c>
      <c r="D6730" s="1" t="str">
        <f>IFERROR(__xludf.DUMMYFUNCTION("GOOGLETRANSLATE(B6730,""en"",""pt-br"")"),"negativo")</f>
        <v>negativo</v>
      </c>
    </row>
    <row r="6731" ht="15.75" customHeight="1">
      <c r="A6731" s="2" t="s">
        <v>6728</v>
      </c>
      <c r="B6731" s="2" t="s">
        <v>3</v>
      </c>
      <c r="C6731" s="1" t="str">
        <f>IFERROR(__xludf.DUMMYFUNCTION("GOOGLETRANSLATE(A6731,""en"",""pt-br"")"),"preocupante")</f>
        <v>preocupante</v>
      </c>
      <c r="D6731" s="1" t="str">
        <f>IFERROR(__xludf.DUMMYFUNCTION("GOOGLETRANSLATE(B6731,""en"",""pt-br"")"),"negativo")</f>
        <v>negativo</v>
      </c>
    </row>
    <row r="6732" ht="15.75" customHeight="1">
      <c r="A6732" s="2" t="s">
        <v>6729</v>
      </c>
      <c r="B6732" s="2" t="s">
        <v>3</v>
      </c>
      <c r="C6732" s="1" t="str">
        <f>IFERROR(__xludf.DUMMYFUNCTION("GOOGLETRANSLATE(A6732,""en"",""pt-br"")"),"preocupantemente")</f>
        <v>preocupantemente</v>
      </c>
      <c r="D6732" s="1" t="str">
        <f>IFERROR(__xludf.DUMMYFUNCTION("GOOGLETRANSLATE(B6732,""en"",""pt-br"")"),"negativo")</f>
        <v>negativo</v>
      </c>
    </row>
    <row r="6733" ht="15.75" customHeight="1">
      <c r="A6733" s="2" t="s">
        <v>6730</v>
      </c>
      <c r="B6733" s="2" t="s">
        <v>3</v>
      </c>
      <c r="C6733" s="1" t="str">
        <f>IFERROR(__xludf.DUMMYFUNCTION("GOOGLETRANSLATE(A6733,""en"",""pt-br"")"),"pior")</f>
        <v>pior</v>
      </c>
      <c r="D6733" s="1" t="str">
        <f>IFERROR(__xludf.DUMMYFUNCTION("GOOGLETRANSLATE(B6733,""en"",""pt-br"")"),"negativo")</f>
        <v>negativo</v>
      </c>
    </row>
    <row r="6734" ht="15.75" customHeight="1">
      <c r="A6734" s="2" t="s">
        <v>6731</v>
      </c>
      <c r="B6734" s="2" t="s">
        <v>3</v>
      </c>
      <c r="C6734" s="1" t="str">
        <f>IFERROR(__xludf.DUMMYFUNCTION("GOOGLETRANSLATE(A6734,""en"",""pt-br"")"),"piorar")</f>
        <v>piorar</v>
      </c>
      <c r="D6734" s="1" t="str">
        <f>IFERROR(__xludf.DUMMYFUNCTION("GOOGLETRANSLATE(B6734,""en"",""pt-br"")"),"negativo")</f>
        <v>negativo</v>
      </c>
    </row>
    <row r="6735" ht="15.75" customHeight="1">
      <c r="A6735" s="2" t="s">
        <v>6732</v>
      </c>
      <c r="B6735" s="2" t="s">
        <v>3</v>
      </c>
      <c r="C6735" s="1" t="str">
        <f>IFERROR(__xludf.DUMMYFUNCTION("GOOGLETRANSLATE(A6735,""en"",""pt-br"")"),"agravamento")</f>
        <v>agravamento</v>
      </c>
      <c r="D6735" s="1" t="str">
        <f>IFERROR(__xludf.DUMMYFUNCTION("GOOGLETRANSLATE(B6735,""en"",""pt-br"")"),"negativo")</f>
        <v>negativo</v>
      </c>
    </row>
    <row r="6736" ht="15.75" customHeight="1">
      <c r="A6736" s="2" t="s">
        <v>6733</v>
      </c>
      <c r="B6736" s="2" t="s">
        <v>3</v>
      </c>
      <c r="C6736" s="1" t="str">
        <f>IFERROR(__xludf.DUMMYFUNCTION("GOOGLETRANSLATE(A6736,""en"",""pt-br"")"),"pior")</f>
        <v>pior</v>
      </c>
      <c r="D6736" s="1" t="str">
        <f>IFERROR(__xludf.DUMMYFUNCTION("GOOGLETRANSLATE(B6736,""en"",""pt-br"")"),"negativo")</f>
        <v>negativo</v>
      </c>
    </row>
    <row r="6737" ht="15.75" customHeight="1">
      <c r="A6737" s="2" t="s">
        <v>6734</v>
      </c>
      <c r="B6737" s="2" t="s">
        <v>14</v>
      </c>
      <c r="C6737" s="1" t="str">
        <f>IFERROR(__xludf.DUMMYFUNCTION("GOOGLETRANSLATE(A6737,""en"",""pt-br"")"),"que vale a pena")</f>
        <v>que vale a pena</v>
      </c>
      <c r="D6737" s="1" t="str">
        <f>IFERROR(__xludf.DUMMYFUNCTION("GOOGLETRANSLATE(B6737,""en"",""pt-br"")"),"positivo")</f>
        <v>positivo</v>
      </c>
    </row>
    <row r="6738" ht="15.75" customHeight="1">
      <c r="A6738" s="2" t="s">
        <v>6735</v>
      </c>
      <c r="B6738" s="2" t="s">
        <v>14</v>
      </c>
      <c r="C6738" s="1" t="str">
        <f>IFERROR(__xludf.DUMMYFUNCTION("GOOGLETRANSLATE(A6738,""en"",""pt-br"")"),"que vale a pena")</f>
        <v>que vale a pena</v>
      </c>
      <c r="D6738" s="1" t="str">
        <f>IFERROR(__xludf.DUMMYFUNCTION("GOOGLETRANSLATE(B6738,""en"",""pt-br"")"),"positivo")</f>
        <v>positivo</v>
      </c>
    </row>
    <row r="6739" ht="15.75" customHeight="1">
      <c r="A6739" s="2" t="s">
        <v>6736</v>
      </c>
      <c r="B6739" s="2" t="s">
        <v>14</v>
      </c>
      <c r="C6739" s="1" t="str">
        <f>IFERROR(__xludf.DUMMYFUNCTION("GOOGLETRANSLATE(A6739,""en"",""pt-br"")"),"valor")</f>
        <v>valor</v>
      </c>
      <c r="D6739" s="1" t="str">
        <f>IFERROR(__xludf.DUMMYFUNCTION("GOOGLETRANSLATE(B6739,""en"",""pt-br"")"),"positivo")</f>
        <v>positivo</v>
      </c>
    </row>
    <row r="6740" ht="15.75" customHeight="1">
      <c r="A6740" s="2" t="s">
        <v>6737</v>
      </c>
      <c r="B6740" s="2" t="s">
        <v>3</v>
      </c>
      <c r="C6740" s="1" t="str">
        <f>IFERROR(__xludf.DUMMYFUNCTION("GOOGLETRANSLATE(A6740,""en"",""pt-br"")"),"inútil")</f>
        <v>inútil</v>
      </c>
      <c r="D6740" s="1" t="str">
        <f>IFERROR(__xludf.DUMMYFUNCTION("GOOGLETRANSLATE(B6740,""en"",""pt-br"")"),"negativo")</f>
        <v>negativo</v>
      </c>
    </row>
    <row r="6741" ht="15.75" customHeight="1">
      <c r="A6741" s="2" t="s">
        <v>6738</v>
      </c>
      <c r="B6741" s="2" t="s">
        <v>3</v>
      </c>
      <c r="C6741" s="1" t="str">
        <f>IFERROR(__xludf.DUMMYFUNCTION("GOOGLETRANSLATE(A6741,""en"",""pt-br"")"),"inutilmente")</f>
        <v>inutilmente</v>
      </c>
      <c r="D6741" s="1" t="str">
        <f>IFERROR(__xludf.DUMMYFUNCTION("GOOGLETRANSLATE(B6741,""en"",""pt-br"")"),"negativo")</f>
        <v>negativo</v>
      </c>
    </row>
    <row r="6742" ht="15.75" customHeight="1">
      <c r="A6742" s="2" t="s">
        <v>6739</v>
      </c>
      <c r="B6742" s="2" t="s">
        <v>3</v>
      </c>
      <c r="C6742" s="1" t="str">
        <f>IFERROR(__xludf.DUMMYFUNCTION("GOOGLETRANSLATE(A6742,""en"",""pt-br"")"),"inutilidade")</f>
        <v>inutilidade</v>
      </c>
      <c r="D6742" s="1" t="str">
        <f>IFERROR(__xludf.DUMMYFUNCTION("GOOGLETRANSLATE(B6742,""en"",""pt-br"")"),"negativo")</f>
        <v>negativo</v>
      </c>
    </row>
    <row r="6743" ht="15.75" customHeight="1">
      <c r="A6743" s="2" t="s">
        <v>6740</v>
      </c>
      <c r="B6743" s="2" t="s">
        <v>14</v>
      </c>
      <c r="C6743" s="1" t="str">
        <f>IFERROR(__xludf.DUMMYFUNCTION("GOOGLETRANSLATE(A6743,""en"",""pt-br"")"),"que vale a pena")</f>
        <v>que vale a pena</v>
      </c>
      <c r="D6743" s="1" t="str">
        <f>IFERROR(__xludf.DUMMYFUNCTION("GOOGLETRANSLATE(B6743,""en"",""pt-br"")"),"positivo")</f>
        <v>positivo</v>
      </c>
    </row>
    <row r="6744" ht="15.75" customHeight="1">
      <c r="A6744" s="2" t="s">
        <v>6741</v>
      </c>
      <c r="B6744" s="2" t="s">
        <v>14</v>
      </c>
      <c r="C6744" s="1" t="str">
        <f>IFERROR(__xludf.DUMMYFUNCTION("GOOGLETRANSLATE(A6744,""en"",""pt-br"")"),"digno")</f>
        <v>digno</v>
      </c>
      <c r="D6744" s="1" t="str">
        <f>IFERROR(__xludf.DUMMYFUNCTION("GOOGLETRANSLATE(B6744,""en"",""pt-br"")"),"positivo")</f>
        <v>positivo</v>
      </c>
    </row>
    <row r="6745" ht="15.75" customHeight="1">
      <c r="A6745" s="2" t="s">
        <v>6742</v>
      </c>
      <c r="B6745" s="2" t="s">
        <v>3</v>
      </c>
      <c r="C6745" s="1" t="str">
        <f>IFERROR(__xludf.DUMMYFUNCTION("GOOGLETRANSLATE(A6745,""en"",""pt-br"")"),"ferida")</f>
        <v>ferida</v>
      </c>
      <c r="D6745" s="1" t="str">
        <f>IFERROR(__xludf.DUMMYFUNCTION("GOOGLETRANSLATE(B6745,""en"",""pt-br"")"),"negativo")</f>
        <v>negativo</v>
      </c>
    </row>
    <row r="6746" ht="15.75" customHeight="1">
      <c r="A6746" s="2" t="s">
        <v>6743</v>
      </c>
      <c r="B6746" s="2" t="s">
        <v>3</v>
      </c>
      <c r="C6746" s="1" t="str">
        <f>IFERROR(__xludf.DUMMYFUNCTION("GOOGLETRANSLATE(A6746,""en"",""pt-br"")"),"feridas")</f>
        <v>feridas</v>
      </c>
      <c r="D6746" s="1" t="str">
        <f>IFERROR(__xludf.DUMMYFUNCTION("GOOGLETRANSLATE(B6746,""en"",""pt-br"")"),"negativo")</f>
        <v>negativo</v>
      </c>
    </row>
    <row r="6747" ht="15.75" customHeight="1">
      <c r="A6747" s="2" t="s">
        <v>6744</v>
      </c>
      <c r="B6747" s="2" t="s">
        <v>14</v>
      </c>
      <c r="C6747" s="1" t="str">
        <f>IFERROR(__xludf.DUMMYFUNCTION("GOOGLETRANSLATE(A6747,""en"",""pt-br"")"),"Uau")</f>
        <v>Uau</v>
      </c>
      <c r="D6747" s="1" t="str">
        <f>IFERROR(__xludf.DUMMYFUNCTION("GOOGLETRANSLATE(B6747,""en"",""pt-br"")"),"positivo")</f>
        <v>positivo</v>
      </c>
    </row>
    <row r="6748" ht="15.75" customHeight="1">
      <c r="A6748" s="2" t="s">
        <v>6745</v>
      </c>
      <c r="B6748" s="2" t="s">
        <v>14</v>
      </c>
      <c r="C6748" s="1" t="str">
        <f>IFERROR(__xludf.DUMMYFUNCTION("GOOGLETRANSLATE(A6748,""en"",""pt-br"")"),"fascinou")</f>
        <v>fascinou</v>
      </c>
      <c r="D6748" s="1" t="str">
        <f>IFERROR(__xludf.DUMMYFUNCTION("GOOGLETRANSLATE(B6748,""en"",""pt-br"")"),"positivo")</f>
        <v>positivo</v>
      </c>
    </row>
    <row r="6749" ht="15.75" customHeight="1">
      <c r="A6749" s="2" t="s">
        <v>6746</v>
      </c>
      <c r="B6749" s="2" t="s">
        <v>14</v>
      </c>
      <c r="C6749" s="1" t="str">
        <f>IFERROR(__xludf.DUMMYFUNCTION("GOOGLETRANSLATE(A6749,""en"",""pt-br"")"),"wows")</f>
        <v>wows</v>
      </c>
      <c r="D6749" s="1" t="str">
        <f>IFERROR(__xludf.DUMMYFUNCTION("GOOGLETRANSLATE(B6749,""en"",""pt-br"")"),"positivo")</f>
        <v>positivo</v>
      </c>
    </row>
    <row r="6750" ht="15.75" customHeight="1">
      <c r="A6750" s="2" t="s">
        <v>6747</v>
      </c>
      <c r="B6750" s="2" t="s">
        <v>14</v>
      </c>
      <c r="C6750" s="1" t="str">
        <f>IFERROR(__xludf.DUMMYFUNCTION("GOOGLETRANSLATE(A6750,""en"",""pt-br"")"),"UAU")</f>
        <v>UAU</v>
      </c>
      <c r="D6750" s="1" t="str">
        <f>IFERROR(__xludf.DUMMYFUNCTION("GOOGLETRANSLATE(B6750,""en"",""pt-br"")"),"positivo")</f>
        <v>positivo</v>
      </c>
    </row>
    <row r="6751" ht="15.75" customHeight="1">
      <c r="A6751" s="2" t="s">
        <v>6748</v>
      </c>
      <c r="B6751" s="2" t="s">
        <v>3</v>
      </c>
      <c r="C6751" s="1" t="str">
        <f>IFERROR(__xludf.DUMMYFUNCTION("GOOGLETRANSLATE(A6751,""en"",""pt-br"")"),"disputa")</f>
        <v>disputa</v>
      </c>
      <c r="D6751" s="1" t="str">
        <f>IFERROR(__xludf.DUMMYFUNCTION("GOOGLETRANSLATE(B6751,""en"",""pt-br"")"),"negativo")</f>
        <v>negativo</v>
      </c>
    </row>
    <row r="6752" ht="15.75" customHeight="1">
      <c r="A6752" s="2" t="s">
        <v>6749</v>
      </c>
      <c r="B6752" s="2" t="s">
        <v>3</v>
      </c>
      <c r="C6752" s="1" t="str">
        <f>IFERROR(__xludf.DUMMYFUNCTION("GOOGLETRANSLATE(A6752,""en"",""pt-br"")"),"ira")</f>
        <v>ira</v>
      </c>
      <c r="D6752" s="1" t="str">
        <f>IFERROR(__xludf.DUMMYFUNCTION("GOOGLETRANSLATE(B6752,""en"",""pt-br"")"),"negativo")</f>
        <v>negativo</v>
      </c>
    </row>
    <row r="6753" ht="15.75" customHeight="1">
      <c r="A6753" s="2" t="s">
        <v>6750</v>
      </c>
      <c r="B6753" s="2" t="s">
        <v>3</v>
      </c>
      <c r="C6753" s="1" t="str">
        <f>IFERROR(__xludf.DUMMYFUNCTION("GOOGLETRANSLATE(A6753,""en"",""pt-br"")"),"wreak")</f>
        <v>wreak</v>
      </c>
      <c r="D6753" s="1" t="str">
        <f>IFERROR(__xludf.DUMMYFUNCTION("GOOGLETRANSLATE(B6753,""en"",""pt-br"")"),"negativo")</f>
        <v>negativo</v>
      </c>
    </row>
    <row r="6754" ht="15.75" customHeight="1">
      <c r="A6754" s="2" t="s">
        <v>6751</v>
      </c>
      <c r="B6754" s="2" t="s">
        <v>3</v>
      </c>
      <c r="C6754" s="1" t="str">
        <f>IFERROR(__xludf.DUMMYFUNCTION("GOOGLETRANSLATE(A6754,""en"",""pt-br"")"),"causou")</f>
        <v>causou</v>
      </c>
      <c r="D6754" s="1" t="str">
        <f>IFERROR(__xludf.DUMMYFUNCTION("GOOGLETRANSLATE(B6754,""en"",""pt-br"")"),"negativo")</f>
        <v>negativo</v>
      </c>
    </row>
    <row r="6755" ht="15.75" customHeight="1">
      <c r="A6755" s="2" t="s">
        <v>6752</v>
      </c>
      <c r="B6755" s="2" t="s">
        <v>3</v>
      </c>
      <c r="C6755" s="1" t="str">
        <f>IFERROR(__xludf.DUMMYFUNCTION("GOOGLETRANSLATE(A6755,""en"",""pt-br"")"),"wreaks")</f>
        <v>wreaks</v>
      </c>
      <c r="D6755" s="1" t="str">
        <f>IFERROR(__xludf.DUMMYFUNCTION("GOOGLETRANSLATE(B6755,""en"",""pt-br"")"),"negativo")</f>
        <v>negativo</v>
      </c>
    </row>
    <row r="6756" ht="15.75" customHeight="1">
      <c r="A6756" s="2" t="s">
        <v>6753</v>
      </c>
      <c r="B6756" s="2" t="s">
        <v>3</v>
      </c>
      <c r="C6756" s="1" t="str">
        <f>IFERROR(__xludf.DUMMYFUNCTION("GOOGLETRANSLATE(A6756,""en"",""pt-br"")"),"destruir")</f>
        <v>destruir</v>
      </c>
      <c r="D6756" s="1" t="str">
        <f>IFERROR(__xludf.DUMMYFUNCTION("GOOGLETRANSLATE(B6756,""en"",""pt-br"")"),"negativo")</f>
        <v>negativo</v>
      </c>
    </row>
    <row r="6757" ht="15.75" customHeight="1">
      <c r="A6757" s="2" t="s">
        <v>6754</v>
      </c>
      <c r="B6757" s="2" t="s">
        <v>3</v>
      </c>
      <c r="C6757" s="1" t="str">
        <f>IFERROR(__xludf.DUMMYFUNCTION("GOOGLETRANSLATE(A6757,""en"",""pt-br"")"),"wrest")</f>
        <v>wrest</v>
      </c>
      <c r="D6757" s="1" t="str">
        <f>IFERROR(__xludf.DUMMYFUNCTION("GOOGLETRANSLATE(B6757,""en"",""pt-br"")"),"negativo")</f>
        <v>negativo</v>
      </c>
    </row>
    <row r="6758" ht="15.75" customHeight="1">
      <c r="A6758" s="2" t="s">
        <v>6755</v>
      </c>
      <c r="B6758" s="2" t="s">
        <v>3</v>
      </c>
      <c r="C6758" s="1" t="str">
        <f>IFERROR(__xludf.DUMMYFUNCTION("GOOGLETRANSLATE(A6758,""en"",""pt-br"")"),"lutar")</f>
        <v>lutar</v>
      </c>
      <c r="D6758" s="1" t="str">
        <f>IFERROR(__xludf.DUMMYFUNCTION("GOOGLETRANSLATE(B6758,""en"",""pt-br"")"),"negativo")</f>
        <v>negativo</v>
      </c>
    </row>
    <row r="6759" ht="15.75" customHeight="1">
      <c r="A6759" s="2" t="s">
        <v>6756</v>
      </c>
      <c r="B6759" s="2" t="s">
        <v>3</v>
      </c>
      <c r="C6759" s="1" t="str">
        <f>IFERROR(__xludf.DUMMYFUNCTION("GOOGLETRANSLATE(A6759,""en"",""pt-br"")"),"desgraçado")</f>
        <v>desgraçado</v>
      </c>
      <c r="D6759" s="1" t="str">
        <f>IFERROR(__xludf.DUMMYFUNCTION("GOOGLETRANSLATE(B6759,""en"",""pt-br"")"),"negativo")</f>
        <v>negativo</v>
      </c>
    </row>
    <row r="6760" ht="15.75" customHeight="1">
      <c r="A6760" s="2" t="s">
        <v>6757</v>
      </c>
      <c r="B6760" s="2" t="s">
        <v>3</v>
      </c>
      <c r="C6760" s="1" t="str">
        <f>IFERROR(__xludf.DUMMYFUNCTION("GOOGLETRANSLATE(A6760,""en"",""pt-br"")"),"miserável")</f>
        <v>miserável</v>
      </c>
      <c r="D6760" s="1" t="str">
        <f>IFERROR(__xludf.DUMMYFUNCTION("GOOGLETRANSLATE(B6760,""en"",""pt-br"")"),"negativo")</f>
        <v>negativo</v>
      </c>
    </row>
    <row r="6761" ht="15.75" customHeight="1">
      <c r="A6761" s="2" t="s">
        <v>6758</v>
      </c>
      <c r="B6761" s="2" t="s">
        <v>3</v>
      </c>
      <c r="C6761" s="1" t="str">
        <f>IFERROR(__xludf.DUMMYFUNCTION("GOOGLETRANSLATE(A6761,""en"",""pt-br"")"),"wretchedly")</f>
        <v>wretchedly</v>
      </c>
      <c r="D6761" s="1" t="str">
        <f>IFERROR(__xludf.DUMMYFUNCTION("GOOGLETRANSLATE(B6761,""en"",""pt-br"")"),"negativo")</f>
        <v>negativo</v>
      </c>
    </row>
    <row r="6762" ht="15.75" customHeight="1">
      <c r="A6762" s="2" t="s">
        <v>6759</v>
      </c>
      <c r="B6762" s="2" t="s">
        <v>3</v>
      </c>
      <c r="C6762" s="1" t="str">
        <f>IFERROR(__xludf.DUMMYFUNCTION("GOOGLETRANSLATE(A6762,""en"",""pt-br"")"),"miséria")</f>
        <v>miséria</v>
      </c>
      <c r="D6762" s="1" t="str">
        <f>IFERROR(__xludf.DUMMYFUNCTION("GOOGLETRANSLATE(B6762,""en"",""pt-br"")"),"negativo")</f>
        <v>negativo</v>
      </c>
    </row>
    <row r="6763" ht="15.75" customHeight="1">
      <c r="A6763" s="2" t="s">
        <v>6760</v>
      </c>
      <c r="B6763" s="2" t="s">
        <v>3</v>
      </c>
      <c r="C6763" s="1" t="str">
        <f>IFERROR(__xludf.DUMMYFUNCTION("GOOGLETRANSLATE(A6763,""en"",""pt-br"")"),"ruga")</f>
        <v>ruga</v>
      </c>
      <c r="D6763" s="1" t="str">
        <f>IFERROR(__xludf.DUMMYFUNCTION("GOOGLETRANSLATE(B6763,""en"",""pt-br"")"),"negativo")</f>
        <v>negativo</v>
      </c>
    </row>
    <row r="6764" ht="15.75" customHeight="1">
      <c r="A6764" s="2" t="s">
        <v>6761</v>
      </c>
      <c r="B6764" s="2" t="s">
        <v>3</v>
      </c>
      <c r="C6764" s="1" t="str">
        <f>IFERROR(__xludf.DUMMYFUNCTION("GOOGLETRANSLATE(A6764,""en"",""pt-br"")"),"enrugada")</f>
        <v>enrugada</v>
      </c>
      <c r="D6764" s="1" t="str">
        <f>IFERROR(__xludf.DUMMYFUNCTION("GOOGLETRANSLATE(B6764,""en"",""pt-br"")"),"negativo")</f>
        <v>negativo</v>
      </c>
    </row>
    <row r="6765" ht="15.75" customHeight="1">
      <c r="A6765" s="2" t="s">
        <v>6762</v>
      </c>
      <c r="B6765" s="2" t="s">
        <v>3</v>
      </c>
      <c r="C6765" s="1" t="str">
        <f>IFERROR(__xludf.DUMMYFUNCTION("GOOGLETRANSLATE(A6765,""en"",""pt-br"")"),"rugas")</f>
        <v>rugas</v>
      </c>
      <c r="D6765" s="1" t="str">
        <f>IFERROR(__xludf.DUMMYFUNCTION("GOOGLETRANSLATE(B6765,""en"",""pt-br"")"),"negativo")</f>
        <v>negativo</v>
      </c>
    </row>
    <row r="6766" ht="15.75" customHeight="1">
      <c r="A6766" s="2" t="s">
        <v>6763</v>
      </c>
      <c r="B6766" s="2" t="s">
        <v>3</v>
      </c>
      <c r="C6766" s="1" t="str">
        <f>IFERROR(__xludf.DUMMYFUNCTION("GOOGLETRANSLATE(A6766,""en"",""pt-br"")"),"wrip")</f>
        <v>wrip</v>
      </c>
      <c r="D6766" s="1" t="str">
        <f>IFERROR(__xludf.DUMMYFUNCTION("GOOGLETRANSLATE(B6766,""en"",""pt-br"")"),"negativo")</f>
        <v>negativo</v>
      </c>
    </row>
    <row r="6767" ht="15.75" customHeight="1">
      <c r="A6767" s="2" t="s">
        <v>6764</v>
      </c>
      <c r="B6767" s="2" t="s">
        <v>3</v>
      </c>
      <c r="C6767" s="1" t="str">
        <f>IFERROR(__xludf.DUMMYFUNCTION("GOOGLETRANSLATE(A6767,""en"",""pt-br"")"),"wripped")</f>
        <v>wripped</v>
      </c>
      <c r="D6767" s="1" t="str">
        <f>IFERROR(__xludf.DUMMYFUNCTION("GOOGLETRANSLATE(B6767,""en"",""pt-br"")"),"negativo")</f>
        <v>negativo</v>
      </c>
    </row>
    <row r="6768" ht="15.75" customHeight="1">
      <c r="A6768" s="2" t="s">
        <v>6765</v>
      </c>
      <c r="B6768" s="2" t="s">
        <v>3</v>
      </c>
      <c r="C6768" s="1" t="str">
        <f>IFERROR(__xludf.DUMMYFUNCTION("GOOGLETRANSLATE(A6768,""en"",""pt-br"")"),"wripping")</f>
        <v>wripping</v>
      </c>
      <c r="D6768" s="1" t="str">
        <f>IFERROR(__xludf.DUMMYFUNCTION("GOOGLETRANSLATE(B6768,""en"",""pt-br"")"),"negativo")</f>
        <v>negativo</v>
      </c>
    </row>
    <row r="6769" ht="15.75" customHeight="1">
      <c r="A6769" s="2" t="s">
        <v>6766</v>
      </c>
      <c r="B6769" s="2" t="s">
        <v>3</v>
      </c>
      <c r="C6769" s="1" t="str">
        <f>IFERROR(__xludf.DUMMYFUNCTION("GOOGLETRANSLATE(A6769,""en"",""pt-br"")"),"contorcer")</f>
        <v>contorcer</v>
      </c>
      <c r="D6769" s="1" t="str">
        <f>IFERROR(__xludf.DUMMYFUNCTION("GOOGLETRANSLATE(B6769,""en"",""pt-br"")"),"negativo")</f>
        <v>negativo</v>
      </c>
    </row>
    <row r="6770" ht="15.75" customHeight="1">
      <c r="A6770" s="2" t="s">
        <v>6767</v>
      </c>
      <c r="B6770" s="2" t="s">
        <v>3</v>
      </c>
      <c r="C6770" s="1" t="str">
        <f>IFERROR(__xludf.DUMMYFUNCTION("GOOGLETRANSLATE(A6770,""en"",""pt-br"")"),"errado")</f>
        <v>errado</v>
      </c>
      <c r="D6770" s="1" t="str">
        <f>IFERROR(__xludf.DUMMYFUNCTION("GOOGLETRANSLATE(B6770,""en"",""pt-br"")"),"negativo")</f>
        <v>negativo</v>
      </c>
    </row>
    <row r="6771" ht="15.75" customHeight="1">
      <c r="A6771" s="2" t="s">
        <v>6768</v>
      </c>
      <c r="B6771" s="2" t="s">
        <v>3</v>
      </c>
      <c r="C6771" s="1" t="str">
        <f>IFERROR(__xludf.DUMMYFUNCTION("GOOGLETRANSLATE(A6771,""en"",""pt-br"")"),"ilegal")</f>
        <v>ilegal</v>
      </c>
      <c r="D6771" s="1" t="str">
        <f>IFERROR(__xludf.DUMMYFUNCTION("GOOGLETRANSLATE(B6771,""en"",""pt-br"")"),"negativo")</f>
        <v>negativo</v>
      </c>
    </row>
    <row r="6772" ht="15.75" customHeight="1">
      <c r="A6772" s="2" t="s">
        <v>6769</v>
      </c>
      <c r="B6772" s="2" t="s">
        <v>3</v>
      </c>
      <c r="C6772" s="1" t="str">
        <f>IFERROR(__xludf.DUMMYFUNCTION("GOOGLETRANSLATE(A6772,""en"",""pt-br"")"),"erroneamente")</f>
        <v>erroneamente</v>
      </c>
      <c r="D6772" s="1" t="str">
        <f>IFERROR(__xludf.DUMMYFUNCTION("GOOGLETRANSLATE(B6772,""en"",""pt-br"")"),"negativo")</f>
        <v>negativo</v>
      </c>
    </row>
    <row r="6773" ht="15.75" customHeight="1">
      <c r="A6773" s="2" t="s">
        <v>6770</v>
      </c>
      <c r="B6773" s="2" t="s">
        <v>3</v>
      </c>
      <c r="C6773" s="1" t="str">
        <f>IFERROR(__xludf.DUMMYFUNCTION("GOOGLETRANSLATE(A6773,""en"",""pt-br"")"),"forjado")</f>
        <v>forjado</v>
      </c>
      <c r="D6773" s="1" t="str">
        <f>IFERROR(__xludf.DUMMYFUNCTION("GOOGLETRANSLATE(B6773,""en"",""pt-br"")"),"negativo")</f>
        <v>negativo</v>
      </c>
    </row>
    <row r="6774" ht="15.75" customHeight="1">
      <c r="A6774" s="2" t="s">
        <v>6771</v>
      </c>
      <c r="B6774" s="2" t="s">
        <v>3</v>
      </c>
      <c r="C6774" s="1" t="str">
        <f>IFERROR(__xludf.DUMMYFUNCTION("GOOGLETRANSLATE(A6774,""en"",""pt-br"")"),"bocejar")</f>
        <v>bocejar</v>
      </c>
      <c r="D6774" s="1" t="str">
        <f>IFERROR(__xludf.DUMMYFUNCTION("GOOGLETRANSLATE(B6774,""en"",""pt-br"")"),"negativo")</f>
        <v>negativo</v>
      </c>
    </row>
    <row r="6775" ht="15.75" customHeight="1">
      <c r="A6775" s="2" t="s">
        <v>6772</v>
      </c>
      <c r="B6775" s="2" t="s">
        <v>14</v>
      </c>
      <c r="C6775" s="1" t="str">
        <f>IFERROR(__xludf.DUMMYFUNCTION("GOOGLETRANSLATE(A6775,""en"",""pt-br"")"),"yay")</f>
        <v>yay</v>
      </c>
      <c r="D6775" s="1" t="str">
        <f>IFERROR(__xludf.DUMMYFUNCTION("GOOGLETRANSLATE(B6775,""en"",""pt-br"")"),"positivo")</f>
        <v>positivo</v>
      </c>
    </row>
    <row r="6776" ht="15.75" customHeight="1">
      <c r="A6776" s="2" t="s">
        <v>6773</v>
      </c>
      <c r="B6776" s="2" t="s">
        <v>14</v>
      </c>
      <c r="C6776" s="1" t="str">
        <f>IFERROR(__xludf.DUMMYFUNCTION("GOOGLETRANSLATE(A6776,""en"",""pt-br"")"),"jovem")</f>
        <v>jovem</v>
      </c>
      <c r="D6776" s="1" t="str">
        <f>IFERROR(__xludf.DUMMYFUNCTION("GOOGLETRANSLATE(B6776,""en"",""pt-br"")"),"positivo")</f>
        <v>positivo</v>
      </c>
    </row>
    <row r="6777" ht="15.75" customHeight="1">
      <c r="A6777" s="2" t="s">
        <v>6774</v>
      </c>
      <c r="B6777" s="2" t="s">
        <v>3</v>
      </c>
      <c r="C6777" s="1" t="str">
        <f>IFERROR(__xludf.DUMMYFUNCTION("GOOGLETRANSLATE(A6777,""en"",""pt-br"")"),"zap")</f>
        <v>zap</v>
      </c>
      <c r="D6777" s="1" t="str">
        <f>IFERROR(__xludf.DUMMYFUNCTION("GOOGLETRANSLATE(B6777,""en"",""pt-br"")"),"negativo")</f>
        <v>negativo</v>
      </c>
    </row>
    <row r="6778" ht="15.75" customHeight="1">
      <c r="A6778" s="2" t="s">
        <v>6775</v>
      </c>
      <c r="B6778" s="2" t="s">
        <v>3</v>
      </c>
      <c r="C6778" s="1" t="str">
        <f>IFERROR(__xludf.DUMMYFUNCTION("GOOGLETRANSLATE(A6778,""en"",""pt-br"")"),"zapped")</f>
        <v>zapped</v>
      </c>
      <c r="D6778" s="1" t="str">
        <f>IFERROR(__xludf.DUMMYFUNCTION("GOOGLETRANSLATE(B6778,""en"",""pt-br"")"),"negativo")</f>
        <v>negativo</v>
      </c>
    </row>
    <row r="6779" ht="15.75" customHeight="1">
      <c r="A6779" s="2" t="s">
        <v>6776</v>
      </c>
      <c r="B6779" s="2" t="s">
        <v>3</v>
      </c>
      <c r="C6779" s="1" t="str">
        <f>IFERROR(__xludf.DUMMYFUNCTION("GOOGLETRANSLATE(A6779,""en"",""pt-br"")"),"zaps")</f>
        <v>zaps</v>
      </c>
      <c r="D6779" s="1" t="str">
        <f>IFERROR(__xludf.DUMMYFUNCTION("GOOGLETRANSLATE(B6779,""en"",""pt-br"")"),"negativo")</f>
        <v>negativo</v>
      </c>
    </row>
    <row r="6780" ht="15.75" customHeight="1">
      <c r="A6780" s="2" t="s">
        <v>6777</v>
      </c>
      <c r="B6780" s="2" t="s">
        <v>14</v>
      </c>
      <c r="C6780" s="1" t="str">
        <f>IFERROR(__xludf.DUMMYFUNCTION("GOOGLETRANSLATE(A6780,""en"",""pt-br"")"),"zelo")</f>
        <v>zelo</v>
      </c>
      <c r="D6780" s="1" t="str">
        <f>IFERROR(__xludf.DUMMYFUNCTION("GOOGLETRANSLATE(B6780,""en"",""pt-br"")"),"positivo")</f>
        <v>positivo</v>
      </c>
    </row>
    <row r="6781" ht="15.75" customHeight="1">
      <c r="A6781" s="2" t="s">
        <v>6778</v>
      </c>
      <c r="B6781" s="2" t="s">
        <v>3</v>
      </c>
      <c r="C6781" s="1" t="str">
        <f>IFERROR(__xludf.DUMMYFUNCTION("GOOGLETRANSLATE(A6781,""en"",""pt-br"")"),"fanático")</f>
        <v>fanático</v>
      </c>
      <c r="D6781" s="1" t="str">
        <f>IFERROR(__xludf.DUMMYFUNCTION("GOOGLETRANSLATE(B6781,""en"",""pt-br"")"),"negativo")</f>
        <v>negativo</v>
      </c>
    </row>
    <row r="6782" ht="15.75" customHeight="1">
      <c r="A6782" s="2" t="s">
        <v>6779</v>
      </c>
      <c r="B6782" s="2" t="s">
        <v>3</v>
      </c>
      <c r="C6782" s="1" t="str">
        <f>IFERROR(__xludf.DUMMYFUNCTION("GOOGLETRANSLATE(A6782,""en"",""pt-br"")"),"zeloso")</f>
        <v>zeloso</v>
      </c>
      <c r="D6782" s="1" t="str">
        <f>IFERROR(__xludf.DUMMYFUNCTION("GOOGLETRANSLATE(B6782,""en"",""pt-br"")"),"negativo")</f>
        <v>negativo</v>
      </c>
    </row>
    <row r="6783" ht="15.75" customHeight="1">
      <c r="A6783" s="2" t="s">
        <v>6780</v>
      </c>
      <c r="B6783" s="2" t="s">
        <v>3</v>
      </c>
      <c r="C6783" s="1" t="str">
        <f>IFERROR(__xludf.DUMMYFUNCTION("GOOGLETRANSLATE(A6783,""en"",""pt-br"")"),"zelosamente")</f>
        <v>zelosamente</v>
      </c>
      <c r="D6783" s="1" t="str">
        <f>IFERROR(__xludf.DUMMYFUNCTION("GOOGLETRANSLATE(B6783,""en"",""pt-br"")"),"negativo")</f>
        <v>negativo</v>
      </c>
    </row>
    <row r="6784" ht="15.75" customHeight="1">
      <c r="A6784" s="2" t="s">
        <v>6781</v>
      </c>
      <c r="B6784" s="2" t="s">
        <v>14</v>
      </c>
      <c r="C6784" s="1" t="str">
        <f>IFERROR(__xludf.DUMMYFUNCTION("GOOGLETRANSLATE(A6784,""en"",""pt-br"")"),"zênite")</f>
        <v>zênite</v>
      </c>
      <c r="D6784" s="1" t="str">
        <f>IFERROR(__xludf.DUMMYFUNCTION("GOOGLETRANSLATE(B6784,""en"",""pt-br"")"),"positivo")</f>
        <v>positivo</v>
      </c>
    </row>
    <row r="6785" ht="15.75" customHeight="1">
      <c r="A6785" s="2" t="s">
        <v>6782</v>
      </c>
      <c r="B6785" s="2" t="s">
        <v>14</v>
      </c>
      <c r="C6785" s="1" t="str">
        <f>IFERROR(__xludf.DUMMYFUNCTION("GOOGLETRANSLATE(A6785,""en"",""pt-br"")"),"entusiasmo")</f>
        <v>entusiasmo</v>
      </c>
      <c r="D6785" s="1" t="str">
        <f>IFERROR(__xludf.DUMMYFUNCTION("GOOGLETRANSLATE(B6785,""en"",""pt-br"")"),"positivo")</f>
        <v>positivo</v>
      </c>
    </row>
    <row r="6786" ht="15.75" customHeight="1">
      <c r="A6786" s="2" t="s">
        <v>6783</v>
      </c>
      <c r="B6786" s="2" t="s">
        <v>14</v>
      </c>
      <c r="C6786" s="1" t="str">
        <f>IFERROR(__xludf.DUMMYFUNCTION("GOOGLETRANSLATE(A6786,""en"",""pt-br"")"),"cheio de energia")</f>
        <v>cheio de energia</v>
      </c>
      <c r="D6786" s="1" t="str">
        <f>IFERROR(__xludf.DUMMYFUNCTION("GOOGLETRANSLATE(B6786,""en"",""pt-br"")"),"positivo")</f>
        <v>positivo</v>
      </c>
    </row>
    <row r="6787" ht="15.75" customHeight="1">
      <c r="A6787" s="2" t="s">
        <v>6784</v>
      </c>
      <c r="B6787" s="2" t="s">
        <v>3</v>
      </c>
      <c r="C6787" s="1" t="str">
        <f>IFERROR(__xludf.DUMMYFUNCTION("GOOGLETRANSLATE(A6787,""en"",""pt-br"")"),"zumbi")</f>
        <v>zumbi</v>
      </c>
      <c r="D6787" s="1" t="str">
        <f>IFERROR(__xludf.DUMMYFUNCTION("GOOGLETRANSLATE(B6787,""en"",""pt-br"")"),"negativo")</f>
        <v>negativo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2020-06-06T16:14:17Z</dcterms:created>
</cp:coreProperties>
</file>